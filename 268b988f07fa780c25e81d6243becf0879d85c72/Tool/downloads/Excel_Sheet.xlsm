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jpeg"/><Relationship Id="rId4" Type="http://schemas.openxmlformats.org/package/2006/relationships/metadata/core-properties" Target="docProps/core.xml"/><Relationship Id="rId5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4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maximilianwubken/Library/Mobile Documents/JFJWWP64QD~com~goodiware~GoodReader/Documents/CD/04 Datenmaterial/Tool/downloads/"/>
    </mc:Choice>
  </mc:AlternateContent>
  <bookViews>
    <workbookView xWindow="0" yWindow="460" windowWidth="28800" windowHeight="17440" tabRatio="500" activeTab="8"/>
  </bookViews>
  <sheets>
    <sheet name="1.3.1 Suchstrings" sheetId="4" r:id="rId1"/>
    <sheet name="1.3.2 Ergeb. Literaturanalyse" sheetId="15" r:id="rId2"/>
    <sheet name="1.3.3 Überblick Literatur" sheetId="3" r:id="rId3"/>
    <sheet name="1.4 Analyse &amp; Synthese" sheetId="2" r:id="rId4"/>
    <sheet name="1.4.1 Ergebn. Literaturanalyse" sheetId="21" r:id="rId5"/>
    <sheet name="1.4.2 Qualitat. Analyse" sheetId="20" r:id="rId6"/>
    <sheet name="(Auswertung_1)" sheetId="14" r:id="rId7"/>
    <sheet name="(Auswertung_2)" sheetId="17" r:id="rId8"/>
    <sheet name="(Codierung)" sheetId="1" r:id="rId9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EQ7" i="17" l="1"/>
  <c r="AB6" i="20"/>
  <c r="EU7" i="17"/>
  <c r="AC6" i="20"/>
  <c r="EY7" i="17"/>
  <c r="AD6" i="20"/>
  <c r="FC7" i="17"/>
  <c r="AE6" i="20"/>
  <c r="FG7" i="17"/>
  <c r="AF6" i="20"/>
  <c r="FK7" i="17"/>
  <c r="AG6" i="20"/>
  <c r="FO7" i="17"/>
  <c r="AH6" i="20"/>
  <c r="FS7" i="17"/>
  <c r="AI6" i="20"/>
  <c r="FW7" i="17"/>
  <c r="AJ6" i="20"/>
  <c r="GA7" i="17"/>
  <c r="AK6" i="20"/>
  <c r="GE7" i="17"/>
  <c r="AL6" i="20"/>
  <c r="GI7" i="17"/>
  <c r="AM6" i="20"/>
  <c r="GM7" i="17"/>
  <c r="AN6" i="20"/>
  <c r="GQ7" i="17"/>
  <c r="AO6" i="20"/>
  <c r="GU7" i="17"/>
  <c r="AP6" i="20"/>
  <c r="GY7" i="17"/>
  <c r="AQ6" i="20"/>
  <c r="HC7" i="17"/>
  <c r="AR6" i="20"/>
  <c r="HG7" i="17"/>
  <c r="AS6" i="20"/>
  <c r="HK7" i="17"/>
  <c r="AT6" i="20"/>
  <c r="HO7" i="17"/>
  <c r="AU6" i="20"/>
  <c r="EQ8" i="17"/>
  <c r="AB7" i="20"/>
  <c r="EU8" i="17"/>
  <c r="AC7" i="20"/>
  <c r="EY8" i="17"/>
  <c r="AD7" i="20"/>
  <c r="FC8" i="17"/>
  <c r="AE7" i="20"/>
  <c r="FG8" i="17"/>
  <c r="AF7" i="20"/>
  <c r="FK8" i="17"/>
  <c r="AG7" i="20"/>
  <c r="FO8" i="17"/>
  <c r="AH7" i="20"/>
  <c r="FS8" i="17"/>
  <c r="AI7" i="20"/>
  <c r="FW8" i="17"/>
  <c r="AJ7" i="20"/>
  <c r="GA8" i="17"/>
  <c r="AK7" i="20"/>
  <c r="GE8" i="17"/>
  <c r="AL7" i="20"/>
  <c r="GI8" i="17"/>
  <c r="AM7" i="20"/>
  <c r="GM8" i="17"/>
  <c r="AN7" i="20"/>
  <c r="GQ8" i="17"/>
  <c r="AO7" i="20"/>
  <c r="GU8" i="17"/>
  <c r="AP7" i="20"/>
  <c r="GY8" i="17"/>
  <c r="AQ7" i="20"/>
  <c r="HC8" i="17"/>
  <c r="AR7" i="20"/>
  <c r="HG8" i="17"/>
  <c r="AS7" i="20"/>
  <c r="HK8" i="17"/>
  <c r="AT7" i="20"/>
  <c r="HO8" i="17"/>
  <c r="AU7" i="20"/>
  <c r="EQ9" i="17"/>
  <c r="AB8" i="20"/>
  <c r="EU9" i="17"/>
  <c r="AC8" i="20"/>
  <c r="EY9" i="17"/>
  <c r="AD8" i="20"/>
  <c r="FC9" i="17"/>
  <c r="AE8" i="20"/>
  <c r="FG9" i="17"/>
  <c r="AF8" i="20"/>
  <c r="FK9" i="17"/>
  <c r="AG8" i="20"/>
  <c r="FO9" i="17"/>
  <c r="AH8" i="20"/>
  <c r="FS9" i="17"/>
  <c r="AI8" i="20"/>
  <c r="FW9" i="17"/>
  <c r="AJ8" i="20"/>
  <c r="GA9" i="17"/>
  <c r="AK8" i="20"/>
  <c r="GE9" i="17"/>
  <c r="AL8" i="20"/>
  <c r="GI9" i="17"/>
  <c r="AM8" i="20"/>
  <c r="GM9" i="17"/>
  <c r="AN8" i="20"/>
  <c r="GQ9" i="17"/>
  <c r="AO8" i="20"/>
  <c r="GU9" i="17"/>
  <c r="AP8" i="20"/>
  <c r="GY9" i="17"/>
  <c r="AQ8" i="20"/>
  <c r="HC9" i="17"/>
  <c r="AR8" i="20"/>
  <c r="HG9" i="17"/>
  <c r="AS8" i="20"/>
  <c r="HK9" i="17"/>
  <c r="AT8" i="20"/>
  <c r="HO9" i="17"/>
  <c r="AU8" i="20"/>
  <c r="EQ10" i="17"/>
  <c r="AB9" i="20"/>
  <c r="EU10" i="17"/>
  <c r="AC9" i="20"/>
  <c r="EY10" i="17"/>
  <c r="AD9" i="20"/>
  <c r="FC10" i="17"/>
  <c r="AE9" i="20"/>
  <c r="FG10" i="17"/>
  <c r="AF9" i="20"/>
  <c r="FK10" i="17"/>
  <c r="AG9" i="20"/>
  <c r="FO10" i="17"/>
  <c r="AH9" i="20"/>
  <c r="FS10" i="17"/>
  <c r="AI9" i="20"/>
  <c r="FW10" i="17"/>
  <c r="AJ9" i="20"/>
  <c r="GA10" i="17"/>
  <c r="AK9" i="20"/>
  <c r="GE10" i="17"/>
  <c r="AL9" i="20"/>
  <c r="GI10" i="17"/>
  <c r="AM9" i="20"/>
  <c r="GM10" i="17"/>
  <c r="AN9" i="20"/>
  <c r="GQ10" i="17"/>
  <c r="AO9" i="20"/>
  <c r="GU10" i="17"/>
  <c r="AP9" i="20"/>
  <c r="GY10" i="17"/>
  <c r="AQ9" i="20"/>
  <c r="HC10" i="17"/>
  <c r="AR9" i="20"/>
  <c r="HG10" i="17"/>
  <c r="AS9" i="20"/>
  <c r="HK10" i="17"/>
  <c r="AT9" i="20"/>
  <c r="HO10" i="17"/>
  <c r="AU9" i="20"/>
  <c r="EQ11" i="17"/>
  <c r="AB10" i="20"/>
  <c r="EU11" i="17"/>
  <c r="AC10" i="20"/>
  <c r="EY11" i="17"/>
  <c r="AD10" i="20"/>
  <c r="FC11" i="17"/>
  <c r="AE10" i="20"/>
  <c r="FG11" i="17"/>
  <c r="AF10" i="20"/>
  <c r="FK11" i="17"/>
  <c r="AG10" i="20"/>
  <c r="FO11" i="17"/>
  <c r="AH10" i="20"/>
  <c r="FS11" i="17"/>
  <c r="AI10" i="20"/>
  <c r="FW11" i="17"/>
  <c r="AJ10" i="20"/>
  <c r="GA11" i="17"/>
  <c r="AK10" i="20"/>
  <c r="GE11" i="17"/>
  <c r="AL10" i="20"/>
  <c r="GI11" i="17"/>
  <c r="AM10" i="20"/>
  <c r="GM11" i="17"/>
  <c r="AN10" i="20"/>
  <c r="GQ11" i="17"/>
  <c r="AO10" i="20"/>
  <c r="GU11" i="17"/>
  <c r="AP10" i="20"/>
  <c r="GY11" i="17"/>
  <c r="AQ10" i="20"/>
  <c r="HC11" i="17"/>
  <c r="AR10" i="20"/>
  <c r="HG11" i="17"/>
  <c r="AS10" i="20"/>
  <c r="HK11" i="17"/>
  <c r="AT10" i="20"/>
  <c r="HO11" i="17"/>
  <c r="AU10" i="20"/>
  <c r="EQ12" i="17"/>
  <c r="AB11" i="20"/>
  <c r="EU12" i="17"/>
  <c r="AC11" i="20"/>
  <c r="EY12" i="17"/>
  <c r="AD11" i="20"/>
  <c r="FC12" i="17"/>
  <c r="AE11" i="20"/>
  <c r="FG12" i="17"/>
  <c r="AF11" i="20"/>
  <c r="FK12" i="17"/>
  <c r="AG11" i="20"/>
  <c r="FO12" i="17"/>
  <c r="AH11" i="20"/>
  <c r="FS12" i="17"/>
  <c r="AI11" i="20"/>
  <c r="FW12" i="17"/>
  <c r="AJ11" i="20"/>
  <c r="GA12" i="17"/>
  <c r="AK11" i="20"/>
  <c r="GE12" i="17"/>
  <c r="AL11" i="20"/>
  <c r="GI12" i="17"/>
  <c r="AM11" i="20"/>
  <c r="GM12" i="17"/>
  <c r="AN11" i="20"/>
  <c r="GQ12" i="17"/>
  <c r="AO11" i="20"/>
  <c r="GU12" i="17"/>
  <c r="AP11" i="20"/>
  <c r="GY12" i="17"/>
  <c r="AQ11" i="20"/>
  <c r="HC12" i="17"/>
  <c r="AR11" i="20"/>
  <c r="HG12" i="17"/>
  <c r="AS11" i="20"/>
  <c r="HK12" i="17"/>
  <c r="AT11" i="20"/>
  <c r="HO12" i="17"/>
  <c r="AU11" i="20"/>
  <c r="EQ13" i="17"/>
  <c r="AB12" i="20"/>
  <c r="EU13" i="17"/>
  <c r="AC12" i="20"/>
  <c r="EY13" i="17"/>
  <c r="AD12" i="20"/>
  <c r="FC13" i="17"/>
  <c r="AE12" i="20"/>
  <c r="FG13" i="17"/>
  <c r="AF12" i="20"/>
  <c r="FK13" i="17"/>
  <c r="AG12" i="20"/>
  <c r="FO13" i="17"/>
  <c r="AH12" i="20"/>
  <c r="FS13" i="17"/>
  <c r="AI12" i="20"/>
  <c r="FW13" i="17"/>
  <c r="AJ12" i="20"/>
  <c r="GA13" i="17"/>
  <c r="AK12" i="20"/>
  <c r="GE13" i="17"/>
  <c r="AL12" i="20"/>
  <c r="GI13" i="17"/>
  <c r="AM12" i="20"/>
  <c r="GM13" i="17"/>
  <c r="AN12" i="20"/>
  <c r="GQ13" i="17"/>
  <c r="AO12" i="20"/>
  <c r="GU13" i="17"/>
  <c r="AP12" i="20"/>
  <c r="GY13" i="17"/>
  <c r="AQ12" i="20"/>
  <c r="HC13" i="17"/>
  <c r="AR12" i="20"/>
  <c r="HG13" i="17"/>
  <c r="AS12" i="20"/>
  <c r="HK13" i="17"/>
  <c r="AT12" i="20"/>
  <c r="HO13" i="17"/>
  <c r="AU12" i="20"/>
  <c r="EQ14" i="17"/>
  <c r="AB13" i="20"/>
  <c r="EU14" i="17"/>
  <c r="AC13" i="20"/>
  <c r="EY14" i="17"/>
  <c r="AD13" i="20"/>
  <c r="FC14" i="17"/>
  <c r="AE13" i="20"/>
  <c r="FG14" i="17"/>
  <c r="AF13" i="20"/>
  <c r="FK14" i="17"/>
  <c r="AG13" i="20"/>
  <c r="FO14" i="17"/>
  <c r="AH13" i="20"/>
  <c r="FS14" i="17"/>
  <c r="AI13" i="20"/>
  <c r="FW14" i="17"/>
  <c r="AJ13" i="20"/>
  <c r="GA14" i="17"/>
  <c r="AK13" i="20"/>
  <c r="GE14" i="17"/>
  <c r="AL13" i="20"/>
  <c r="GI14" i="17"/>
  <c r="AM13" i="20"/>
  <c r="GM14" i="17"/>
  <c r="AN13" i="20"/>
  <c r="GQ14" i="17"/>
  <c r="AO13" i="20"/>
  <c r="GU14" i="17"/>
  <c r="AP13" i="20"/>
  <c r="GY14" i="17"/>
  <c r="AQ13" i="20"/>
  <c r="HC14" i="17"/>
  <c r="AR13" i="20"/>
  <c r="HG14" i="17"/>
  <c r="AS13" i="20"/>
  <c r="HK14" i="17"/>
  <c r="AT13" i="20"/>
  <c r="HO14" i="17"/>
  <c r="AU13" i="20"/>
  <c r="EQ15" i="17"/>
  <c r="AB14" i="20"/>
  <c r="EU15" i="17"/>
  <c r="AC14" i="20"/>
  <c r="EY15" i="17"/>
  <c r="AD14" i="20"/>
  <c r="FC15" i="17"/>
  <c r="AE14" i="20"/>
  <c r="FG15" i="17"/>
  <c r="AF14" i="20"/>
  <c r="FK15" i="17"/>
  <c r="AG14" i="20"/>
  <c r="FO15" i="17"/>
  <c r="AH14" i="20"/>
  <c r="FS15" i="17"/>
  <c r="AI14" i="20"/>
  <c r="FW15" i="17"/>
  <c r="AJ14" i="20"/>
  <c r="GA15" i="17"/>
  <c r="AK14" i="20"/>
  <c r="GE15" i="17"/>
  <c r="AL14" i="20"/>
  <c r="GI15" i="17"/>
  <c r="AM14" i="20"/>
  <c r="GM15" i="17"/>
  <c r="AN14" i="20"/>
  <c r="GQ15" i="17"/>
  <c r="AO14" i="20"/>
  <c r="GU15" i="17"/>
  <c r="AP14" i="20"/>
  <c r="GY15" i="17"/>
  <c r="AQ14" i="20"/>
  <c r="HC15" i="17"/>
  <c r="AR14" i="20"/>
  <c r="HG15" i="17"/>
  <c r="AS14" i="20"/>
  <c r="HK15" i="17"/>
  <c r="AT14" i="20"/>
  <c r="HO15" i="17"/>
  <c r="AU14" i="20"/>
  <c r="EQ16" i="17"/>
  <c r="AB15" i="20"/>
  <c r="EU16" i="17"/>
  <c r="AC15" i="20"/>
  <c r="EY16" i="17"/>
  <c r="AD15" i="20"/>
  <c r="FC16" i="17"/>
  <c r="AE15" i="20"/>
  <c r="FG16" i="17"/>
  <c r="AF15" i="20"/>
  <c r="FK16" i="17"/>
  <c r="AG15" i="20"/>
  <c r="FO16" i="17"/>
  <c r="AH15" i="20"/>
  <c r="FS16" i="17"/>
  <c r="AI15" i="20"/>
  <c r="FW16" i="17"/>
  <c r="AJ15" i="20"/>
  <c r="GA16" i="17"/>
  <c r="AK15" i="20"/>
  <c r="GE16" i="17"/>
  <c r="AL15" i="20"/>
  <c r="GI16" i="17"/>
  <c r="AM15" i="20"/>
  <c r="GM16" i="17"/>
  <c r="AN15" i="20"/>
  <c r="GQ16" i="17"/>
  <c r="AO15" i="20"/>
  <c r="GU16" i="17"/>
  <c r="AP15" i="20"/>
  <c r="GY16" i="17"/>
  <c r="AQ15" i="20"/>
  <c r="HC16" i="17"/>
  <c r="AR15" i="20"/>
  <c r="HG16" i="17"/>
  <c r="AS15" i="20"/>
  <c r="HK16" i="17"/>
  <c r="AT15" i="20"/>
  <c r="HO16" i="17"/>
  <c r="AU15" i="20"/>
  <c r="EQ17" i="17"/>
  <c r="AB16" i="20"/>
  <c r="EU17" i="17"/>
  <c r="AC16" i="20"/>
  <c r="EY17" i="17"/>
  <c r="AD16" i="20"/>
  <c r="FC17" i="17"/>
  <c r="AE16" i="20"/>
  <c r="FG17" i="17"/>
  <c r="AF16" i="20"/>
  <c r="FK17" i="17"/>
  <c r="AG16" i="20"/>
  <c r="FO17" i="17"/>
  <c r="AH16" i="20"/>
  <c r="FS17" i="17"/>
  <c r="AI16" i="20"/>
  <c r="FW17" i="17"/>
  <c r="AJ16" i="20"/>
  <c r="GA17" i="17"/>
  <c r="AK16" i="20"/>
  <c r="GE17" i="17"/>
  <c r="AL16" i="20"/>
  <c r="GI17" i="17"/>
  <c r="AM16" i="20"/>
  <c r="GM17" i="17"/>
  <c r="AN16" i="20"/>
  <c r="GQ17" i="17"/>
  <c r="AO16" i="20"/>
  <c r="GU17" i="17"/>
  <c r="AP16" i="20"/>
  <c r="GY17" i="17"/>
  <c r="AQ16" i="20"/>
  <c r="HC17" i="17"/>
  <c r="AR16" i="20"/>
  <c r="HG17" i="17"/>
  <c r="AS16" i="20"/>
  <c r="HK17" i="17"/>
  <c r="AT16" i="20"/>
  <c r="HO17" i="17"/>
  <c r="AU16" i="20"/>
  <c r="EQ18" i="17"/>
  <c r="AB17" i="20"/>
  <c r="EU18" i="17"/>
  <c r="AC17" i="20"/>
  <c r="EY18" i="17"/>
  <c r="AD17" i="20"/>
  <c r="FC18" i="17"/>
  <c r="AE17" i="20"/>
  <c r="FG18" i="17"/>
  <c r="AF17" i="20"/>
  <c r="FK18" i="17"/>
  <c r="AG17" i="20"/>
  <c r="FO18" i="17"/>
  <c r="AH17" i="20"/>
  <c r="FS18" i="17"/>
  <c r="AI17" i="20"/>
  <c r="FW18" i="17"/>
  <c r="AJ17" i="20"/>
  <c r="GA18" i="17"/>
  <c r="AK17" i="20"/>
  <c r="GE18" i="17"/>
  <c r="AL17" i="20"/>
  <c r="GI18" i="17"/>
  <c r="AM17" i="20"/>
  <c r="GM18" i="17"/>
  <c r="AN17" i="20"/>
  <c r="GQ18" i="17"/>
  <c r="AO17" i="20"/>
  <c r="GU18" i="17"/>
  <c r="AP17" i="20"/>
  <c r="GY18" i="17"/>
  <c r="AQ17" i="20"/>
  <c r="HC18" i="17"/>
  <c r="AR17" i="20"/>
  <c r="HG18" i="17"/>
  <c r="AS17" i="20"/>
  <c r="HK18" i="17"/>
  <c r="AT17" i="20"/>
  <c r="HO18" i="17"/>
  <c r="AU17" i="20"/>
  <c r="EQ19" i="17"/>
  <c r="AB18" i="20"/>
  <c r="EU19" i="17"/>
  <c r="AC18" i="20"/>
  <c r="EY19" i="17"/>
  <c r="AD18" i="20"/>
  <c r="FC19" i="17"/>
  <c r="AE18" i="20"/>
  <c r="FG19" i="17"/>
  <c r="AF18" i="20"/>
  <c r="FK19" i="17"/>
  <c r="AG18" i="20"/>
  <c r="FO19" i="17"/>
  <c r="AH18" i="20"/>
  <c r="FS19" i="17"/>
  <c r="AI18" i="20"/>
  <c r="FW19" i="17"/>
  <c r="AJ18" i="20"/>
  <c r="GA19" i="17"/>
  <c r="AK18" i="20"/>
  <c r="GE19" i="17"/>
  <c r="AL18" i="20"/>
  <c r="GI19" i="17"/>
  <c r="AM18" i="20"/>
  <c r="GM19" i="17"/>
  <c r="AN18" i="20"/>
  <c r="GQ19" i="17"/>
  <c r="AO18" i="20"/>
  <c r="GU19" i="17"/>
  <c r="AP18" i="20"/>
  <c r="GY19" i="17"/>
  <c r="AQ18" i="20"/>
  <c r="HC19" i="17"/>
  <c r="AR18" i="20"/>
  <c r="HG19" i="17"/>
  <c r="AS18" i="20"/>
  <c r="HK19" i="17"/>
  <c r="AT18" i="20"/>
  <c r="HO19" i="17"/>
  <c r="AU18" i="20"/>
  <c r="EQ20" i="17"/>
  <c r="AB19" i="20"/>
  <c r="EU20" i="17"/>
  <c r="AC19" i="20"/>
  <c r="EY20" i="17"/>
  <c r="AD19" i="20"/>
  <c r="FC20" i="17"/>
  <c r="AE19" i="20"/>
  <c r="FG20" i="17"/>
  <c r="AF19" i="20"/>
  <c r="FK20" i="17"/>
  <c r="AG19" i="20"/>
  <c r="FO20" i="17"/>
  <c r="AH19" i="20"/>
  <c r="FS20" i="17"/>
  <c r="AI19" i="20"/>
  <c r="FW20" i="17"/>
  <c r="AJ19" i="20"/>
  <c r="GA20" i="17"/>
  <c r="AK19" i="20"/>
  <c r="GE20" i="17"/>
  <c r="AL19" i="20"/>
  <c r="GI20" i="17"/>
  <c r="AM19" i="20"/>
  <c r="GM20" i="17"/>
  <c r="AN19" i="20"/>
  <c r="GQ20" i="17"/>
  <c r="AO19" i="20"/>
  <c r="GU20" i="17"/>
  <c r="AP19" i="20"/>
  <c r="GY20" i="17"/>
  <c r="AQ19" i="20"/>
  <c r="HC20" i="17"/>
  <c r="AR19" i="20"/>
  <c r="HG20" i="17"/>
  <c r="AS19" i="20"/>
  <c r="HK20" i="17"/>
  <c r="AT19" i="20"/>
  <c r="HO20" i="17"/>
  <c r="AU19" i="20"/>
  <c r="EQ21" i="17"/>
  <c r="AB20" i="20"/>
  <c r="EU21" i="17"/>
  <c r="AC20" i="20"/>
  <c r="EY21" i="17"/>
  <c r="AD20" i="20"/>
  <c r="FC21" i="17"/>
  <c r="AE20" i="20"/>
  <c r="FG21" i="17"/>
  <c r="AF20" i="20"/>
  <c r="FK21" i="17"/>
  <c r="AG20" i="20"/>
  <c r="FO21" i="17"/>
  <c r="AH20" i="20"/>
  <c r="FS21" i="17"/>
  <c r="AI20" i="20"/>
  <c r="FW21" i="17"/>
  <c r="AJ20" i="20"/>
  <c r="GA21" i="17"/>
  <c r="AK20" i="20"/>
  <c r="GE21" i="17"/>
  <c r="AL20" i="20"/>
  <c r="GI21" i="17"/>
  <c r="AM20" i="20"/>
  <c r="GM21" i="17"/>
  <c r="AN20" i="20"/>
  <c r="GQ21" i="17"/>
  <c r="AO20" i="20"/>
  <c r="GU21" i="17"/>
  <c r="AP20" i="20"/>
  <c r="GY21" i="17"/>
  <c r="AQ20" i="20"/>
  <c r="HC21" i="17"/>
  <c r="AR20" i="20"/>
  <c r="HG21" i="17"/>
  <c r="AS20" i="20"/>
  <c r="HK21" i="17"/>
  <c r="AT20" i="20"/>
  <c r="HO21" i="17"/>
  <c r="AU20" i="20"/>
  <c r="EQ22" i="17"/>
  <c r="AB21" i="20"/>
  <c r="EU22" i="17"/>
  <c r="AC21" i="20"/>
  <c r="EY22" i="17"/>
  <c r="AD21" i="20"/>
  <c r="FC22" i="17"/>
  <c r="AE21" i="20"/>
  <c r="FG22" i="17"/>
  <c r="AF21" i="20"/>
  <c r="FK22" i="17"/>
  <c r="AG21" i="20"/>
  <c r="FO22" i="17"/>
  <c r="AH21" i="20"/>
  <c r="FS22" i="17"/>
  <c r="AI21" i="20"/>
  <c r="FW22" i="17"/>
  <c r="AJ21" i="20"/>
  <c r="GA22" i="17"/>
  <c r="AK21" i="20"/>
  <c r="GE22" i="17"/>
  <c r="AL21" i="20"/>
  <c r="GI22" i="17"/>
  <c r="AM21" i="20"/>
  <c r="GM22" i="17"/>
  <c r="AN21" i="20"/>
  <c r="GQ22" i="17"/>
  <c r="AO21" i="20"/>
  <c r="GU22" i="17"/>
  <c r="AP21" i="20"/>
  <c r="GY22" i="17"/>
  <c r="AQ21" i="20"/>
  <c r="HC22" i="17"/>
  <c r="AR21" i="20"/>
  <c r="HG22" i="17"/>
  <c r="AS21" i="20"/>
  <c r="HK22" i="17"/>
  <c r="AT21" i="20"/>
  <c r="HO22" i="17"/>
  <c r="AU21" i="20"/>
  <c r="EQ23" i="17"/>
  <c r="AB22" i="20"/>
  <c r="EU23" i="17"/>
  <c r="AC22" i="20"/>
  <c r="EY23" i="17"/>
  <c r="AD22" i="20"/>
  <c r="FC23" i="17"/>
  <c r="AE22" i="20"/>
  <c r="FG23" i="17"/>
  <c r="AF22" i="20"/>
  <c r="FK23" i="17"/>
  <c r="AG22" i="20"/>
  <c r="FO23" i="17"/>
  <c r="AH22" i="20"/>
  <c r="FS23" i="17"/>
  <c r="AI22" i="20"/>
  <c r="FW23" i="17"/>
  <c r="AJ22" i="20"/>
  <c r="GA23" i="17"/>
  <c r="AK22" i="20"/>
  <c r="GE23" i="17"/>
  <c r="AL22" i="20"/>
  <c r="GI23" i="17"/>
  <c r="AM22" i="20"/>
  <c r="GM23" i="17"/>
  <c r="AN22" i="20"/>
  <c r="GQ23" i="17"/>
  <c r="AO22" i="20"/>
  <c r="GU23" i="17"/>
  <c r="AP22" i="20"/>
  <c r="GY23" i="17"/>
  <c r="AQ22" i="20"/>
  <c r="HC23" i="17"/>
  <c r="AR22" i="20"/>
  <c r="HG23" i="17"/>
  <c r="AS22" i="20"/>
  <c r="HK23" i="17"/>
  <c r="AT22" i="20"/>
  <c r="HO23" i="17"/>
  <c r="AU22" i="20"/>
  <c r="HO6" i="17"/>
  <c r="AU5" i="20"/>
  <c r="HK6" i="17"/>
  <c r="AT5" i="20"/>
  <c r="HG6" i="17"/>
  <c r="AS5" i="20"/>
  <c r="HC6" i="17"/>
  <c r="AR5" i="20"/>
  <c r="GY6" i="17"/>
  <c r="AQ5" i="20"/>
  <c r="GU6" i="17"/>
  <c r="AP5" i="20"/>
  <c r="GQ6" i="17"/>
  <c r="AO5" i="20"/>
  <c r="GM6" i="17"/>
  <c r="AN5" i="20"/>
  <c r="GI6" i="17"/>
  <c r="AM5" i="20"/>
  <c r="GE6" i="17"/>
  <c r="AL5" i="20"/>
  <c r="GA6" i="17"/>
  <c r="AK5" i="20"/>
  <c r="FW6" i="17"/>
  <c r="AJ5" i="20"/>
  <c r="FS6" i="17"/>
  <c r="AI5" i="20"/>
  <c r="FO6" i="17"/>
  <c r="AH5" i="20"/>
  <c r="FK6" i="17"/>
  <c r="AG5" i="20"/>
  <c r="FG6" i="17"/>
  <c r="AF5" i="20"/>
  <c r="FC6" i="17"/>
  <c r="AE5" i="20"/>
  <c r="EY6" i="17"/>
  <c r="AD5" i="20"/>
  <c r="EU6" i="17"/>
  <c r="AC5" i="20"/>
  <c r="EQ6" i="17"/>
  <c r="AB5" i="20"/>
  <c r="HO24" i="17"/>
  <c r="HO25" i="17"/>
  <c r="HO26" i="17"/>
  <c r="HO27" i="17"/>
  <c r="HO28" i="17"/>
  <c r="HO29" i="17"/>
  <c r="HO30" i="17"/>
  <c r="HO31" i="17"/>
  <c r="HO32" i="17"/>
  <c r="HO33" i="17"/>
  <c r="HO34" i="17"/>
  <c r="HO35" i="17"/>
  <c r="HO36" i="17"/>
  <c r="HO37" i="17"/>
  <c r="HO38" i="17"/>
  <c r="HO39" i="17"/>
  <c r="HO40" i="17"/>
  <c r="HO41" i="17"/>
  <c r="HO42" i="17"/>
  <c r="HO43" i="17"/>
  <c r="HO44" i="17"/>
  <c r="HO45" i="17"/>
  <c r="HO46" i="17"/>
  <c r="HO47" i="17"/>
  <c r="HO48" i="17"/>
  <c r="HO49" i="17"/>
  <c r="HO50" i="17"/>
  <c r="HO51" i="17"/>
  <c r="HO52" i="17"/>
  <c r="HO53" i="17"/>
  <c r="HO54" i="17"/>
  <c r="HO55" i="17"/>
  <c r="HO56" i="17"/>
  <c r="HO57" i="17"/>
  <c r="HO58" i="17"/>
  <c r="HO59" i="17"/>
  <c r="HO60" i="17"/>
  <c r="HO61" i="17"/>
  <c r="HO62" i="17"/>
  <c r="HO63" i="17"/>
  <c r="HO64" i="17"/>
  <c r="HO65" i="17"/>
  <c r="HO66" i="17"/>
  <c r="HK24" i="17"/>
  <c r="HK25" i="17"/>
  <c r="HK26" i="17"/>
  <c r="HK27" i="17"/>
  <c r="HK28" i="17"/>
  <c r="HK29" i="17"/>
  <c r="HK30" i="17"/>
  <c r="HK31" i="17"/>
  <c r="HK32" i="17"/>
  <c r="HK33" i="17"/>
  <c r="HK34" i="17"/>
  <c r="HK35" i="17"/>
  <c r="HK36" i="17"/>
  <c r="HK37" i="17"/>
  <c r="HK38" i="17"/>
  <c r="HK39" i="17"/>
  <c r="HK40" i="17"/>
  <c r="HK41" i="17"/>
  <c r="HK42" i="17"/>
  <c r="HK43" i="17"/>
  <c r="HK44" i="17"/>
  <c r="HK45" i="17"/>
  <c r="HK46" i="17"/>
  <c r="HK47" i="17"/>
  <c r="HK48" i="17"/>
  <c r="HK49" i="17"/>
  <c r="HK50" i="17"/>
  <c r="HK51" i="17"/>
  <c r="HK52" i="17"/>
  <c r="HK53" i="17"/>
  <c r="HK54" i="17"/>
  <c r="HK55" i="17"/>
  <c r="HK56" i="17"/>
  <c r="HK57" i="17"/>
  <c r="HK58" i="17"/>
  <c r="HK59" i="17"/>
  <c r="HK60" i="17"/>
  <c r="HK61" i="17"/>
  <c r="HK62" i="17"/>
  <c r="HK63" i="17"/>
  <c r="HK64" i="17"/>
  <c r="HK65" i="17"/>
  <c r="HK66" i="17"/>
  <c r="HG24" i="17"/>
  <c r="HG25" i="17"/>
  <c r="HG26" i="17"/>
  <c r="HG27" i="17"/>
  <c r="HG28" i="17"/>
  <c r="HG29" i="17"/>
  <c r="HG30" i="17"/>
  <c r="HG31" i="17"/>
  <c r="HG32" i="17"/>
  <c r="HG33" i="17"/>
  <c r="HG34" i="17"/>
  <c r="HG35" i="17"/>
  <c r="HG36" i="17"/>
  <c r="HG37" i="17"/>
  <c r="HG38" i="17"/>
  <c r="HG39" i="17"/>
  <c r="HG40" i="17"/>
  <c r="HG41" i="17"/>
  <c r="HG42" i="17"/>
  <c r="HG43" i="17"/>
  <c r="HG44" i="17"/>
  <c r="HG45" i="17"/>
  <c r="HG46" i="17"/>
  <c r="HG47" i="17"/>
  <c r="HG48" i="17"/>
  <c r="HG49" i="17"/>
  <c r="HG50" i="17"/>
  <c r="HG51" i="17"/>
  <c r="HG52" i="17"/>
  <c r="HG53" i="17"/>
  <c r="HG54" i="17"/>
  <c r="HG55" i="17"/>
  <c r="HG56" i="17"/>
  <c r="HG57" i="17"/>
  <c r="HG58" i="17"/>
  <c r="HG59" i="17"/>
  <c r="HG60" i="17"/>
  <c r="HG61" i="17"/>
  <c r="HG62" i="17"/>
  <c r="HG63" i="17"/>
  <c r="HG64" i="17"/>
  <c r="HG65" i="17"/>
  <c r="HG66" i="17"/>
  <c r="HC24" i="17"/>
  <c r="HC25" i="17"/>
  <c r="HC26" i="17"/>
  <c r="HC27" i="17"/>
  <c r="HC28" i="17"/>
  <c r="HC29" i="17"/>
  <c r="HC30" i="17"/>
  <c r="HC31" i="17"/>
  <c r="HC32" i="17"/>
  <c r="HC33" i="17"/>
  <c r="HC34" i="17"/>
  <c r="HC35" i="17"/>
  <c r="HC36" i="17"/>
  <c r="HC37" i="17"/>
  <c r="HC38" i="17"/>
  <c r="HC39" i="17"/>
  <c r="HC40" i="17"/>
  <c r="HC41" i="17"/>
  <c r="HC42" i="17"/>
  <c r="HC43" i="17"/>
  <c r="HC44" i="17"/>
  <c r="HC45" i="17"/>
  <c r="HC46" i="17"/>
  <c r="HC47" i="17"/>
  <c r="HC48" i="17"/>
  <c r="HC49" i="17"/>
  <c r="HC50" i="17"/>
  <c r="HC51" i="17"/>
  <c r="HC52" i="17"/>
  <c r="HC53" i="17"/>
  <c r="HC54" i="17"/>
  <c r="HC55" i="17"/>
  <c r="HC56" i="17"/>
  <c r="HC57" i="17"/>
  <c r="HC58" i="17"/>
  <c r="HC59" i="17"/>
  <c r="HC60" i="17"/>
  <c r="HC61" i="17"/>
  <c r="HC62" i="17"/>
  <c r="HC63" i="17"/>
  <c r="HC64" i="17"/>
  <c r="HC65" i="17"/>
  <c r="HC66" i="17"/>
  <c r="GY24" i="17"/>
  <c r="GY25" i="17"/>
  <c r="GY26" i="17"/>
  <c r="GY27" i="17"/>
  <c r="GY28" i="17"/>
  <c r="GY29" i="17"/>
  <c r="GY30" i="17"/>
  <c r="GY31" i="17"/>
  <c r="GY32" i="17"/>
  <c r="GY33" i="17"/>
  <c r="GY34" i="17"/>
  <c r="GY35" i="17"/>
  <c r="GY36" i="17"/>
  <c r="GY37" i="17"/>
  <c r="GY38" i="17"/>
  <c r="GY39" i="17"/>
  <c r="GY40" i="17"/>
  <c r="GY41" i="17"/>
  <c r="GY42" i="17"/>
  <c r="GY43" i="17"/>
  <c r="GY44" i="17"/>
  <c r="GY45" i="17"/>
  <c r="GY46" i="17"/>
  <c r="GY47" i="17"/>
  <c r="GY48" i="17"/>
  <c r="GY49" i="17"/>
  <c r="GY50" i="17"/>
  <c r="GY51" i="17"/>
  <c r="GY52" i="17"/>
  <c r="GY53" i="17"/>
  <c r="GY54" i="17"/>
  <c r="GY55" i="17"/>
  <c r="GY56" i="17"/>
  <c r="GY57" i="17"/>
  <c r="GY58" i="17"/>
  <c r="GY59" i="17"/>
  <c r="GY60" i="17"/>
  <c r="GY61" i="17"/>
  <c r="GY62" i="17"/>
  <c r="GY63" i="17"/>
  <c r="GY64" i="17"/>
  <c r="GY65" i="17"/>
  <c r="GY66" i="17"/>
  <c r="GU24" i="17"/>
  <c r="GU25" i="17"/>
  <c r="GU26" i="17"/>
  <c r="GU27" i="17"/>
  <c r="GU28" i="17"/>
  <c r="GU29" i="17"/>
  <c r="GU30" i="17"/>
  <c r="GU31" i="17"/>
  <c r="GU32" i="17"/>
  <c r="GU33" i="17"/>
  <c r="GU34" i="17"/>
  <c r="GU35" i="17"/>
  <c r="GU36" i="17"/>
  <c r="GU37" i="17"/>
  <c r="GU38" i="17"/>
  <c r="GU39" i="17"/>
  <c r="GU40" i="17"/>
  <c r="GU41" i="17"/>
  <c r="GU42" i="17"/>
  <c r="GU43" i="17"/>
  <c r="GU44" i="17"/>
  <c r="GU45" i="17"/>
  <c r="GU46" i="17"/>
  <c r="GU47" i="17"/>
  <c r="GU48" i="17"/>
  <c r="GU49" i="17"/>
  <c r="GU50" i="17"/>
  <c r="GU51" i="17"/>
  <c r="GU52" i="17"/>
  <c r="GU53" i="17"/>
  <c r="GU54" i="17"/>
  <c r="GU55" i="17"/>
  <c r="GU56" i="17"/>
  <c r="GU57" i="17"/>
  <c r="GU58" i="17"/>
  <c r="GU59" i="17"/>
  <c r="GU60" i="17"/>
  <c r="GU61" i="17"/>
  <c r="GU62" i="17"/>
  <c r="GU63" i="17"/>
  <c r="GU64" i="17"/>
  <c r="GU65" i="17"/>
  <c r="GU66" i="17"/>
  <c r="GQ24" i="17"/>
  <c r="GQ25" i="17"/>
  <c r="GQ26" i="17"/>
  <c r="GQ27" i="17"/>
  <c r="GQ28" i="17"/>
  <c r="GQ29" i="17"/>
  <c r="GQ30" i="17"/>
  <c r="GQ31" i="17"/>
  <c r="GQ32" i="17"/>
  <c r="GQ33" i="17"/>
  <c r="GQ34" i="17"/>
  <c r="GQ35" i="17"/>
  <c r="GQ36" i="17"/>
  <c r="GQ37" i="17"/>
  <c r="GQ38" i="17"/>
  <c r="GQ39" i="17"/>
  <c r="GQ40" i="17"/>
  <c r="GQ41" i="17"/>
  <c r="GQ42" i="17"/>
  <c r="GQ43" i="17"/>
  <c r="GQ44" i="17"/>
  <c r="GQ45" i="17"/>
  <c r="GQ46" i="17"/>
  <c r="GQ47" i="17"/>
  <c r="GQ48" i="17"/>
  <c r="GQ49" i="17"/>
  <c r="GQ50" i="17"/>
  <c r="GQ51" i="17"/>
  <c r="GQ52" i="17"/>
  <c r="GQ53" i="17"/>
  <c r="GQ54" i="17"/>
  <c r="GQ55" i="17"/>
  <c r="GQ56" i="17"/>
  <c r="GQ57" i="17"/>
  <c r="GQ58" i="17"/>
  <c r="GQ59" i="17"/>
  <c r="GQ60" i="17"/>
  <c r="GQ61" i="17"/>
  <c r="GQ62" i="17"/>
  <c r="GQ63" i="17"/>
  <c r="GQ64" i="17"/>
  <c r="GQ65" i="17"/>
  <c r="GQ66" i="17"/>
  <c r="GM24" i="17"/>
  <c r="GM25" i="17"/>
  <c r="GM26" i="17"/>
  <c r="GM27" i="17"/>
  <c r="GM28" i="17"/>
  <c r="GM29" i="17"/>
  <c r="GM30" i="17"/>
  <c r="GM31" i="17"/>
  <c r="GM32" i="17"/>
  <c r="GM33" i="17"/>
  <c r="GM34" i="17"/>
  <c r="GM35" i="17"/>
  <c r="GM36" i="17"/>
  <c r="GM37" i="17"/>
  <c r="GM38" i="17"/>
  <c r="GM39" i="17"/>
  <c r="GM40" i="17"/>
  <c r="GM41" i="17"/>
  <c r="GM42" i="17"/>
  <c r="GM43" i="17"/>
  <c r="GM44" i="17"/>
  <c r="GM45" i="17"/>
  <c r="GM46" i="17"/>
  <c r="GM47" i="17"/>
  <c r="GM48" i="17"/>
  <c r="GM49" i="17"/>
  <c r="GM50" i="17"/>
  <c r="GM51" i="17"/>
  <c r="GM52" i="17"/>
  <c r="GM53" i="17"/>
  <c r="GM54" i="17"/>
  <c r="GM55" i="17"/>
  <c r="GM56" i="17"/>
  <c r="GM57" i="17"/>
  <c r="GM58" i="17"/>
  <c r="GM59" i="17"/>
  <c r="GM60" i="17"/>
  <c r="GM61" i="17"/>
  <c r="GM62" i="17"/>
  <c r="GM63" i="17"/>
  <c r="GM64" i="17"/>
  <c r="GM65" i="17"/>
  <c r="GM66" i="17"/>
  <c r="GI24" i="17"/>
  <c r="GI25" i="17"/>
  <c r="GI26" i="17"/>
  <c r="GI27" i="17"/>
  <c r="GI28" i="17"/>
  <c r="GI29" i="17"/>
  <c r="GI30" i="17"/>
  <c r="GI31" i="17"/>
  <c r="GI32" i="17"/>
  <c r="GI33" i="17"/>
  <c r="GI34" i="17"/>
  <c r="GI35" i="17"/>
  <c r="GI36" i="17"/>
  <c r="GI37" i="17"/>
  <c r="GI38" i="17"/>
  <c r="GI39" i="17"/>
  <c r="GI40" i="17"/>
  <c r="GI41" i="17"/>
  <c r="GI42" i="17"/>
  <c r="GI43" i="17"/>
  <c r="GI44" i="17"/>
  <c r="GI45" i="17"/>
  <c r="GI46" i="17"/>
  <c r="GI47" i="17"/>
  <c r="GI48" i="17"/>
  <c r="GI49" i="17"/>
  <c r="GI50" i="17"/>
  <c r="GI51" i="17"/>
  <c r="GI52" i="17"/>
  <c r="GI53" i="17"/>
  <c r="GI54" i="17"/>
  <c r="GI55" i="17"/>
  <c r="GI56" i="17"/>
  <c r="GI57" i="17"/>
  <c r="GI58" i="17"/>
  <c r="GI59" i="17"/>
  <c r="GI60" i="17"/>
  <c r="GI61" i="17"/>
  <c r="GI62" i="17"/>
  <c r="GI63" i="17"/>
  <c r="GI64" i="17"/>
  <c r="GI65" i="17"/>
  <c r="GI66" i="17"/>
  <c r="GE24" i="17"/>
  <c r="GE25" i="17"/>
  <c r="GE26" i="17"/>
  <c r="GE27" i="17"/>
  <c r="GE28" i="17"/>
  <c r="GE29" i="17"/>
  <c r="GE30" i="17"/>
  <c r="GE31" i="17"/>
  <c r="GE32" i="17"/>
  <c r="GE33" i="17"/>
  <c r="GE34" i="17"/>
  <c r="GE35" i="17"/>
  <c r="GE36" i="17"/>
  <c r="GE37" i="17"/>
  <c r="GE38" i="17"/>
  <c r="GE39" i="17"/>
  <c r="GE40" i="17"/>
  <c r="GE41" i="17"/>
  <c r="GE42" i="17"/>
  <c r="GE43" i="17"/>
  <c r="GE44" i="17"/>
  <c r="GE45" i="17"/>
  <c r="GE46" i="17"/>
  <c r="GE47" i="17"/>
  <c r="GE48" i="17"/>
  <c r="GE49" i="17"/>
  <c r="GE50" i="17"/>
  <c r="GE51" i="17"/>
  <c r="GE52" i="17"/>
  <c r="GE53" i="17"/>
  <c r="GE54" i="17"/>
  <c r="GE55" i="17"/>
  <c r="GE56" i="17"/>
  <c r="GE57" i="17"/>
  <c r="GE58" i="17"/>
  <c r="GE59" i="17"/>
  <c r="GE60" i="17"/>
  <c r="GE61" i="17"/>
  <c r="GE62" i="17"/>
  <c r="GE63" i="17"/>
  <c r="GE64" i="17"/>
  <c r="GE65" i="17"/>
  <c r="GE66" i="17"/>
  <c r="GA24" i="17"/>
  <c r="GA25" i="17"/>
  <c r="GA26" i="17"/>
  <c r="GA27" i="17"/>
  <c r="GA28" i="17"/>
  <c r="GA29" i="17"/>
  <c r="GA30" i="17"/>
  <c r="GA31" i="17"/>
  <c r="GA32" i="17"/>
  <c r="GA33" i="17"/>
  <c r="GA34" i="17"/>
  <c r="GA35" i="17"/>
  <c r="GA36" i="17"/>
  <c r="GA37" i="17"/>
  <c r="GA38" i="17"/>
  <c r="GA39" i="17"/>
  <c r="GA40" i="17"/>
  <c r="GA41" i="17"/>
  <c r="GA42" i="17"/>
  <c r="GA43" i="17"/>
  <c r="GA44" i="17"/>
  <c r="GA45" i="17"/>
  <c r="GA46" i="17"/>
  <c r="GA47" i="17"/>
  <c r="GA48" i="17"/>
  <c r="GA49" i="17"/>
  <c r="GA50" i="17"/>
  <c r="GA51" i="17"/>
  <c r="GA52" i="17"/>
  <c r="GA53" i="17"/>
  <c r="GA54" i="17"/>
  <c r="GA55" i="17"/>
  <c r="GA56" i="17"/>
  <c r="GA57" i="17"/>
  <c r="GA58" i="17"/>
  <c r="GA59" i="17"/>
  <c r="GA60" i="17"/>
  <c r="GA61" i="17"/>
  <c r="GA62" i="17"/>
  <c r="GA63" i="17"/>
  <c r="GA64" i="17"/>
  <c r="GA65" i="17"/>
  <c r="GA66" i="17"/>
  <c r="FW24" i="17"/>
  <c r="FW25" i="17"/>
  <c r="FW26" i="17"/>
  <c r="FW27" i="17"/>
  <c r="FW28" i="17"/>
  <c r="FW29" i="17"/>
  <c r="FW30" i="17"/>
  <c r="FW31" i="17"/>
  <c r="FW32" i="17"/>
  <c r="FW33" i="17"/>
  <c r="FW34" i="17"/>
  <c r="FW35" i="17"/>
  <c r="FW36" i="17"/>
  <c r="FW37" i="17"/>
  <c r="FW38" i="17"/>
  <c r="FW39" i="17"/>
  <c r="FW40" i="17"/>
  <c r="FW41" i="17"/>
  <c r="FW42" i="17"/>
  <c r="FW43" i="17"/>
  <c r="FW44" i="17"/>
  <c r="FW45" i="17"/>
  <c r="FW46" i="17"/>
  <c r="FW47" i="17"/>
  <c r="FW48" i="17"/>
  <c r="FW49" i="17"/>
  <c r="FW50" i="17"/>
  <c r="FW51" i="17"/>
  <c r="FW52" i="17"/>
  <c r="FW53" i="17"/>
  <c r="FW54" i="17"/>
  <c r="FW55" i="17"/>
  <c r="FW56" i="17"/>
  <c r="FW57" i="17"/>
  <c r="FW58" i="17"/>
  <c r="FW59" i="17"/>
  <c r="FW60" i="17"/>
  <c r="FW61" i="17"/>
  <c r="FW62" i="17"/>
  <c r="FW63" i="17"/>
  <c r="FW64" i="17"/>
  <c r="FW65" i="17"/>
  <c r="FW66" i="17"/>
  <c r="FS24" i="17"/>
  <c r="FS25" i="17"/>
  <c r="FS26" i="17"/>
  <c r="FS27" i="17"/>
  <c r="FS28" i="17"/>
  <c r="FS29" i="17"/>
  <c r="FS30" i="17"/>
  <c r="FS31" i="17"/>
  <c r="FS32" i="17"/>
  <c r="FS33" i="17"/>
  <c r="FS34" i="17"/>
  <c r="FS35" i="17"/>
  <c r="FS36" i="17"/>
  <c r="FS37" i="17"/>
  <c r="FS38" i="17"/>
  <c r="FS39" i="17"/>
  <c r="FS40" i="17"/>
  <c r="FS41" i="17"/>
  <c r="FS42" i="17"/>
  <c r="FS43" i="17"/>
  <c r="FS44" i="17"/>
  <c r="FS45" i="17"/>
  <c r="FS46" i="17"/>
  <c r="FS47" i="17"/>
  <c r="FS48" i="17"/>
  <c r="FS49" i="17"/>
  <c r="FS50" i="17"/>
  <c r="FS51" i="17"/>
  <c r="FS52" i="17"/>
  <c r="FS53" i="17"/>
  <c r="FS54" i="17"/>
  <c r="FS55" i="17"/>
  <c r="FS56" i="17"/>
  <c r="FS57" i="17"/>
  <c r="FS58" i="17"/>
  <c r="FS59" i="17"/>
  <c r="FS60" i="17"/>
  <c r="FS61" i="17"/>
  <c r="FS62" i="17"/>
  <c r="FS63" i="17"/>
  <c r="FS64" i="17"/>
  <c r="FS65" i="17"/>
  <c r="FS66" i="17"/>
  <c r="FO24" i="17"/>
  <c r="FO25" i="17"/>
  <c r="FO26" i="17"/>
  <c r="FO27" i="17"/>
  <c r="FO28" i="17"/>
  <c r="FO29" i="17"/>
  <c r="FO30" i="17"/>
  <c r="FO31" i="17"/>
  <c r="FO32" i="17"/>
  <c r="FO33" i="17"/>
  <c r="FO34" i="17"/>
  <c r="FO35" i="17"/>
  <c r="FO36" i="17"/>
  <c r="FO37" i="17"/>
  <c r="FO38" i="17"/>
  <c r="FO39" i="17"/>
  <c r="FO40" i="17"/>
  <c r="FO41" i="17"/>
  <c r="FO42" i="17"/>
  <c r="FO43" i="17"/>
  <c r="FO44" i="17"/>
  <c r="FO45" i="17"/>
  <c r="FO46" i="17"/>
  <c r="FO47" i="17"/>
  <c r="FO48" i="17"/>
  <c r="FO49" i="17"/>
  <c r="FO50" i="17"/>
  <c r="FO51" i="17"/>
  <c r="FO52" i="17"/>
  <c r="FO53" i="17"/>
  <c r="FO54" i="17"/>
  <c r="FO55" i="17"/>
  <c r="FO56" i="17"/>
  <c r="FO57" i="17"/>
  <c r="FO58" i="17"/>
  <c r="FO59" i="17"/>
  <c r="FO60" i="17"/>
  <c r="FO61" i="17"/>
  <c r="FO62" i="17"/>
  <c r="FO63" i="17"/>
  <c r="FO64" i="17"/>
  <c r="FO65" i="17"/>
  <c r="FO66" i="17"/>
  <c r="FK24" i="17"/>
  <c r="FK25" i="17"/>
  <c r="FK26" i="17"/>
  <c r="FK27" i="17"/>
  <c r="FK28" i="17"/>
  <c r="FK29" i="17"/>
  <c r="FK30" i="17"/>
  <c r="FK31" i="17"/>
  <c r="FK32" i="17"/>
  <c r="FK33" i="17"/>
  <c r="FK34" i="17"/>
  <c r="FK35" i="17"/>
  <c r="FK36" i="17"/>
  <c r="FK37" i="17"/>
  <c r="FK38" i="17"/>
  <c r="FK39" i="17"/>
  <c r="FK40" i="17"/>
  <c r="FK41" i="17"/>
  <c r="FK42" i="17"/>
  <c r="FK43" i="17"/>
  <c r="FK44" i="17"/>
  <c r="FK45" i="17"/>
  <c r="FK46" i="17"/>
  <c r="FK47" i="17"/>
  <c r="FK48" i="17"/>
  <c r="FK49" i="17"/>
  <c r="FK50" i="17"/>
  <c r="FK51" i="17"/>
  <c r="FK52" i="17"/>
  <c r="FK53" i="17"/>
  <c r="FK54" i="17"/>
  <c r="FK55" i="17"/>
  <c r="FK56" i="17"/>
  <c r="FK57" i="17"/>
  <c r="FK58" i="17"/>
  <c r="FK59" i="17"/>
  <c r="FK60" i="17"/>
  <c r="FK61" i="17"/>
  <c r="FK62" i="17"/>
  <c r="FK63" i="17"/>
  <c r="FK64" i="17"/>
  <c r="FK65" i="17"/>
  <c r="FK66" i="17"/>
  <c r="FG24" i="17"/>
  <c r="FG25" i="17"/>
  <c r="FG26" i="17"/>
  <c r="FG27" i="17"/>
  <c r="FG28" i="17"/>
  <c r="FG29" i="17"/>
  <c r="FG30" i="17"/>
  <c r="FG31" i="17"/>
  <c r="FG32" i="17"/>
  <c r="FG33" i="17"/>
  <c r="FG34" i="17"/>
  <c r="FG35" i="17"/>
  <c r="FG36" i="17"/>
  <c r="FG37" i="17"/>
  <c r="FG38" i="17"/>
  <c r="FG39" i="17"/>
  <c r="FG40" i="17"/>
  <c r="FG41" i="17"/>
  <c r="FG42" i="17"/>
  <c r="FG43" i="17"/>
  <c r="FG44" i="17"/>
  <c r="FG45" i="17"/>
  <c r="FG46" i="17"/>
  <c r="FG47" i="17"/>
  <c r="FG48" i="17"/>
  <c r="FG49" i="17"/>
  <c r="FG50" i="17"/>
  <c r="FG51" i="17"/>
  <c r="FG52" i="17"/>
  <c r="FG53" i="17"/>
  <c r="FG54" i="17"/>
  <c r="FG55" i="17"/>
  <c r="FG56" i="17"/>
  <c r="FG57" i="17"/>
  <c r="FG58" i="17"/>
  <c r="FG59" i="17"/>
  <c r="FG60" i="17"/>
  <c r="FG61" i="17"/>
  <c r="FG62" i="17"/>
  <c r="FG63" i="17"/>
  <c r="FG64" i="17"/>
  <c r="FG65" i="17"/>
  <c r="FG66" i="17"/>
  <c r="FC24" i="17"/>
  <c r="FC25" i="17"/>
  <c r="FC26" i="17"/>
  <c r="FC27" i="17"/>
  <c r="FC28" i="17"/>
  <c r="FC29" i="17"/>
  <c r="FC30" i="17"/>
  <c r="FC31" i="17"/>
  <c r="FC32" i="17"/>
  <c r="FC33" i="17"/>
  <c r="FC34" i="17"/>
  <c r="FC35" i="17"/>
  <c r="FC36" i="17"/>
  <c r="FC37" i="17"/>
  <c r="FC38" i="17"/>
  <c r="FC39" i="17"/>
  <c r="FC40" i="17"/>
  <c r="FC41" i="17"/>
  <c r="FC42" i="17"/>
  <c r="FC43" i="17"/>
  <c r="FC44" i="17"/>
  <c r="FC45" i="17"/>
  <c r="FC46" i="17"/>
  <c r="FC47" i="17"/>
  <c r="FC48" i="17"/>
  <c r="FC49" i="17"/>
  <c r="FC50" i="17"/>
  <c r="FC51" i="17"/>
  <c r="FC52" i="17"/>
  <c r="FC53" i="17"/>
  <c r="FC54" i="17"/>
  <c r="FC55" i="17"/>
  <c r="FC56" i="17"/>
  <c r="FC57" i="17"/>
  <c r="FC58" i="17"/>
  <c r="FC59" i="17"/>
  <c r="FC60" i="17"/>
  <c r="FC61" i="17"/>
  <c r="FC62" i="17"/>
  <c r="FC63" i="17"/>
  <c r="FC64" i="17"/>
  <c r="FC65" i="17"/>
  <c r="FC66" i="17"/>
  <c r="EY24" i="17"/>
  <c r="EY25" i="17"/>
  <c r="EY26" i="17"/>
  <c r="EY27" i="17"/>
  <c r="EY28" i="17"/>
  <c r="EY29" i="17"/>
  <c r="EY30" i="17"/>
  <c r="EY31" i="17"/>
  <c r="EY32" i="17"/>
  <c r="EY33" i="17"/>
  <c r="EY34" i="17"/>
  <c r="EY35" i="17"/>
  <c r="EY36" i="17"/>
  <c r="EY37" i="17"/>
  <c r="EY38" i="17"/>
  <c r="EY39" i="17"/>
  <c r="EY40" i="17"/>
  <c r="EY41" i="17"/>
  <c r="EY42" i="17"/>
  <c r="EY43" i="17"/>
  <c r="EY44" i="17"/>
  <c r="EY45" i="17"/>
  <c r="EY46" i="17"/>
  <c r="EY47" i="17"/>
  <c r="EY48" i="17"/>
  <c r="EY49" i="17"/>
  <c r="EY50" i="17"/>
  <c r="EY51" i="17"/>
  <c r="EY52" i="17"/>
  <c r="EY53" i="17"/>
  <c r="EY54" i="17"/>
  <c r="EY55" i="17"/>
  <c r="EY56" i="17"/>
  <c r="EY57" i="17"/>
  <c r="EY58" i="17"/>
  <c r="EY59" i="17"/>
  <c r="EY60" i="17"/>
  <c r="EY61" i="17"/>
  <c r="EY62" i="17"/>
  <c r="EY63" i="17"/>
  <c r="EY64" i="17"/>
  <c r="EY65" i="17"/>
  <c r="EY66" i="17"/>
  <c r="EU24" i="17"/>
  <c r="EU25" i="17"/>
  <c r="EU26" i="17"/>
  <c r="EU27" i="17"/>
  <c r="EU28" i="17"/>
  <c r="EU29" i="17"/>
  <c r="EU30" i="17"/>
  <c r="EU31" i="17"/>
  <c r="EU32" i="17"/>
  <c r="EU33" i="17"/>
  <c r="EU34" i="17"/>
  <c r="EU35" i="17"/>
  <c r="EU36" i="17"/>
  <c r="EU37" i="17"/>
  <c r="EU38" i="17"/>
  <c r="EU39" i="17"/>
  <c r="EU40" i="17"/>
  <c r="EU41" i="17"/>
  <c r="EU42" i="17"/>
  <c r="EU43" i="17"/>
  <c r="EU44" i="17"/>
  <c r="EU45" i="17"/>
  <c r="EU46" i="17"/>
  <c r="EU47" i="17"/>
  <c r="EU48" i="17"/>
  <c r="EU49" i="17"/>
  <c r="EU50" i="17"/>
  <c r="EU51" i="17"/>
  <c r="EU52" i="17"/>
  <c r="EU53" i="17"/>
  <c r="EU54" i="17"/>
  <c r="EU55" i="17"/>
  <c r="EU56" i="17"/>
  <c r="EU57" i="17"/>
  <c r="EU58" i="17"/>
  <c r="EU59" i="17"/>
  <c r="EU60" i="17"/>
  <c r="EU61" i="17"/>
  <c r="EU62" i="17"/>
  <c r="EU63" i="17"/>
  <c r="EU64" i="17"/>
  <c r="EU65" i="17"/>
  <c r="EU66" i="17"/>
  <c r="EQ24" i="17"/>
  <c r="EQ25" i="17"/>
  <c r="EQ26" i="17"/>
  <c r="EQ27" i="17"/>
  <c r="EQ28" i="17"/>
  <c r="EQ29" i="17"/>
  <c r="EQ30" i="17"/>
  <c r="EQ31" i="17"/>
  <c r="EQ32" i="17"/>
  <c r="EQ33" i="17"/>
  <c r="EQ34" i="17"/>
  <c r="EQ35" i="17"/>
  <c r="EQ36" i="17"/>
  <c r="EQ37" i="17"/>
  <c r="EQ38" i="17"/>
  <c r="EQ39" i="17"/>
  <c r="EQ40" i="17"/>
  <c r="EQ41" i="17"/>
  <c r="EQ42" i="17"/>
  <c r="EQ43" i="17"/>
  <c r="EQ44" i="17"/>
  <c r="EQ45" i="17"/>
  <c r="EQ46" i="17"/>
  <c r="EQ47" i="17"/>
  <c r="EQ48" i="17"/>
  <c r="EQ49" i="17"/>
  <c r="EQ50" i="17"/>
  <c r="EQ51" i="17"/>
  <c r="EQ52" i="17"/>
  <c r="EQ53" i="17"/>
  <c r="EQ54" i="17"/>
  <c r="EQ55" i="17"/>
  <c r="EQ56" i="17"/>
  <c r="EQ57" i="17"/>
  <c r="EQ58" i="17"/>
  <c r="EQ59" i="17"/>
  <c r="EQ60" i="17"/>
  <c r="EQ61" i="17"/>
  <c r="EQ62" i="17"/>
  <c r="EQ63" i="17"/>
  <c r="EQ64" i="17"/>
  <c r="EQ65" i="17"/>
  <c r="EQ66" i="17"/>
  <c r="EN7" i="17"/>
  <c r="EN8" i="17"/>
  <c r="EN9" i="17"/>
  <c r="EN10" i="17"/>
  <c r="EN11" i="17"/>
  <c r="EN12" i="17"/>
  <c r="EN13" i="17"/>
  <c r="EN14" i="17"/>
  <c r="EN15" i="17"/>
  <c r="EN16" i="17"/>
  <c r="EN17" i="17"/>
  <c r="EN18" i="17"/>
  <c r="EN19" i="17"/>
  <c r="EN20" i="17"/>
  <c r="EN21" i="17"/>
  <c r="EN22" i="17"/>
  <c r="EN23" i="17"/>
  <c r="EN24" i="17"/>
  <c r="EN25" i="17"/>
  <c r="EN26" i="17"/>
  <c r="EN27" i="17"/>
  <c r="EN28" i="17"/>
  <c r="EN29" i="17"/>
  <c r="EN30" i="17"/>
  <c r="EN31" i="17"/>
  <c r="EN32" i="17"/>
  <c r="EN33" i="17"/>
  <c r="EN34" i="17"/>
  <c r="EN35" i="17"/>
  <c r="EN36" i="17"/>
  <c r="EN37" i="17"/>
  <c r="EN38" i="17"/>
  <c r="EN39" i="17"/>
  <c r="EN40" i="17"/>
  <c r="EN41" i="17"/>
  <c r="EN42" i="17"/>
  <c r="EN43" i="17"/>
  <c r="EN44" i="17"/>
  <c r="EN45" i="17"/>
  <c r="EN46" i="17"/>
  <c r="EN47" i="17"/>
  <c r="EN48" i="17"/>
  <c r="EN49" i="17"/>
  <c r="EN50" i="17"/>
  <c r="EN51" i="17"/>
  <c r="EN52" i="17"/>
  <c r="EN53" i="17"/>
  <c r="EN54" i="17"/>
  <c r="EN55" i="17"/>
  <c r="EN56" i="17"/>
  <c r="EN57" i="17"/>
  <c r="EN58" i="17"/>
  <c r="EN59" i="17"/>
  <c r="EN60" i="17"/>
  <c r="EN61" i="17"/>
  <c r="EN62" i="17"/>
  <c r="EN63" i="17"/>
  <c r="EN64" i="17"/>
  <c r="EN65" i="17"/>
  <c r="EN66" i="17"/>
  <c r="EO7" i="17"/>
  <c r="EO8" i="17"/>
  <c r="EO9" i="17"/>
  <c r="EO10" i="17"/>
  <c r="EO11" i="17"/>
  <c r="EO12" i="17"/>
  <c r="EO13" i="17"/>
  <c r="EO14" i="17"/>
  <c r="EO15" i="17"/>
  <c r="EO16" i="17"/>
  <c r="EO17" i="17"/>
  <c r="EO18" i="17"/>
  <c r="EO19" i="17"/>
  <c r="EO20" i="17"/>
  <c r="EO21" i="17"/>
  <c r="EO22" i="17"/>
  <c r="EO23" i="17"/>
  <c r="EO24" i="17"/>
  <c r="EO25" i="17"/>
  <c r="EO26" i="17"/>
  <c r="EO27" i="17"/>
  <c r="EO28" i="17"/>
  <c r="EO29" i="17"/>
  <c r="EO30" i="17"/>
  <c r="EO31" i="17"/>
  <c r="EO32" i="17"/>
  <c r="EO33" i="17"/>
  <c r="EO34" i="17"/>
  <c r="EO35" i="17"/>
  <c r="EO36" i="17"/>
  <c r="EO37" i="17"/>
  <c r="EO38" i="17"/>
  <c r="EO39" i="17"/>
  <c r="EO40" i="17"/>
  <c r="EO41" i="17"/>
  <c r="EO42" i="17"/>
  <c r="EO43" i="17"/>
  <c r="EO44" i="17"/>
  <c r="EO45" i="17"/>
  <c r="EO46" i="17"/>
  <c r="EO47" i="17"/>
  <c r="EO48" i="17"/>
  <c r="EO49" i="17"/>
  <c r="EO50" i="17"/>
  <c r="EO51" i="17"/>
  <c r="EO52" i="17"/>
  <c r="EO53" i="17"/>
  <c r="EO54" i="17"/>
  <c r="EO55" i="17"/>
  <c r="EO56" i="17"/>
  <c r="EO57" i="17"/>
  <c r="EO58" i="17"/>
  <c r="EO59" i="17"/>
  <c r="EO60" i="17"/>
  <c r="EO61" i="17"/>
  <c r="EO62" i="17"/>
  <c r="EO63" i="17"/>
  <c r="EO64" i="17"/>
  <c r="EO65" i="17"/>
  <c r="EO66" i="17"/>
  <c r="EP7" i="17"/>
  <c r="EP8" i="17"/>
  <c r="EP9" i="17"/>
  <c r="EP10" i="17"/>
  <c r="EP11" i="17"/>
  <c r="EP12" i="17"/>
  <c r="EP13" i="17"/>
  <c r="EP14" i="17"/>
  <c r="EP15" i="17"/>
  <c r="EP16" i="17"/>
  <c r="EP17" i="17"/>
  <c r="EP18" i="17"/>
  <c r="EP19" i="17"/>
  <c r="EP20" i="17"/>
  <c r="EP21" i="17"/>
  <c r="EP22" i="17"/>
  <c r="EP23" i="17"/>
  <c r="EP24" i="17"/>
  <c r="EP25" i="17"/>
  <c r="EP26" i="17"/>
  <c r="EP27" i="17"/>
  <c r="EP28" i="17"/>
  <c r="EP29" i="17"/>
  <c r="EP30" i="17"/>
  <c r="EP31" i="17"/>
  <c r="EP32" i="17"/>
  <c r="EP33" i="17"/>
  <c r="EP34" i="17"/>
  <c r="EP35" i="17"/>
  <c r="EP36" i="17"/>
  <c r="EP37" i="17"/>
  <c r="EP38" i="17"/>
  <c r="EP39" i="17"/>
  <c r="EP40" i="17"/>
  <c r="EP41" i="17"/>
  <c r="EP42" i="17"/>
  <c r="EP43" i="17"/>
  <c r="EP44" i="17"/>
  <c r="EP45" i="17"/>
  <c r="EP46" i="17"/>
  <c r="EP47" i="17"/>
  <c r="EP48" i="17"/>
  <c r="EP49" i="17"/>
  <c r="EP50" i="17"/>
  <c r="EP51" i="17"/>
  <c r="EP52" i="17"/>
  <c r="EP53" i="17"/>
  <c r="EP54" i="17"/>
  <c r="EP55" i="17"/>
  <c r="EP56" i="17"/>
  <c r="EP57" i="17"/>
  <c r="EP58" i="17"/>
  <c r="EP59" i="17"/>
  <c r="EP60" i="17"/>
  <c r="EP61" i="17"/>
  <c r="EP62" i="17"/>
  <c r="EP63" i="17"/>
  <c r="EP64" i="17"/>
  <c r="EP65" i="17"/>
  <c r="EP66" i="17"/>
  <c r="ER7" i="17"/>
  <c r="ER8" i="17"/>
  <c r="ER9" i="17"/>
  <c r="ER10" i="17"/>
  <c r="ER11" i="17"/>
  <c r="ER12" i="17"/>
  <c r="ER13" i="17"/>
  <c r="ER14" i="17"/>
  <c r="ER15" i="17"/>
  <c r="ER16" i="17"/>
  <c r="ER17" i="17"/>
  <c r="ER18" i="17"/>
  <c r="ER19" i="17"/>
  <c r="ER20" i="17"/>
  <c r="ER21" i="17"/>
  <c r="ER22" i="17"/>
  <c r="ER23" i="17"/>
  <c r="ER24" i="17"/>
  <c r="ER25" i="17"/>
  <c r="ER26" i="17"/>
  <c r="ER27" i="17"/>
  <c r="ER28" i="17"/>
  <c r="ER29" i="17"/>
  <c r="ER30" i="17"/>
  <c r="ER31" i="17"/>
  <c r="ER32" i="17"/>
  <c r="ER33" i="17"/>
  <c r="ER34" i="17"/>
  <c r="ER35" i="17"/>
  <c r="ER36" i="17"/>
  <c r="ER37" i="17"/>
  <c r="ER38" i="17"/>
  <c r="ER39" i="17"/>
  <c r="ER40" i="17"/>
  <c r="ER41" i="17"/>
  <c r="ER42" i="17"/>
  <c r="ER43" i="17"/>
  <c r="ER44" i="17"/>
  <c r="ER45" i="17"/>
  <c r="ER46" i="17"/>
  <c r="ER47" i="17"/>
  <c r="ER48" i="17"/>
  <c r="ER49" i="17"/>
  <c r="ER50" i="17"/>
  <c r="ER51" i="17"/>
  <c r="ER52" i="17"/>
  <c r="ER53" i="17"/>
  <c r="ER54" i="17"/>
  <c r="ER55" i="17"/>
  <c r="ER56" i="17"/>
  <c r="ER57" i="17"/>
  <c r="ER58" i="17"/>
  <c r="ER59" i="17"/>
  <c r="ER60" i="17"/>
  <c r="ER61" i="17"/>
  <c r="ER62" i="17"/>
  <c r="ER63" i="17"/>
  <c r="ER64" i="17"/>
  <c r="ER65" i="17"/>
  <c r="ER66" i="17"/>
  <c r="ES7" i="17"/>
  <c r="ES8" i="17"/>
  <c r="ES9" i="17"/>
  <c r="ES10" i="17"/>
  <c r="ES11" i="17"/>
  <c r="ES12" i="17"/>
  <c r="ES13" i="17"/>
  <c r="ES14" i="17"/>
  <c r="ES15" i="17"/>
  <c r="ES16" i="17"/>
  <c r="ES17" i="17"/>
  <c r="ES18" i="17"/>
  <c r="ES19" i="17"/>
  <c r="ES20" i="17"/>
  <c r="ES21" i="17"/>
  <c r="ES22" i="17"/>
  <c r="ES23" i="17"/>
  <c r="ES24" i="17"/>
  <c r="ES25" i="17"/>
  <c r="ES26" i="17"/>
  <c r="ES27" i="17"/>
  <c r="ES28" i="17"/>
  <c r="ES29" i="17"/>
  <c r="ES30" i="17"/>
  <c r="ES31" i="17"/>
  <c r="ES32" i="17"/>
  <c r="ES33" i="17"/>
  <c r="ES34" i="17"/>
  <c r="ES35" i="17"/>
  <c r="ES36" i="17"/>
  <c r="ES37" i="17"/>
  <c r="ES38" i="17"/>
  <c r="ES39" i="17"/>
  <c r="ES40" i="17"/>
  <c r="ES41" i="17"/>
  <c r="ES42" i="17"/>
  <c r="ES43" i="17"/>
  <c r="ES44" i="17"/>
  <c r="ES45" i="17"/>
  <c r="ES46" i="17"/>
  <c r="ES47" i="17"/>
  <c r="ES48" i="17"/>
  <c r="ES49" i="17"/>
  <c r="ES50" i="17"/>
  <c r="ES51" i="17"/>
  <c r="ES52" i="17"/>
  <c r="ES53" i="17"/>
  <c r="ES54" i="17"/>
  <c r="ES55" i="17"/>
  <c r="ES56" i="17"/>
  <c r="ES57" i="17"/>
  <c r="ES58" i="17"/>
  <c r="ES59" i="17"/>
  <c r="ES60" i="17"/>
  <c r="ES61" i="17"/>
  <c r="ES62" i="17"/>
  <c r="ES63" i="17"/>
  <c r="ES64" i="17"/>
  <c r="ES65" i="17"/>
  <c r="ES66" i="17"/>
  <c r="ET7" i="17"/>
  <c r="ET8" i="17"/>
  <c r="ET9" i="17"/>
  <c r="ET10" i="17"/>
  <c r="ET11" i="17"/>
  <c r="ET12" i="17"/>
  <c r="ET13" i="17"/>
  <c r="ET14" i="17"/>
  <c r="ET15" i="17"/>
  <c r="ET16" i="17"/>
  <c r="ET17" i="17"/>
  <c r="ET18" i="17"/>
  <c r="ET19" i="17"/>
  <c r="ET20" i="17"/>
  <c r="ET21" i="17"/>
  <c r="ET22" i="17"/>
  <c r="ET23" i="17"/>
  <c r="ET24" i="17"/>
  <c r="ET25" i="17"/>
  <c r="ET26" i="17"/>
  <c r="ET27" i="17"/>
  <c r="ET28" i="17"/>
  <c r="ET29" i="17"/>
  <c r="ET30" i="17"/>
  <c r="ET31" i="17"/>
  <c r="ET32" i="17"/>
  <c r="ET33" i="17"/>
  <c r="ET34" i="17"/>
  <c r="ET35" i="17"/>
  <c r="ET36" i="17"/>
  <c r="ET37" i="17"/>
  <c r="ET38" i="17"/>
  <c r="ET39" i="17"/>
  <c r="ET40" i="17"/>
  <c r="ET41" i="17"/>
  <c r="ET42" i="17"/>
  <c r="ET43" i="17"/>
  <c r="ET44" i="17"/>
  <c r="ET45" i="17"/>
  <c r="ET46" i="17"/>
  <c r="ET47" i="17"/>
  <c r="ET48" i="17"/>
  <c r="ET49" i="17"/>
  <c r="ET50" i="17"/>
  <c r="ET51" i="17"/>
  <c r="ET52" i="17"/>
  <c r="ET53" i="17"/>
  <c r="ET54" i="17"/>
  <c r="ET55" i="17"/>
  <c r="ET56" i="17"/>
  <c r="ET57" i="17"/>
  <c r="ET58" i="17"/>
  <c r="ET59" i="17"/>
  <c r="ET60" i="17"/>
  <c r="ET61" i="17"/>
  <c r="ET62" i="17"/>
  <c r="ET63" i="17"/>
  <c r="ET64" i="17"/>
  <c r="ET65" i="17"/>
  <c r="ET66" i="17"/>
  <c r="EV7" i="17"/>
  <c r="EV8" i="17"/>
  <c r="EV9" i="17"/>
  <c r="EV10" i="17"/>
  <c r="EV11" i="17"/>
  <c r="EV12" i="17"/>
  <c r="EV13" i="17"/>
  <c r="EV14" i="17"/>
  <c r="EV15" i="17"/>
  <c r="EV16" i="17"/>
  <c r="EV17" i="17"/>
  <c r="EV18" i="17"/>
  <c r="EV19" i="17"/>
  <c r="EV20" i="17"/>
  <c r="EV21" i="17"/>
  <c r="EV22" i="17"/>
  <c r="EV23" i="17"/>
  <c r="EV24" i="17"/>
  <c r="EV25" i="17"/>
  <c r="EV26" i="17"/>
  <c r="EV27" i="17"/>
  <c r="EV28" i="17"/>
  <c r="EV29" i="17"/>
  <c r="EV30" i="17"/>
  <c r="EV31" i="17"/>
  <c r="EV32" i="17"/>
  <c r="EV33" i="17"/>
  <c r="EV34" i="17"/>
  <c r="EV35" i="17"/>
  <c r="EV36" i="17"/>
  <c r="EV37" i="17"/>
  <c r="EV38" i="17"/>
  <c r="EV39" i="17"/>
  <c r="EV40" i="17"/>
  <c r="EV41" i="17"/>
  <c r="EV42" i="17"/>
  <c r="EV43" i="17"/>
  <c r="EV44" i="17"/>
  <c r="EV45" i="17"/>
  <c r="EV46" i="17"/>
  <c r="EV47" i="17"/>
  <c r="EV48" i="17"/>
  <c r="EV49" i="17"/>
  <c r="EV50" i="17"/>
  <c r="EV51" i="17"/>
  <c r="EV52" i="17"/>
  <c r="EV53" i="17"/>
  <c r="EV54" i="17"/>
  <c r="EV55" i="17"/>
  <c r="EV56" i="17"/>
  <c r="EV57" i="17"/>
  <c r="EV58" i="17"/>
  <c r="EV59" i="17"/>
  <c r="EV60" i="17"/>
  <c r="EV61" i="17"/>
  <c r="EV62" i="17"/>
  <c r="EV63" i="17"/>
  <c r="EV64" i="17"/>
  <c r="EV65" i="17"/>
  <c r="EV66" i="17"/>
  <c r="EW7" i="17"/>
  <c r="EW8" i="17"/>
  <c r="EW9" i="17"/>
  <c r="EW10" i="17"/>
  <c r="EW11" i="17"/>
  <c r="EW12" i="17"/>
  <c r="EW13" i="17"/>
  <c r="EW14" i="17"/>
  <c r="EW15" i="17"/>
  <c r="EW16" i="17"/>
  <c r="EW17" i="17"/>
  <c r="EW18" i="17"/>
  <c r="EW19" i="17"/>
  <c r="EW20" i="17"/>
  <c r="EW21" i="17"/>
  <c r="EW22" i="17"/>
  <c r="EW23" i="17"/>
  <c r="EW24" i="17"/>
  <c r="EW25" i="17"/>
  <c r="EW26" i="17"/>
  <c r="EW27" i="17"/>
  <c r="EW28" i="17"/>
  <c r="EW29" i="17"/>
  <c r="EW30" i="17"/>
  <c r="EW31" i="17"/>
  <c r="EW32" i="17"/>
  <c r="EW33" i="17"/>
  <c r="EW34" i="17"/>
  <c r="EW35" i="17"/>
  <c r="EW36" i="17"/>
  <c r="EW37" i="17"/>
  <c r="EW38" i="17"/>
  <c r="EW39" i="17"/>
  <c r="EW40" i="17"/>
  <c r="EW41" i="17"/>
  <c r="EW42" i="17"/>
  <c r="EW43" i="17"/>
  <c r="EW44" i="17"/>
  <c r="EW45" i="17"/>
  <c r="EW46" i="17"/>
  <c r="EW47" i="17"/>
  <c r="EW48" i="17"/>
  <c r="EW49" i="17"/>
  <c r="EW50" i="17"/>
  <c r="EW51" i="17"/>
  <c r="EW52" i="17"/>
  <c r="EW53" i="17"/>
  <c r="EW54" i="17"/>
  <c r="EW55" i="17"/>
  <c r="EW56" i="17"/>
  <c r="EW57" i="17"/>
  <c r="EW58" i="17"/>
  <c r="EW59" i="17"/>
  <c r="EW60" i="17"/>
  <c r="EW61" i="17"/>
  <c r="EW62" i="17"/>
  <c r="EW63" i="17"/>
  <c r="EW64" i="17"/>
  <c r="EW65" i="17"/>
  <c r="EW66" i="17"/>
  <c r="EX7" i="17"/>
  <c r="EX8" i="17"/>
  <c r="EX9" i="17"/>
  <c r="EX10" i="17"/>
  <c r="EX11" i="17"/>
  <c r="EX12" i="17"/>
  <c r="EX13" i="17"/>
  <c r="EX14" i="17"/>
  <c r="EX15" i="17"/>
  <c r="EX16" i="17"/>
  <c r="EX17" i="17"/>
  <c r="EX18" i="17"/>
  <c r="EX19" i="17"/>
  <c r="EX20" i="17"/>
  <c r="EX21" i="17"/>
  <c r="EX22" i="17"/>
  <c r="EX23" i="17"/>
  <c r="EX24" i="17"/>
  <c r="EX25" i="17"/>
  <c r="EX26" i="17"/>
  <c r="EX27" i="17"/>
  <c r="EX28" i="17"/>
  <c r="EX29" i="17"/>
  <c r="EX30" i="17"/>
  <c r="EX31" i="17"/>
  <c r="EX32" i="17"/>
  <c r="EX33" i="17"/>
  <c r="EX34" i="17"/>
  <c r="EX35" i="17"/>
  <c r="EX36" i="17"/>
  <c r="EX37" i="17"/>
  <c r="EX38" i="17"/>
  <c r="EX39" i="17"/>
  <c r="EX40" i="17"/>
  <c r="EX41" i="17"/>
  <c r="EX42" i="17"/>
  <c r="EX43" i="17"/>
  <c r="EX44" i="17"/>
  <c r="EX45" i="17"/>
  <c r="EX46" i="17"/>
  <c r="EX47" i="17"/>
  <c r="EX48" i="17"/>
  <c r="EX49" i="17"/>
  <c r="EX50" i="17"/>
  <c r="EX51" i="17"/>
  <c r="EX52" i="17"/>
  <c r="EX53" i="17"/>
  <c r="EX54" i="17"/>
  <c r="EX55" i="17"/>
  <c r="EX56" i="17"/>
  <c r="EX57" i="17"/>
  <c r="EX58" i="17"/>
  <c r="EX59" i="17"/>
  <c r="EX60" i="17"/>
  <c r="EX61" i="17"/>
  <c r="EX62" i="17"/>
  <c r="EX63" i="17"/>
  <c r="EX64" i="17"/>
  <c r="EX65" i="17"/>
  <c r="EX66" i="17"/>
  <c r="EZ7" i="17"/>
  <c r="EZ8" i="17"/>
  <c r="EZ9" i="17"/>
  <c r="EZ10" i="17"/>
  <c r="EZ11" i="17"/>
  <c r="EZ12" i="17"/>
  <c r="EZ13" i="17"/>
  <c r="EZ14" i="17"/>
  <c r="EZ15" i="17"/>
  <c r="EZ16" i="17"/>
  <c r="EZ17" i="17"/>
  <c r="EZ18" i="17"/>
  <c r="EZ19" i="17"/>
  <c r="EZ20" i="17"/>
  <c r="EZ21" i="17"/>
  <c r="EZ22" i="17"/>
  <c r="EZ23" i="17"/>
  <c r="EZ24" i="17"/>
  <c r="EZ25" i="17"/>
  <c r="EZ26" i="17"/>
  <c r="EZ27" i="17"/>
  <c r="EZ28" i="17"/>
  <c r="EZ29" i="17"/>
  <c r="EZ30" i="17"/>
  <c r="EZ31" i="17"/>
  <c r="EZ32" i="17"/>
  <c r="EZ33" i="17"/>
  <c r="EZ34" i="17"/>
  <c r="EZ35" i="17"/>
  <c r="EZ36" i="17"/>
  <c r="EZ37" i="17"/>
  <c r="EZ38" i="17"/>
  <c r="EZ39" i="17"/>
  <c r="EZ40" i="17"/>
  <c r="EZ41" i="17"/>
  <c r="EZ42" i="17"/>
  <c r="EZ43" i="17"/>
  <c r="EZ44" i="17"/>
  <c r="EZ45" i="17"/>
  <c r="EZ46" i="17"/>
  <c r="EZ47" i="17"/>
  <c r="EZ48" i="17"/>
  <c r="EZ49" i="17"/>
  <c r="EZ50" i="17"/>
  <c r="EZ51" i="17"/>
  <c r="EZ52" i="17"/>
  <c r="EZ53" i="17"/>
  <c r="EZ54" i="17"/>
  <c r="EZ55" i="17"/>
  <c r="EZ56" i="17"/>
  <c r="EZ57" i="17"/>
  <c r="EZ58" i="17"/>
  <c r="EZ59" i="17"/>
  <c r="EZ60" i="17"/>
  <c r="EZ61" i="17"/>
  <c r="EZ62" i="17"/>
  <c r="EZ63" i="17"/>
  <c r="EZ64" i="17"/>
  <c r="EZ65" i="17"/>
  <c r="EZ66" i="17"/>
  <c r="FA7" i="17"/>
  <c r="FA8" i="17"/>
  <c r="FA9" i="17"/>
  <c r="FA10" i="17"/>
  <c r="FA11" i="17"/>
  <c r="FA12" i="17"/>
  <c r="FA13" i="17"/>
  <c r="FA14" i="17"/>
  <c r="FA15" i="17"/>
  <c r="FA16" i="17"/>
  <c r="FA17" i="17"/>
  <c r="FA18" i="17"/>
  <c r="FA19" i="17"/>
  <c r="FA20" i="17"/>
  <c r="FA21" i="17"/>
  <c r="FA22" i="17"/>
  <c r="FA23" i="17"/>
  <c r="FA24" i="17"/>
  <c r="FA25" i="17"/>
  <c r="FA26" i="17"/>
  <c r="FA27" i="17"/>
  <c r="FA28" i="17"/>
  <c r="FA29" i="17"/>
  <c r="FA30" i="17"/>
  <c r="FA31" i="17"/>
  <c r="FA32" i="17"/>
  <c r="FA33" i="17"/>
  <c r="FA34" i="17"/>
  <c r="FA35" i="17"/>
  <c r="FA36" i="17"/>
  <c r="FA37" i="17"/>
  <c r="FA38" i="17"/>
  <c r="FA39" i="17"/>
  <c r="FA40" i="17"/>
  <c r="FA41" i="17"/>
  <c r="FA42" i="17"/>
  <c r="FA43" i="17"/>
  <c r="FA44" i="17"/>
  <c r="FA45" i="17"/>
  <c r="FA46" i="17"/>
  <c r="FA47" i="17"/>
  <c r="FA48" i="17"/>
  <c r="FA49" i="17"/>
  <c r="FA50" i="17"/>
  <c r="FA51" i="17"/>
  <c r="FA52" i="17"/>
  <c r="FA53" i="17"/>
  <c r="FA54" i="17"/>
  <c r="FA55" i="17"/>
  <c r="FA56" i="17"/>
  <c r="FA57" i="17"/>
  <c r="FA58" i="17"/>
  <c r="FA59" i="17"/>
  <c r="FA60" i="17"/>
  <c r="FA61" i="17"/>
  <c r="FA62" i="17"/>
  <c r="FA63" i="17"/>
  <c r="FA64" i="17"/>
  <c r="FA65" i="17"/>
  <c r="FA66" i="17"/>
  <c r="FB7" i="17"/>
  <c r="FB8" i="17"/>
  <c r="FB9" i="17"/>
  <c r="FB10" i="17"/>
  <c r="FB11" i="17"/>
  <c r="FB12" i="17"/>
  <c r="FB13" i="17"/>
  <c r="FB14" i="17"/>
  <c r="FB15" i="17"/>
  <c r="FB16" i="17"/>
  <c r="FB17" i="17"/>
  <c r="FB18" i="17"/>
  <c r="FB19" i="17"/>
  <c r="FB20" i="17"/>
  <c r="FB21" i="17"/>
  <c r="FB22" i="17"/>
  <c r="FB23" i="17"/>
  <c r="FB24" i="17"/>
  <c r="FB25" i="17"/>
  <c r="FB26" i="17"/>
  <c r="FB27" i="17"/>
  <c r="FB28" i="17"/>
  <c r="FB29" i="17"/>
  <c r="FB30" i="17"/>
  <c r="FB31" i="17"/>
  <c r="FB32" i="17"/>
  <c r="FB33" i="17"/>
  <c r="FB34" i="17"/>
  <c r="FB35" i="17"/>
  <c r="FB36" i="17"/>
  <c r="FB37" i="17"/>
  <c r="FB38" i="17"/>
  <c r="FB39" i="17"/>
  <c r="FB40" i="17"/>
  <c r="FB41" i="17"/>
  <c r="FB42" i="17"/>
  <c r="FB43" i="17"/>
  <c r="FB44" i="17"/>
  <c r="FB45" i="17"/>
  <c r="FB46" i="17"/>
  <c r="FB47" i="17"/>
  <c r="FB48" i="17"/>
  <c r="FB49" i="17"/>
  <c r="FB50" i="17"/>
  <c r="FB51" i="17"/>
  <c r="FB52" i="17"/>
  <c r="FB53" i="17"/>
  <c r="FB54" i="17"/>
  <c r="FB55" i="17"/>
  <c r="FB56" i="17"/>
  <c r="FB57" i="17"/>
  <c r="FB58" i="17"/>
  <c r="FB59" i="17"/>
  <c r="FB60" i="17"/>
  <c r="FB61" i="17"/>
  <c r="FB62" i="17"/>
  <c r="FB63" i="17"/>
  <c r="FB64" i="17"/>
  <c r="FB65" i="17"/>
  <c r="FB66" i="17"/>
  <c r="FD7" i="17"/>
  <c r="FD8" i="17"/>
  <c r="FD9" i="17"/>
  <c r="FD10" i="17"/>
  <c r="FD11" i="17"/>
  <c r="FD12" i="17"/>
  <c r="FD13" i="17"/>
  <c r="FD14" i="17"/>
  <c r="FD15" i="17"/>
  <c r="FD16" i="17"/>
  <c r="FD17" i="17"/>
  <c r="FD18" i="17"/>
  <c r="FD19" i="17"/>
  <c r="FD20" i="17"/>
  <c r="FD21" i="17"/>
  <c r="FD22" i="17"/>
  <c r="FD23" i="17"/>
  <c r="FD24" i="17"/>
  <c r="FD25" i="17"/>
  <c r="FD26" i="17"/>
  <c r="FD27" i="17"/>
  <c r="FD28" i="17"/>
  <c r="FD29" i="17"/>
  <c r="FD30" i="17"/>
  <c r="FD31" i="17"/>
  <c r="FD32" i="17"/>
  <c r="FD33" i="17"/>
  <c r="FD34" i="17"/>
  <c r="FD35" i="17"/>
  <c r="FD36" i="17"/>
  <c r="FD37" i="17"/>
  <c r="FD38" i="17"/>
  <c r="FD39" i="17"/>
  <c r="FD40" i="17"/>
  <c r="FD41" i="17"/>
  <c r="FD42" i="17"/>
  <c r="FD43" i="17"/>
  <c r="FD44" i="17"/>
  <c r="FD45" i="17"/>
  <c r="FD46" i="17"/>
  <c r="FD47" i="17"/>
  <c r="FD48" i="17"/>
  <c r="FD49" i="17"/>
  <c r="FD50" i="17"/>
  <c r="FD51" i="17"/>
  <c r="FD52" i="17"/>
  <c r="FD53" i="17"/>
  <c r="FD54" i="17"/>
  <c r="FD55" i="17"/>
  <c r="FD56" i="17"/>
  <c r="FD57" i="17"/>
  <c r="FD58" i="17"/>
  <c r="FD59" i="17"/>
  <c r="FD60" i="17"/>
  <c r="FD61" i="17"/>
  <c r="FD62" i="17"/>
  <c r="FD63" i="17"/>
  <c r="FD64" i="17"/>
  <c r="FD65" i="17"/>
  <c r="FD66" i="17"/>
  <c r="FE7" i="17"/>
  <c r="FE8" i="17"/>
  <c r="FE9" i="17"/>
  <c r="FE10" i="17"/>
  <c r="FE11" i="17"/>
  <c r="FE12" i="17"/>
  <c r="FE13" i="17"/>
  <c r="FE14" i="17"/>
  <c r="FE15" i="17"/>
  <c r="FE16" i="17"/>
  <c r="FE17" i="17"/>
  <c r="FE18" i="17"/>
  <c r="FE19" i="17"/>
  <c r="FE20" i="17"/>
  <c r="FE21" i="17"/>
  <c r="FE22" i="17"/>
  <c r="FE23" i="17"/>
  <c r="FE24" i="17"/>
  <c r="FE25" i="17"/>
  <c r="FE26" i="17"/>
  <c r="FE27" i="17"/>
  <c r="FE28" i="17"/>
  <c r="FE29" i="17"/>
  <c r="FE30" i="17"/>
  <c r="FE31" i="17"/>
  <c r="FE32" i="17"/>
  <c r="FE33" i="17"/>
  <c r="FE34" i="17"/>
  <c r="FE35" i="17"/>
  <c r="FE36" i="17"/>
  <c r="FE37" i="17"/>
  <c r="FE38" i="17"/>
  <c r="FE39" i="17"/>
  <c r="FE40" i="17"/>
  <c r="FE41" i="17"/>
  <c r="FE42" i="17"/>
  <c r="FE43" i="17"/>
  <c r="FE44" i="17"/>
  <c r="FE45" i="17"/>
  <c r="FE46" i="17"/>
  <c r="FE47" i="17"/>
  <c r="FE48" i="17"/>
  <c r="FE49" i="17"/>
  <c r="FE50" i="17"/>
  <c r="FE51" i="17"/>
  <c r="FE52" i="17"/>
  <c r="FE53" i="17"/>
  <c r="FE54" i="17"/>
  <c r="FE55" i="17"/>
  <c r="FE56" i="17"/>
  <c r="FE57" i="17"/>
  <c r="FE58" i="17"/>
  <c r="FE59" i="17"/>
  <c r="FE60" i="17"/>
  <c r="FE61" i="17"/>
  <c r="FE62" i="17"/>
  <c r="FE63" i="17"/>
  <c r="FE64" i="17"/>
  <c r="FE65" i="17"/>
  <c r="FE66" i="17"/>
  <c r="FF7" i="17"/>
  <c r="FF8" i="17"/>
  <c r="FF9" i="17"/>
  <c r="FF10" i="17"/>
  <c r="FF11" i="17"/>
  <c r="FF12" i="17"/>
  <c r="FF13" i="17"/>
  <c r="FF14" i="17"/>
  <c r="FF15" i="17"/>
  <c r="FF16" i="17"/>
  <c r="FF17" i="17"/>
  <c r="FF18" i="17"/>
  <c r="FF19" i="17"/>
  <c r="FF20" i="17"/>
  <c r="FF21" i="17"/>
  <c r="FF22" i="17"/>
  <c r="FF23" i="17"/>
  <c r="FF24" i="17"/>
  <c r="FF25" i="17"/>
  <c r="FF26" i="17"/>
  <c r="FF27" i="17"/>
  <c r="FF28" i="17"/>
  <c r="FF29" i="17"/>
  <c r="FF30" i="17"/>
  <c r="FF31" i="17"/>
  <c r="FF32" i="17"/>
  <c r="FF33" i="17"/>
  <c r="FF34" i="17"/>
  <c r="FF35" i="17"/>
  <c r="FF36" i="17"/>
  <c r="FF37" i="17"/>
  <c r="FF38" i="17"/>
  <c r="FF39" i="17"/>
  <c r="FF40" i="17"/>
  <c r="FF41" i="17"/>
  <c r="FF42" i="17"/>
  <c r="FF43" i="17"/>
  <c r="FF44" i="17"/>
  <c r="FF45" i="17"/>
  <c r="FF46" i="17"/>
  <c r="FF47" i="17"/>
  <c r="FF48" i="17"/>
  <c r="FF49" i="17"/>
  <c r="FF50" i="17"/>
  <c r="FF51" i="17"/>
  <c r="FF52" i="17"/>
  <c r="FF53" i="17"/>
  <c r="FF54" i="17"/>
  <c r="FF55" i="17"/>
  <c r="FF56" i="17"/>
  <c r="FF57" i="17"/>
  <c r="FF58" i="17"/>
  <c r="FF59" i="17"/>
  <c r="FF60" i="17"/>
  <c r="FF61" i="17"/>
  <c r="FF62" i="17"/>
  <c r="FF63" i="17"/>
  <c r="FF64" i="17"/>
  <c r="FF65" i="17"/>
  <c r="FF66" i="17"/>
  <c r="FH7" i="17"/>
  <c r="FH8" i="17"/>
  <c r="FH9" i="17"/>
  <c r="FH10" i="17"/>
  <c r="FH11" i="17"/>
  <c r="FH12" i="17"/>
  <c r="FH13" i="17"/>
  <c r="FH14" i="17"/>
  <c r="FH15" i="17"/>
  <c r="FH16" i="17"/>
  <c r="FH17" i="17"/>
  <c r="FH18" i="17"/>
  <c r="FH19" i="17"/>
  <c r="FH20" i="17"/>
  <c r="FH21" i="17"/>
  <c r="FH22" i="17"/>
  <c r="FH23" i="17"/>
  <c r="FH24" i="17"/>
  <c r="FH25" i="17"/>
  <c r="FH26" i="17"/>
  <c r="FH27" i="17"/>
  <c r="FH28" i="17"/>
  <c r="FH29" i="17"/>
  <c r="FH30" i="17"/>
  <c r="FH31" i="17"/>
  <c r="FH32" i="17"/>
  <c r="FH33" i="17"/>
  <c r="FH34" i="17"/>
  <c r="FH35" i="17"/>
  <c r="FH36" i="17"/>
  <c r="FH37" i="17"/>
  <c r="FH38" i="17"/>
  <c r="FH39" i="17"/>
  <c r="FH40" i="17"/>
  <c r="FH41" i="17"/>
  <c r="FH42" i="17"/>
  <c r="FH43" i="17"/>
  <c r="FH44" i="17"/>
  <c r="FH45" i="17"/>
  <c r="FH46" i="17"/>
  <c r="FH47" i="17"/>
  <c r="FH48" i="17"/>
  <c r="FH49" i="17"/>
  <c r="FH50" i="17"/>
  <c r="FH51" i="17"/>
  <c r="FH52" i="17"/>
  <c r="FH53" i="17"/>
  <c r="FH54" i="17"/>
  <c r="FH55" i="17"/>
  <c r="FH56" i="17"/>
  <c r="FH57" i="17"/>
  <c r="FH58" i="17"/>
  <c r="FH59" i="17"/>
  <c r="FH60" i="17"/>
  <c r="FH61" i="17"/>
  <c r="FH62" i="17"/>
  <c r="FH63" i="17"/>
  <c r="FH64" i="17"/>
  <c r="FH65" i="17"/>
  <c r="FH66" i="17"/>
  <c r="FI7" i="17"/>
  <c r="FI8" i="17"/>
  <c r="FI9" i="17"/>
  <c r="FI10" i="17"/>
  <c r="FI11" i="17"/>
  <c r="FI12" i="17"/>
  <c r="FI13" i="17"/>
  <c r="FI14" i="17"/>
  <c r="FI15" i="17"/>
  <c r="FI16" i="17"/>
  <c r="FI17" i="17"/>
  <c r="FI18" i="17"/>
  <c r="FI19" i="17"/>
  <c r="FI20" i="17"/>
  <c r="FI21" i="17"/>
  <c r="FI22" i="17"/>
  <c r="FI23" i="17"/>
  <c r="FI24" i="17"/>
  <c r="FI25" i="17"/>
  <c r="FI26" i="17"/>
  <c r="FI27" i="17"/>
  <c r="FI28" i="17"/>
  <c r="FI29" i="17"/>
  <c r="FI30" i="17"/>
  <c r="FI31" i="17"/>
  <c r="FI32" i="17"/>
  <c r="FI33" i="17"/>
  <c r="FI34" i="17"/>
  <c r="FI35" i="17"/>
  <c r="FI36" i="17"/>
  <c r="FI37" i="17"/>
  <c r="FI38" i="17"/>
  <c r="FI39" i="17"/>
  <c r="FI40" i="17"/>
  <c r="FI41" i="17"/>
  <c r="FI42" i="17"/>
  <c r="FI43" i="17"/>
  <c r="FI44" i="17"/>
  <c r="FI45" i="17"/>
  <c r="FI46" i="17"/>
  <c r="FI47" i="17"/>
  <c r="FI48" i="17"/>
  <c r="FI49" i="17"/>
  <c r="FI50" i="17"/>
  <c r="FI51" i="17"/>
  <c r="FI52" i="17"/>
  <c r="FI53" i="17"/>
  <c r="FI54" i="17"/>
  <c r="FI55" i="17"/>
  <c r="FI56" i="17"/>
  <c r="FI57" i="17"/>
  <c r="FI58" i="17"/>
  <c r="FI59" i="17"/>
  <c r="FI60" i="17"/>
  <c r="FI61" i="17"/>
  <c r="FI62" i="17"/>
  <c r="FI63" i="17"/>
  <c r="FI64" i="17"/>
  <c r="FI65" i="17"/>
  <c r="FI66" i="17"/>
  <c r="FJ7" i="17"/>
  <c r="FJ8" i="17"/>
  <c r="FJ9" i="17"/>
  <c r="FJ10" i="17"/>
  <c r="FJ11" i="17"/>
  <c r="FJ12" i="17"/>
  <c r="FJ13" i="17"/>
  <c r="FJ14" i="17"/>
  <c r="FJ15" i="17"/>
  <c r="FJ16" i="17"/>
  <c r="FJ17" i="17"/>
  <c r="FJ18" i="17"/>
  <c r="FJ19" i="17"/>
  <c r="FJ20" i="17"/>
  <c r="FJ21" i="17"/>
  <c r="FJ22" i="17"/>
  <c r="FJ23" i="17"/>
  <c r="FJ24" i="17"/>
  <c r="FJ25" i="17"/>
  <c r="FJ26" i="17"/>
  <c r="FJ27" i="17"/>
  <c r="FJ28" i="17"/>
  <c r="FJ29" i="17"/>
  <c r="FJ30" i="17"/>
  <c r="FJ31" i="17"/>
  <c r="FJ32" i="17"/>
  <c r="FJ33" i="17"/>
  <c r="FJ34" i="17"/>
  <c r="FJ35" i="17"/>
  <c r="FJ36" i="17"/>
  <c r="FJ37" i="17"/>
  <c r="FJ38" i="17"/>
  <c r="FJ39" i="17"/>
  <c r="FJ40" i="17"/>
  <c r="FJ41" i="17"/>
  <c r="FJ42" i="17"/>
  <c r="FJ43" i="17"/>
  <c r="FJ44" i="17"/>
  <c r="FJ45" i="17"/>
  <c r="FJ46" i="17"/>
  <c r="FJ47" i="17"/>
  <c r="FJ48" i="17"/>
  <c r="FJ49" i="17"/>
  <c r="FJ50" i="17"/>
  <c r="FJ51" i="17"/>
  <c r="FJ52" i="17"/>
  <c r="FJ53" i="17"/>
  <c r="FJ54" i="17"/>
  <c r="FJ55" i="17"/>
  <c r="FJ56" i="17"/>
  <c r="FJ57" i="17"/>
  <c r="FJ58" i="17"/>
  <c r="FJ59" i="17"/>
  <c r="FJ60" i="17"/>
  <c r="FJ61" i="17"/>
  <c r="FJ62" i="17"/>
  <c r="FJ63" i="17"/>
  <c r="FJ64" i="17"/>
  <c r="FJ65" i="17"/>
  <c r="FJ66" i="17"/>
  <c r="FL7" i="17"/>
  <c r="FL8" i="17"/>
  <c r="FL9" i="17"/>
  <c r="FL10" i="17"/>
  <c r="FL11" i="17"/>
  <c r="FL12" i="17"/>
  <c r="FL13" i="17"/>
  <c r="FL14" i="17"/>
  <c r="FL15" i="17"/>
  <c r="FL16" i="17"/>
  <c r="FL17" i="17"/>
  <c r="FL18" i="17"/>
  <c r="FL19" i="17"/>
  <c r="FL20" i="17"/>
  <c r="FL21" i="17"/>
  <c r="FL22" i="17"/>
  <c r="FL23" i="17"/>
  <c r="FL24" i="17"/>
  <c r="FL25" i="17"/>
  <c r="FL26" i="17"/>
  <c r="FL27" i="17"/>
  <c r="FL28" i="17"/>
  <c r="FL29" i="17"/>
  <c r="FL30" i="17"/>
  <c r="FL31" i="17"/>
  <c r="FL32" i="17"/>
  <c r="FL33" i="17"/>
  <c r="FL34" i="17"/>
  <c r="FL35" i="17"/>
  <c r="FL36" i="17"/>
  <c r="FL37" i="17"/>
  <c r="FL38" i="17"/>
  <c r="FL39" i="17"/>
  <c r="FL40" i="17"/>
  <c r="FL41" i="17"/>
  <c r="FL42" i="17"/>
  <c r="FL43" i="17"/>
  <c r="FL44" i="17"/>
  <c r="FL45" i="17"/>
  <c r="FL46" i="17"/>
  <c r="FL47" i="17"/>
  <c r="FL48" i="17"/>
  <c r="FL49" i="17"/>
  <c r="FL50" i="17"/>
  <c r="FL51" i="17"/>
  <c r="FL52" i="17"/>
  <c r="FL53" i="17"/>
  <c r="FL54" i="17"/>
  <c r="FL55" i="17"/>
  <c r="FL56" i="17"/>
  <c r="FL57" i="17"/>
  <c r="FL58" i="17"/>
  <c r="FL59" i="17"/>
  <c r="FL60" i="17"/>
  <c r="FL61" i="17"/>
  <c r="FL62" i="17"/>
  <c r="FL63" i="17"/>
  <c r="FL64" i="17"/>
  <c r="FL65" i="17"/>
  <c r="FL66" i="17"/>
  <c r="FM7" i="17"/>
  <c r="FM8" i="17"/>
  <c r="FM9" i="17"/>
  <c r="FM10" i="17"/>
  <c r="FM11" i="17"/>
  <c r="FM12" i="17"/>
  <c r="FM13" i="17"/>
  <c r="FM14" i="17"/>
  <c r="FM15" i="17"/>
  <c r="FM16" i="17"/>
  <c r="FM17" i="17"/>
  <c r="FM18" i="17"/>
  <c r="FM19" i="17"/>
  <c r="FM20" i="17"/>
  <c r="FM21" i="17"/>
  <c r="FM22" i="17"/>
  <c r="FM23" i="17"/>
  <c r="FM24" i="17"/>
  <c r="FM25" i="17"/>
  <c r="FM26" i="17"/>
  <c r="FM27" i="17"/>
  <c r="FM28" i="17"/>
  <c r="FM29" i="17"/>
  <c r="FM30" i="17"/>
  <c r="FM31" i="17"/>
  <c r="FM32" i="17"/>
  <c r="FM33" i="17"/>
  <c r="FM34" i="17"/>
  <c r="FM35" i="17"/>
  <c r="FM36" i="17"/>
  <c r="FM37" i="17"/>
  <c r="FM38" i="17"/>
  <c r="FM39" i="17"/>
  <c r="FM40" i="17"/>
  <c r="FM41" i="17"/>
  <c r="FM42" i="17"/>
  <c r="FM43" i="17"/>
  <c r="FM44" i="17"/>
  <c r="FM45" i="17"/>
  <c r="FM46" i="17"/>
  <c r="FM47" i="17"/>
  <c r="FM48" i="17"/>
  <c r="FM49" i="17"/>
  <c r="FM50" i="17"/>
  <c r="FM51" i="17"/>
  <c r="FM52" i="17"/>
  <c r="FM53" i="17"/>
  <c r="FM54" i="17"/>
  <c r="FM55" i="17"/>
  <c r="FM56" i="17"/>
  <c r="FM57" i="17"/>
  <c r="FM58" i="17"/>
  <c r="FM59" i="17"/>
  <c r="FM60" i="17"/>
  <c r="FM61" i="17"/>
  <c r="FM62" i="17"/>
  <c r="FM63" i="17"/>
  <c r="FM64" i="17"/>
  <c r="FM65" i="17"/>
  <c r="FM66" i="17"/>
  <c r="FN7" i="17"/>
  <c r="FN8" i="17"/>
  <c r="FN9" i="17"/>
  <c r="FN10" i="17"/>
  <c r="FN11" i="17"/>
  <c r="FN12" i="17"/>
  <c r="FN13" i="17"/>
  <c r="FN14" i="17"/>
  <c r="FN15" i="17"/>
  <c r="FN16" i="17"/>
  <c r="FN17" i="17"/>
  <c r="FN18" i="17"/>
  <c r="FN19" i="17"/>
  <c r="FN20" i="17"/>
  <c r="FN21" i="17"/>
  <c r="FN22" i="17"/>
  <c r="FN23" i="17"/>
  <c r="FN24" i="17"/>
  <c r="FN25" i="17"/>
  <c r="FN26" i="17"/>
  <c r="FN27" i="17"/>
  <c r="FN28" i="17"/>
  <c r="FN29" i="17"/>
  <c r="FN30" i="17"/>
  <c r="FN31" i="17"/>
  <c r="FN32" i="17"/>
  <c r="FN33" i="17"/>
  <c r="FN34" i="17"/>
  <c r="FN35" i="17"/>
  <c r="FN36" i="17"/>
  <c r="FN37" i="17"/>
  <c r="FN38" i="17"/>
  <c r="FN39" i="17"/>
  <c r="FN40" i="17"/>
  <c r="FN41" i="17"/>
  <c r="FN42" i="17"/>
  <c r="FN43" i="17"/>
  <c r="FN44" i="17"/>
  <c r="FN45" i="17"/>
  <c r="FN46" i="17"/>
  <c r="FN47" i="17"/>
  <c r="FN48" i="17"/>
  <c r="FN49" i="17"/>
  <c r="FN50" i="17"/>
  <c r="FN51" i="17"/>
  <c r="FN52" i="17"/>
  <c r="FN53" i="17"/>
  <c r="FN54" i="17"/>
  <c r="FN55" i="17"/>
  <c r="FN56" i="17"/>
  <c r="FN57" i="17"/>
  <c r="FN58" i="17"/>
  <c r="FN59" i="17"/>
  <c r="FN60" i="17"/>
  <c r="FN61" i="17"/>
  <c r="FN62" i="17"/>
  <c r="FN63" i="17"/>
  <c r="FN64" i="17"/>
  <c r="FN65" i="17"/>
  <c r="FN66" i="17"/>
  <c r="FP7" i="17"/>
  <c r="FP8" i="17"/>
  <c r="FP9" i="17"/>
  <c r="FP10" i="17"/>
  <c r="FP11" i="17"/>
  <c r="FP12" i="17"/>
  <c r="FP13" i="17"/>
  <c r="FP14" i="17"/>
  <c r="FP15" i="17"/>
  <c r="FP16" i="17"/>
  <c r="FP17" i="17"/>
  <c r="FP18" i="17"/>
  <c r="FP19" i="17"/>
  <c r="FP20" i="17"/>
  <c r="FP21" i="17"/>
  <c r="FP22" i="17"/>
  <c r="FP23" i="17"/>
  <c r="FP24" i="17"/>
  <c r="FP25" i="17"/>
  <c r="FP26" i="17"/>
  <c r="FP27" i="17"/>
  <c r="FP28" i="17"/>
  <c r="FP29" i="17"/>
  <c r="FP30" i="17"/>
  <c r="FP31" i="17"/>
  <c r="FP32" i="17"/>
  <c r="FP33" i="17"/>
  <c r="FP34" i="17"/>
  <c r="FP35" i="17"/>
  <c r="FP36" i="17"/>
  <c r="FP37" i="17"/>
  <c r="FP38" i="17"/>
  <c r="FP39" i="17"/>
  <c r="FP40" i="17"/>
  <c r="FP41" i="17"/>
  <c r="FP42" i="17"/>
  <c r="FP43" i="17"/>
  <c r="FP44" i="17"/>
  <c r="FP45" i="17"/>
  <c r="FP46" i="17"/>
  <c r="FP47" i="17"/>
  <c r="FP48" i="17"/>
  <c r="FP49" i="17"/>
  <c r="FP50" i="17"/>
  <c r="FP51" i="17"/>
  <c r="FP52" i="17"/>
  <c r="FP53" i="17"/>
  <c r="FP54" i="17"/>
  <c r="FP55" i="17"/>
  <c r="FP56" i="17"/>
  <c r="FP57" i="17"/>
  <c r="FP58" i="17"/>
  <c r="FP59" i="17"/>
  <c r="FP60" i="17"/>
  <c r="FP61" i="17"/>
  <c r="FP62" i="17"/>
  <c r="FP63" i="17"/>
  <c r="FP64" i="17"/>
  <c r="FP65" i="17"/>
  <c r="FP66" i="17"/>
  <c r="FQ7" i="17"/>
  <c r="FQ8" i="17"/>
  <c r="FQ9" i="17"/>
  <c r="FQ10" i="17"/>
  <c r="FQ11" i="17"/>
  <c r="FQ12" i="17"/>
  <c r="FQ13" i="17"/>
  <c r="FQ14" i="17"/>
  <c r="FQ15" i="17"/>
  <c r="FQ16" i="17"/>
  <c r="FQ17" i="17"/>
  <c r="FQ18" i="17"/>
  <c r="FQ19" i="17"/>
  <c r="FQ20" i="17"/>
  <c r="FQ21" i="17"/>
  <c r="FQ22" i="17"/>
  <c r="FQ23" i="17"/>
  <c r="FQ24" i="17"/>
  <c r="FQ25" i="17"/>
  <c r="FQ26" i="17"/>
  <c r="FQ27" i="17"/>
  <c r="FQ28" i="17"/>
  <c r="FQ29" i="17"/>
  <c r="FQ30" i="17"/>
  <c r="FQ31" i="17"/>
  <c r="FQ32" i="17"/>
  <c r="FQ33" i="17"/>
  <c r="FQ34" i="17"/>
  <c r="FQ35" i="17"/>
  <c r="FQ36" i="17"/>
  <c r="FQ37" i="17"/>
  <c r="FQ38" i="17"/>
  <c r="FQ39" i="17"/>
  <c r="FQ40" i="17"/>
  <c r="FQ41" i="17"/>
  <c r="FQ42" i="17"/>
  <c r="FQ43" i="17"/>
  <c r="FQ44" i="17"/>
  <c r="FQ45" i="17"/>
  <c r="FQ46" i="17"/>
  <c r="FQ47" i="17"/>
  <c r="FQ48" i="17"/>
  <c r="FQ49" i="17"/>
  <c r="FQ50" i="17"/>
  <c r="FQ51" i="17"/>
  <c r="FQ52" i="17"/>
  <c r="FQ53" i="17"/>
  <c r="FQ54" i="17"/>
  <c r="FQ55" i="17"/>
  <c r="FQ56" i="17"/>
  <c r="FQ57" i="17"/>
  <c r="FQ58" i="17"/>
  <c r="FQ59" i="17"/>
  <c r="FQ60" i="17"/>
  <c r="FQ61" i="17"/>
  <c r="FQ62" i="17"/>
  <c r="FQ63" i="17"/>
  <c r="FQ64" i="17"/>
  <c r="FQ65" i="17"/>
  <c r="FQ66" i="17"/>
  <c r="FR7" i="17"/>
  <c r="FR8" i="17"/>
  <c r="FR9" i="17"/>
  <c r="FR10" i="17"/>
  <c r="FR11" i="17"/>
  <c r="FR12" i="17"/>
  <c r="FR13" i="17"/>
  <c r="FR14" i="17"/>
  <c r="FR15" i="17"/>
  <c r="FR16" i="17"/>
  <c r="FR17" i="17"/>
  <c r="FR18" i="17"/>
  <c r="FR19" i="17"/>
  <c r="FR20" i="17"/>
  <c r="FR21" i="17"/>
  <c r="FR22" i="17"/>
  <c r="FR23" i="17"/>
  <c r="FR24" i="17"/>
  <c r="FR25" i="17"/>
  <c r="FR26" i="17"/>
  <c r="FR27" i="17"/>
  <c r="FR28" i="17"/>
  <c r="FR29" i="17"/>
  <c r="FR30" i="17"/>
  <c r="FR31" i="17"/>
  <c r="FR32" i="17"/>
  <c r="FR33" i="17"/>
  <c r="FR34" i="17"/>
  <c r="FR35" i="17"/>
  <c r="FR36" i="17"/>
  <c r="FR37" i="17"/>
  <c r="FR38" i="17"/>
  <c r="FR39" i="17"/>
  <c r="FR40" i="17"/>
  <c r="FR41" i="17"/>
  <c r="FR42" i="17"/>
  <c r="FR43" i="17"/>
  <c r="FR44" i="17"/>
  <c r="FR45" i="17"/>
  <c r="FR46" i="17"/>
  <c r="FR47" i="17"/>
  <c r="FR48" i="17"/>
  <c r="FR49" i="17"/>
  <c r="FR50" i="17"/>
  <c r="FR51" i="17"/>
  <c r="FR52" i="17"/>
  <c r="FR53" i="17"/>
  <c r="FR54" i="17"/>
  <c r="FR55" i="17"/>
  <c r="FR56" i="17"/>
  <c r="FR57" i="17"/>
  <c r="FR58" i="17"/>
  <c r="FR59" i="17"/>
  <c r="FR60" i="17"/>
  <c r="FR61" i="17"/>
  <c r="FR62" i="17"/>
  <c r="FR63" i="17"/>
  <c r="FR64" i="17"/>
  <c r="FR65" i="17"/>
  <c r="FR66" i="17"/>
  <c r="FT7" i="17"/>
  <c r="FT8" i="17"/>
  <c r="FT9" i="17"/>
  <c r="FT10" i="17"/>
  <c r="FT11" i="17"/>
  <c r="FT12" i="17"/>
  <c r="FT13" i="17"/>
  <c r="FT14" i="17"/>
  <c r="FT15" i="17"/>
  <c r="FT16" i="17"/>
  <c r="FT17" i="17"/>
  <c r="FT18" i="17"/>
  <c r="FT19" i="17"/>
  <c r="FT20" i="17"/>
  <c r="FT21" i="17"/>
  <c r="FT22" i="17"/>
  <c r="FT23" i="17"/>
  <c r="FT24" i="17"/>
  <c r="FT25" i="17"/>
  <c r="FT26" i="17"/>
  <c r="FT27" i="17"/>
  <c r="FT28" i="17"/>
  <c r="FT29" i="17"/>
  <c r="FT30" i="17"/>
  <c r="FT31" i="17"/>
  <c r="FT32" i="17"/>
  <c r="FT33" i="17"/>
  <c r="FT34" i="17"/>
  <c r="FT35" i="17"/>
  <c r="FT36" i="17"/>
  <c r="FT37" i="17"/>
  <c r="FT38" i="17"/>
  <c r="FT39" i="17"/>
  <c r="FT40" i="17"/>
  <c r="FT41" i="17"/>
  <c r="FT42" i="17"/>
  <c r="FT43" i="17"/>
  <c r="FT44" i="17"/>
  <c r="FT45" i="17"/>
  <c r="FT46" i="17"/>
  <c r="FT47" i="17"/>
  <c r="FT48" i="17"/>
  <c r="FT49" i="17"/>
  <c r="FT50" i="17"/>
  <c r="FT51" i="17"/>
  <c r="FT52" i="17"/>
  <c r="FT53" i="17"/>
  <c r="FT54" i="17"/>
  <c r="FT55" i="17"/>
  <c r="FT56" i="17"/>
  <c r="FT57" i="17"/>
  <c r="FT58" i="17"/>
  <c r="FT59" i="17"/>
  <c r="FT60" i="17"/>
  <c r="FT61" i="17"/>
  <c r="FT62" i="17"/>
  <c r="FT63" i="17"/>
  <c r="FT64" i="17"/>
  <c r="FT65" i="17"/>
  <c r="FT66" i="17"/>
  <c r="FU7" i="17"/>
  <c r="FU8" i="17"/>
  <c r="FU9" i="17"/>
  <c r="FU10" i="17"/>
  <c r="FU11" i="17"/>
  <c r="FU12" i="17"/>
  <c r="FU13" i="17"/>
  <c r="FU14" i="17"/>
  <c r="FU15" i="17"/>
  <c r="FU16" i="17"/>
  <c r="FU17" i="17"/>
  <c r="FU18" i="17"/>
  <c r="FU19" i="17"/>
  <c r="FU20" i="17"/>
  <c r="FU21" i="17"/>
  <c r="FU22" i="17"/>
  <c r="FU23" i="17"/>
  <c r="FU24" i="17"/>
  <c r="FU25" i="17"/>
  <c r="FU26" i="17"/>
  <c r="FU27" i="17"/>
  <c r="FU28" i="17"/>
  <c r="FU29" i="17"/>
  <c r="FU30" i="17"/>
  <c r="FU31" i="17"/>
  <c r="FU32" i="17"/>
  <c r="FU33" i="17"/>
  <c r="FU34" i="17"/>
  <c r="FU35" i="17"/>
  <c r="FU36" i="17"/>
  <c r="FU37" i="17"/>
  <c r="FU38" i="17"/>
  <c r="FU39" i="17"/>
  <c r="FU40" i="17"/>
  <c r="FU41" i="17"/>
  <c r="FU42" i="17"/>
  <c r="FU43" i="17"/>
  <c r="FU44" i="17"/>
  <c r="FU45" i="17"/>
  <c r="FU46" i="17"/>
  <c r="FU47" i="17"/>
  <c r="FU48" i="17"/>
  <c r="FU49" i="17"/>
  <c r="FU50" i="17"/>
  <c r="FU51" i="17"/>
  <c r="FU52" i="17"/>
  <c r="FU53" i="17"/>
  <c r="FU54" i="17"/>
  <c r="FU55" i="17"/>
  <c r="FU56" i="17"/>
  <c r="FU57" i="17"/>
  <c r="FU58" i="17"/>
  <c r="FU59" i="17"/>
  <c r="FU60" i="17"/>
  <c r="FU61" i="17"/>
  <c r="FU62" i="17"/>
  <c r="FU63" i="17"/>
  <c r="FU64" i="17"/>
  <c r="FU65" i="17"/>
  <c r="FU66" i="17"/>
  <c r="FV7" i="17"/>
  <c r="FV8" i="17"/>
  <c r="FV9" i="17"/>
  <c r="FV10" i="17"/>
  <c r="FV11" i="17"/>
  <c r="FV12" i="17"/>
  <c r="FV13" i="17"/>
  <c r="FV14" i="17"/>
  <c r="FV15" i="17"/>
  <c r="FV16" i="17"/>
  <c r="FV17" i="17"/>
  <c r="FV18" i="17"/>
  <c r="FV19" i="17"/>
  <c r="FV20" i="17"/>
  <c r="FV21" i="17"/>
  <c r="FV22" i="17"/>
  <c r="FV23" i="17"/>
  <c r="FV24" i="17"/>
  <c r="FV25" i="17"/>
  <c r="FV26" i="17"/>
  <c r="FV27" i="17"/>
  <c r="FV28" i="17"/>
  <c r="FV29" i="17"/>
  <c r="FV30" i="17"/>
  <c r="FV31" i="17"/>
  <c r="FV32" i="17"/>
  <c r="FV33" i="17"/>
  <c r="FV34" i="17"/>
  <c r="FV35" i="17"/>
  <c r="FV36" i="17"/>
  <c r="FV37" i="17"/>
  <c r="FV38" i="17"/>
  <c r="FV39" i="17"/>
  <c r="FV40" i="17"/>
  <c r="FV41" i="17"/>
  <c r="FV42" i="17"/>
  <c r="FV43" i="17"/>
  <c r="FV44" i="17"/>
  <c r="FV45" i="17"/>
  <c r="FV46" i="17"/>
  <c r="FV47" i="17"/>
  <c r="FV48" i="17"/>
  <c r="FV49" i="17"/>
  <c r="FV50" i="17"/>
  <c r="FV51" i="17"/>
  <c r="FV52" i="17"/>
  <c r="FV53" i="17"/>
  <c r="FV54" i="17"/>
  <c r="FV55" i="17"/>
  <c r="FV56" i="17"/>
  <c r="FV57" i="17"/>
  <c r="FV58" i="17"/>
  <c r="FV59" i="17"/>
  <c r="FV60" i="17"/>
  <c r="FV61" i="17"/>
  <c r="FV62" i="17"/>
  <c r="FV63" i="17"/>
  <c r="FV64" i="17"/>
  <c r="FV65" i="17"/>
  <c r="FV66" i="17"/>
  <c r="FX7" i="17"/>
  <c r="FX8" i="17"/>
  <c r="FX9" i="17"/>
  <c r="FX10" i="17"/>
  <c r="FX11" i="17"/>
  <c r="FX12" i="17"/>
  <c r="FX13" i="17"/>
  <c r="FX14" i="17"/>
  <c r="FX15" i="17"/>
  <c r="FX16" i="17"/>
  <c r="FX17" i="17"/>
  <c r="FX18" i="17"/>
  <c r="FX19" i="17"/>
  <c r="FX20" i="17"/>
  <c r="FX21" i="17"/>
  <c r="FX22" i="17"/>
  <c r="FX23" i="17"/>
  <c r="FX24" i="17"/>
  <c r="FX25" i="17"/>
  <c r="FX26" i="17"/>
  <c r="FX27" i="17"/>
  <c r="FX28" i="17"/>
  <c r="FX29" i="17"/>
  <c r="FX30" i="17"/>
  <c r="FX31" i="17"/>
  <c r="FX32" i="17"/>
  <c r="FX33" i="17"/>
  <c r="FX34" i="17"/>
  <c r="FX35" i="17"/>
  <c r="FX36" i="17"/>
  <c r="FX37" i="17"/>
  <c r="FX38" i="17"/>
  <c r="FX39" i="17"/>
  <c r="FX40" i="17"/>
  <c r="FX41" i="17"/>
  <c r="FX42" i="17"/>
  <c r="FX43" i="17"/>
  <c r="FX44" i="17"/>
  <c r="FX45" i="17"/>
  <c r="FX46" i="17"/>
  <c r="FX47" i="17"/>
  <c r="FX48" i="17"/>
  <c r="FX49" i="17"/>
  <c r="FX50" i="17"/>
  <c r="FX51" i="17"/>
  <c r="FX52" i="17"/>
  <c r="FX53" i="17"/>
  <c r="FX54" i="17"/>
  <c r="FX55" i="17"/>
  <c r="FX56" i="17"/>
  <c r="FX57" i="17"/>
  <c r="FX58" i="17"/>
  <c r="FX59" i="17"/>
  <c r="FX60" i="17"/>
  <c r="FX61" i="17"/>
  <c r="FX62" i="17"/>
  <c r="FX63" i="17"/>
  <c r="FX64" i="17"/>
  <c r="FX65" i="17"/>
  <c r="FX66" i="17"/>
  <c r="FY7" i="17"/>
  <c r="FY8" i="17"/>
  <c r="FY9" i="17"/>
  <c r="FY10" i="17"/>
  <c r="FY11" i="17"/>
  <c r="FY12" i="17"/>
  <c r="FY13" i="17"/>
  <c r="FY14" i="17"/>
  <c r="FY15" i="17"/>
  <c r="FY16" i="17"/>
  <c r="FY17" i="17"/>
  <c r="FY18" i="17"/>
  <c r="FY19" i="17"/>
  <c r="FY20" i="17"/>
  <c r="FY21" i="17"/>
  <c r="FY22" i="17"/>
  <c r="FY23" i="17"/>
  <c r="FY24" i="17"/>
  <c r="FY25" i="17"/>
  <c r="FY26" i="17"/>
  <c r="FY27" i="17"/>
  <c r="FY28" i="17"/>
  <c r="FY29" i="17"/>
  <c r="FY30" i="17"/>
  <c r="FY31" i="17"/>
  <c r="FY32" i="17"/>
  <c r="FY33" i="17"/>
  <c r="FY34" i="17"/>
  <c r="FY35" i="17"/>
  <c r="FY36" i="17"/>
  <c r="FY37" i="17"/>
  <c r="FY38" i="17"/>
  <c r="FY39" i="17"/>
  <c r="FY40" i="17"/>
  <c r="FY41" i="17"/>
  <c r="FY42" i="17"/>
  <c r="FY43" i="17"/>
  <c r="FY44" i="17"/>
  <c r="FY45" i="17"/>
  <c r="FY46" i="17"/>
  <c r="FY47" i="17"/>
  <c r="FY48" i="17"/>
  <c r="FY49" i="17"/>
  <c r="FY50" i="17"/>
  <c r="FY51" i="17"/>
  <c r="FY52" i="17"/>
  <c r="FY53" i="17"/>
  <c r="FY54" i="17"/>
  <c r="FY55" i="17"/>
  <c r="FY56" i="17"/>
  <c r="FY57" i="17"/>
  <c r="FY58" i="17"/>
  <c r="FY59" i="17"/>
  <c r="FY60" i="17"/>
  <c r="FY61" i="17"/>
  <c r="FY62" i="17"/>
  <c r="FY63" i="17"/>
  <c r="FY64" i="17"/>
  <c r="FY65" i="17"/>
  <c r="FY66" i="17"/>
  <c r="FZ7" i="17"/>
  <c r="FZ8" i="17"/>
  <c r="FZ9" i="17"/>
  <c r="FZ10" i="17"/>
  <c r="FZ11" i="17"/>
  <c r="FZ12" i="17"/>
  <c r="FZ13" i="17"/>
  <c r="FZ14" i="17"/>
  <c r="FZ15" i="17"/>
  <c r="FZ16" i="17"/>
  <c r="FZ17" i="17"/>
  <c r="FZ18" i="17"/>
  <c r="FZ19" i="17"/>
  <c r="FZ20" i="17"/>
  <c r="FZ21" i="17"/>
  <c r="FZ22" i="17"/>
  <c r="FZ23" i="17"/>
  <c r="FZ24" i="17"/>
  <c r="FZ25" i="17"/>
  <c r="FZ26" i="17"/>
  <c r="FZ27" i="17"/>
  <c r="FZ28" i="17"/>
  <c r="FZ29" i="17"/>
  <c r="FZ30" i="17"/>
  <c r="FZ31" i="17"/>
  <c r="FZ32" i="17"/>
  <c r="FZ33" i="17"/>
  <c r="FZ34" i="17"/>
  <c r="FZ35" i="17"/>
  <c r="FZ36" i="17"/>
  <c r="FZ37" i="17"/>
  <c r="FZ38" i="17"/>
  <c r="FZ39" i="17"/>
  <c r="FZ40" i="17"/>
  <c r="FZ41" i="17"/>
  <c r="FZ42" i="17"/>
  <c r="FZ43" i="17"/>
  <c r="FZ44" i="17"/>
  <c r="FZ45" i="17"/>
  <c r="FZ46" i="17"/>
  <c r="FZ47" i="17"/>
  <c r="FZ48" i="17"/>
  <c r="FZ49" i="17"/>
  <c r="FZ50" i="17"/>
  <c r="FZ51" i="17"/>
  <c r="FZ52" i="17"/>
  <c r="FZ53" i="17"/>
  <c r="FZ54" i="17"/>
  <c r="FZ55" i="17"/>
  <c r="FZ56" i="17"/>
  <c r="FZ57" i="17"/>
  <c r="FZ58" i="17"/>
  <c r="FZ59" i="17"/>
  <c r="FZ60" i="17"/>
  <c r="FZ61" i="17"/>
  <c r="FZ62" i="17"/>
  <c r="FZ63" i="17"/>
  <c r="FZ64" i="17"/>
  <c r="FZ65" i="17"/>
  <c r="FZ66" i="17"/>
  <c r="GB7" i="17"/>
  <c r="GB8" i="17"/>
  <c r="GB9" i="17"/>
  <c r="GB10" i="17"/>
  <c r="GB11" i="17"/>
  <c r="GB12" i="17"/>
  <c r="GB13" i="17"/>
  <c r="GB14" i="17"/>
  <c r="GB15" i="17"/>
  <c r="GB16" i="17"/>
  <c r="GB17" i="17"/>
  <c r="GB18" i="17"/>
  <c r="GB19" i="17"/>
  <c r="GB20" i="17"/>
  <c r="GB21" i="17"/>
  <c r="GB22" i="17"/>
  <c r="GB23" i="17"/>
  <c r="GB24" i="17"/>
  <c r="GB25" i="17"/>
  <c r="GB26" i="17"/>
  <c r="GB27" i="17"/>
  <c r="GB28" i="17"/>
  <c r="GB29" i="17"/>
  <c r="GB30" i="17"/>
  <c r="GB31" i="17"/>
  <c r="GB32" i="17"/>
  <c r="GB33" i="17"/>
  <c r="GB34" i="17"/>
  <c r="GB35" i="17"/>
  <c r="GB36" i="17"/>
  <c r="GB37" i="17"/>
  <c r="GB38" i="17"/>
  <c r="GB39" i="17"/>
  <c r="GB40" i="17"/>
  <c r="GB41" i="17"/>
  <c r="GB42" i="17"/>
  <c r="GB43" i="17"/>
  <c r="GB44" i="17"/>
  <c r="GB45" i="17"/>
  <c r="GB46" i="17"/>
  <c r="GB47" i="17"/>
  <c r="GB48" i="17"/>
  <c r="GB49" i="17"/>
  <c r="GB50" i="17"/>
  <c r="GB51" i="17"/>
  <c r="GB52" i="17"/>
  <c r="GB53" i="17"/>
  <c r="GB54" i="17"/>
  <c r="GB55" i="17"/>
  <c r="GB56" i="17"/>
  <c r="GB57" i="17"/>
  <c r="GB58" i="17"/>
  <c r="GB59" i="17"/>
  <c r="GB60" i="17"/>
  <c r="GB61" i="17"/>
  <c r="GB62" i="17"/>
  <c r="GB63" i="17"/>
  <c r="GB64" i="17"/>
  <c r="GB65" i="17"/>
  <c r="GB66" i="17"/>
  <c r="GC7" i="17"/>
  <c r="GC8" i="17"/>
  <c r="GC9" i="17"/>
  <c r="GC10" i="17"/>
  <c r="GC11" i="17"/>
  <c r="GC12" i="17"/>
  <c r="GC13" i="17"/>
  <c r="GC14" i="17"/>
  <c r="GC15" i="17"/>
  <c r="GC16" i="17"/>
  <c r="GC17" i="17"/>
  <c r="GC18" i="17"/>
  <c r="GC19" i="17"/>
  <c r="GC20" i="17"/>
  <c r="GC21" i="17"/>
  <c r="GC22" i="17"/>
  <c r="GC23" i="17"/>
  <c r="GC24" i="17"/>
  <c r="GC25" i="17"/>
  <c r="GC26" i="17"/>
  <c r="GC27" i="17"/>
  <c r="GC28" i="17"/>
  <c r="GC29" i="17"/>
  <c r="GC30" i="17"/>
  <c r="GC31" i="17"/>
  <c r="GC32" i="17"/>
  <c r="GC33" i="17"/>
  <c r="GC34" i="17"/>
  <c r="GC35" i="17"/>
  <c r="GC36" i="17"/>
  <c r="GC37" i="17"/>
  <c r="GC38" i="17"/>
  <c r="GC39" i="17"/>
  <c r="GC40" i="17"/>
  <c r="GC41" i="17"/>
  <c r="GC42" i="17"/>
  <c r="GC43" i="17"/>
  <c r="GC44" i="17"/>
  <c r="GC45" i="17"/>
  <c r="GC46" i="17"/>
  <c r="GC47" i="17"/>
  <c r="GC48" i="17"/>
  <c r="GC49" i="17"/>
  <c r="GC50" i="17"/>
  <c r="GC51" i="17"/>
  <c r="GC52" i="17"/>
  <c r="GC53" i="17"/>
  <c r="GC54" i="17"/>
  <c r="GC55" i="17"/>
  <c r="GC56" i="17"/>
  <c r="GC57" i="17"/>
  <c r="GC58" i="17"/>
  <c r="GC59" i="17"/>
  <c r="GC60" i="17"/>
  <c r="GC61" i="17"/>
  <c r="GC62" i="17"/>
  <c r="GC63" i="17"/>
  <c r="GC64" i="17"/>
  <c r="GC65" i="17"/>
  <c r="GC66" i="17"/>
  <c r="GD7" i="17"/>
  <c r="GD8" i="17"/>
  <c r="GD9" i="17"/>
  <c r="GD10" i="17"/>
  <c r="GD11" i="17"/>
  <c r="GD12" i="17"/>
  <c r="GD13" i="17"/>
  <c r="GD14" i="17"/>
  <c r="GD15" i="17"/>
  <c r="GD16" i="17"/>
  <c r="GD17" i="17"/>
  <c r="GD18" i="17"/>
  <c r="GD19" i="17"/>
  <c r="GD20" i="17"/>
  <c r="GD21" i="17"/>
  <c r="GD22" i="17"/>
  <c r="GD23" i="17"/>
  <c r="GD24" i="17"/>
  <c r="GD25" i="17"/>
  <c r="GD26" i="17"/>
  <c r="GD27" i="17"/>
  <c r="GD28" i="17"/>
  <c r="GD29" i="17"/>
  <c r="GD30" i="17"/>
  <c r="GD31" i="17"/>
  <c r="GD32" i="17"/>
  <c r="GD33" i="17"/>
  <c r="GD34" i="17"/>
  <c r="GD35" i="17"/>
  <c r="GD36" i="17"/>
  <c r="GD37" i="17"/>
  <c r="GD38" i="17"/>
  <c r="GD39" i="17"/>
  <c r="GD40" i="17"/>
  <c r="GD41" i="17"/>
  <c r="GD42" i="17"/>
  <c r="GD43" i="17"/>
  <c r="GD44" i="17"/>
  <c r="GD45" i="17"/>
  <c r="GD46" i="17"/>
  <c r="GD47" i="17"/>
  <c r="GD48" i="17"/>
  <c r="GD49" i="17"/>
  <c r="GD50" i="17"/>
  <c r="GD51" i="17"/>
  <c r="GD52" i="17"/>
  <c r="GD53" i="17"/>
  <c r="GD54" i="17"/>
  <c r="GD55" i="17"/>
  <c r="GD56" i="17"/>
  <c r="GD57" i="17"/>
  <c r="GD58" i="17"/>
  <c r="GD59" i="17"/>
  <c r="GD60" i="17"/>
  <c r="GD61" i="17"/>
  <c r="GD62" i="17"/>
  <c r="GD63" i="17"/>
  <c r="GD64" i="17"/>
  <c r="GD65" i="17"/>
  <c r="GD66" i="17"/>
  <c r="GF7" i="17"/>
  <c r="GF8" i="17"/>
  <c r="GF9" i="17"/>
  <c r="GF10" i="17"/>
  <c r="GF11" i="17"/>
  <c r="GF12" i="17"/>
  <c r="GF13" i="17"/>
  <c r="GF14" i="17"/>
  <c r="GF15" i="17"/>
  <c r="GF16" i="17"/>
  <c r="GF17" i="17"/>
  <c r="GF18" i="17"/>
  <c r="GF19" i="17"/>
  <c r="GF20" i="17"/>
  <c r="GF21" i="17"/>
  <c r="GF22" i="17"/>
  <c r="GF23" i="17"/>
  <c r="GF24" i="17"/>
  <c r="GF25" i="17"/>
  <c r="GF26" i="17"/>
  <c r="GF27" i="17"/>
  <c r="GF28" i="17"/>
  <c r="GF29" i="17"/>
  <c r="GF30" i="17"/>
  <c r="GF31" i="17"/>
  <c r="GF32" i="17"/>
  <c r="GF33" i="17"/>
  <c r="GF34" i="17"/>
  <c r="GF35" i="17"/>
  <c r="GF36" i="17"/>
  <c r="GF37" i="17"/>
  <c r="GF38" i="17"/>
  <c r="GF39" i="17"/>
  <c r="GF40" i="17"/>
  <c r="GF41" i="17"/>
  <c r="GF42" i="17"/>
  <c r="GF43" i="17"/>
  <c r="GF44" i="17"/>
  <c r="GF45" i="17"/>
  <c r="GF46" i="17"/>
  <c r="GF47" i="17"/>
  <c r="GF48" i="17"/>
  <c r="GF49" i="17"/>
  <c r="GF50" i="17"/>
  <c r="GF51" i="17"/>
  <c r="GF52" i="17"/>
  <c r="GF53" i="17"/>
  <c r="GF54" i="17"/>
  <c r="GF55" i="17"/>
  <c r="GF56" i="17"/>
  <c r="GF57" i="17"/>
  <c r="GF58" i="17"/>
  <c r="GF59" i="17"/>
  <c r="GF60" i="17"/>
  <c r="GF61" i="17"/>
  <c r="GF62" i="17"/>
  <c r="GF63" i="17"/>
  <c r="GF64" i="17"/>
  <c r="GF65" i="17"/>
  <c r="GF66" i="17"/>
  <c r="GG7" i="17"/>
  <c r="GG8" i="17"/>
  <c r="GG9" i="17"/>
  <c r="GG10" i="17"/>
  <c r="GG11" i="17"/>
  <c r="GG12" i="17"/>
  <c r="GG13" i="17"/>
  <c r="GG14" i="17"/>
  <c r="GG15" i="17"/>
  <c r="GG16" i="17"/>
  <c r="GG17" i="17"/>
  <c r="GG18" i="17"/>
  <c r="GG19" i="17"/>
  <c r="GG20" i="17"/>
  <c r="GG21" i="17"/>
  <c r="GG22" i="17"/>
  <c r="GG23" i="17"/>
  <c r="GG24" i="17"/>
  <c r="GG25" i="17"/>
  <c r="GG26" i="17"/>
  <c r="GG27" i="17"/>
  <c r="GG28" i="17"/>
  <c r="GG29" i="17"/>
  <c r="GG30" i="17"/>
  <c r="GG31" i="17"/>
  <c r="GG32" i="17"/>
  <c r="GG33" i="17"/>
  <c r="GG34" i="17"/>
  <c r="GG35" i="17"/>
  <c r="GG36" i="17"/>
  <c r="GG37" i="17"/>
  <c r="GG38" i="17"/>
  <c r="GG39" i="17"/>
  <c r="GG40" i="17"/>
  <c r="GG41" i="17"/>
  <c r="GG42" i="17"/>
  <c r="GG43" i="17"/>
  <c r="GG44" i="17"/>
  <c r="GG45" i="17"/>
  <c r="GG46" i="17"/>
  <c r="GG47" i="17"/>
  <c r="GG48" i="17"/>
  <c r="GG49" i="17"/>
  <c r="GG50" i="17"/>
  <c r="GG51" i="17"/>
  <c r="GG52" i="17"/>
  <c r="GG53" i="17"/>
  <c r="GG54" i="17"/>
  <c r="GG55" i="17"/>
  <c r="GG56" i="17"/>
  <c r="GG57" i="17"/>
  <c r="GG58" i="17"/>
  <c r="GG59" i="17"/>
  <c r="GG60" i="17"/>
  <c r="GG61" i="17"/>
  <c r="GG62" i="17"/>
  <c r="GG63" i="17"/>
  <c r="GG64" i="17"/>
  <c r="GG65" i="17"/>
  <c r="GG66" i="17"/>
  <c r="GH7" i="17"/>
  <c r="GH8" i="17"/>
  <c r="GH9" i="17"/>
  <c r="GH10" i="17"/>
  <c r="GH11" i="17"/>
  <c r="GH12" i="17"/>
  <c r="GH13" i="17"/>
  <c r="GH14" i="17"/>
  <c r="GH15" i="17"/>
  <c r="GH16" i="17"/>
  <c r="GH17" i="17"/>
  <c r="GH18" i="17"/>
  <c r="GH19" i="17"/>
  <c r="GH20" i="17"/>
  <c r="GH21" i="17"/>
  <c r="GH22" i="17"/>
  <c r="GH23" i="17"/>
  <c r="GH24" i="17"/>
  <c r="GH25" i="17"/>
  <c r="GH26" i="17"/>
  <c r="GH27" i="17"/>
  <c r="GH28" i="17"/>
  <c r="GH29" i="17"/>
  <c r="GH30" i="17"/>
  <c r="GH31" i="17"/>
  <c r="GH32" i="17"/>
  <c r="GH33" i="17"/>
  <c r="GH34" i="17"/>
  <c r="GH35" i="17"/>
  <c r="GH36" i="17"/>
  <c r="GH37" i="17"/>
  <c r="GH38" i="17"/>
  <c r="GH39" i="17"/>
  <c r="GH40" i="17"/>
  <c r="GH41" i="17"/>
  <c r="GH42" i="17"/>
  <c r="GH43" i="17"/>
  <c r="GH44" i="17"/>
  <c r="GH45" i="17"/>
  <c r="GH46" i="17"/>
  <c r="GH47" i="17"/>
  <c r="GH48" i="17"/>
  <c r="GH49" i="17"/>
  <c r="GH50" i="17"/>
  <c r="GH51" i="17"/>
  <c r="GH52" i="17"/>
  <c r="GH53" i="17"/>
  <c r="GH54" i="17"/>
  <c r="GH55" i="17"/>
  <c r="GH56" i="17"/>
  <c r="GH57" i="17"/>
  <c r="GH58" i="17"/>
  <c r="GH59" i="17"/>
  <c r="GH60" i="17"/>
  <c r="GH61" i="17"/>
  <c r="GH62" i="17"/>
  <c r="GH63" i="17"/>
  <c r="GH64" i="17"/>
  <c r="GH65" i="17"/>
  <c r="GH66" i="17"/>
  <c r="GJ7" i="17"/>
  <c r="GJ8" i="17"/>
  <c r="GJ9" i="17"/>
  <c r="GJ10" i="17"/>
  <c r="GJ11" i="17"/>
  <c r="GJ12" i="17"/>
  <c r="GJ13" i="17"/>
  <c r="GJ14" i="17"/>
  <c r="GJ15" i="17"/>
  <c r="GJ16" i="17"/>
  <c r="GJ17" i="17"/>
  <c r="GJ18" i="17"/>
  <c r="GJ19" i="17"/>
  <c r="GJ20" i="17"/>
  <c r="GJ21" i="17"/>
  <c r="GJ22" i="17"/>
  <c r="GJ23" i="17"/>
  <c r="GJ24" i="17"/>
  <c r="GJ25" i="17"/>
  <c r="GJ26" i="17"/>
  <c r="GJ27" i="17"/>
  <c r="GJ28" i="17"/>
  <c r="GJ29" i="17"/>
  <c r="GJ30" i="17"/>
  <c r="GJ31" i="17"/>
  <c r="GJ32" i="17"/>
  <c r="GJ33" i="17"/>
  <c r="GJ34" i="17"/>
  <c r="GJ35" i="17"/>
  <c r="GJ36" i="17"/>
  <c r="GJ37" i="17"/>
  <c r="GJ38" i="17"/>
  <c r="GJ39" i="17"/>
  <c r="GJ40" i="17"/>
  <c r="GJ41" i="17"/>
  <c r="GJ42" i="17"/>
  <c r="GJ43" i="17"/>
  <c r="GJ44" i="17"/>
  <c r="GJ45" i="17"/>
  <c r="GJ46" i="17"/>
  <c r="GJ47" i="17"/>
  <c r="GJ48" i="17"/>
  <c r="GJ49" i="17"/>
  <c r="GJ50" i="17"/>
  <c r="GJ51" i="17"/>
  <c r="GJ52" i="17"/>
  <c r="GJ53" i="17"/>
  <c r="GJ54" i="17"/>
  <c r="GJ55" i="17"/>
  <c r="GJ56" i="17"/>
  <c r="GJ57" i="17"/>
  <c r="GJ58" i="17"/>
  <c r="GJ59" i="17"/>
  <c r="GJ60" i="17"/>
  <c r="GJ61" i="17"/>
  <c r="GJ62" i="17"/>
  <c r="GJ63" i="17"/>
  <c r="GJ64" i="17"/>
  <c r="GJ65" i="17"/>
  <c r="GJ66" i="17"/>
  <c r="GK7" i="17"/>
  <c r="GK8" i="17"/>
  <c r="GK9" i="17"/>
  <c r="GK10" i="17"/>
  <c r="GK11" i="17"/>
  <c r="GK12" i="17"/>
  <c r="GK13" i="17"/>
  <c r="GK14" i="17"/>
  <c r="GK15" i="17"/>
  <c r="GK16" i="17"/>
  <c r="GK17" i="17"/>
  <c r="GK18" i="17"/>
  <c r="GK19" i="17"/>
  <c r="GK20" i="17"/>
  <c r="GK21" i="17"/>
  <c r="GK22" i="17"/>
  <c r="GK23" i="17"/>
  <c r="GK24" i="17"/>
  <c r="GK25" i="17"/>
  <c r="GK26" i="17"/>
  <c r="GK27" i="17"/>
  <c r="GK28" i="17"/>
  <c r="GK29" i="17"/>
  <c r="GK30" i="17"/>
  <c r="GK31" i="17"/>
  <c r="GK32" i="17"/>
  <c r="GK33" i="17"/>
  <c r="GK34" i="17"/>
  <c r="GK35" i="17"/>
  <c r="GK36" i="17"/>
  <c r="GK37" i="17"/>
  <c r="GK38" i="17"/>
  <c r="GK39" i="17"/>
  <c r="GK40" i="17"/>
  <c r="GK41" i="17"/>
  <c r="GK42" i="17"/>
  <c r="GK43" i="17"/>
  <c r="GK44" i="17"/>
  <c r="GK45" i="17"/>
  <c r="GK46" i="17"/>
  <c r="GK47" i="17"/>
  <c r="GK48" i="17"/>
  <c r="GK49" i="17"/>
  <c r="GK50" i="17"/>
  <c r="GK51" i="17"/>
  <c r="GK52" i="17"/>
  <c r="GK53" i="17"/>
  <c r="GK54" i="17"/>
  <c r="GK55" i="17"/>
  <c r="GK56" i="17"/>
  <c r="GK57" i="17"/>
  <c r="GK58" i="17"/>
  <c r="GK59" i="17"/>
  <c r="GK60" i="17"/>
  <c r="GK61" i="17"/>
  <c r="GK62" i="17"/>
  <c r="GK63" i="17"/>
  <c r="GK64" i="17"/>
  <c r="GK65" i="17"/>
  <c r="GK66" i="17"/>
  <c r="GL7" i="17"/>
  <c r="GL8" i="17"/>
  <c r="GL9" i="17"/>
  <c r="GL10" i="17"/>
  <c r="GL11" i="17"/>
  <c r="GL12" i="17"/>
  <c r="GL13" i="17"/>
  <c r="GL14" i="17"/>
  <c r="GL15" i="17"/>
  <c r="GL16" i="17"/>
  <c r="GL17" i="17"/>
  <c r="GL18" i="17"/>
  <c r="GL19" i="17"/>
  <c r="GL20" i="17"/>
  <c r="GL21" i="17"/>
  <c r="GL22" i="17"/>
  <c r="GL23" i="17"/>
  <c r="GL24" i="17"/>
  <c r="GL25" i="17"/>
  <c r="GL26" i="17"/>
  <c r="GL27" i="17"/>
  <c r="GL28" i="17"/>
  <c r="GL29" i="17"/>
  <c r="GL30" i="17"/>
  <c r="GL31" i="17"/>
  <c r="GL32" i="17"/>
  <c r="GL33" i="17"/>
  <c r="GL34" i="17"/>
  <c r="GL35" i="17"/>
  <c r="GL36" i="17"/>
  <c r="GL37" i="17"/>
  <c r="GL38" i="17"/>
  <c r="GL39" i="17"/>
  <c r="GL40" i="17"/>
  <c r="GL41" i="17"/>
  <c r="GL42" i="17"/>
  <c r="GL43" i="17"/>
  <c r="GL44" i="17"/>
  <c r="GL45" i="17"/>
  <c r="GL46" i="17"/>
  <c r="GL47" i="17"/>
  <c r="GL48" i="17"/>
  <c r="GL49" i="17"/>
  <c r="GL50" i="17"/>
  <c r="GL51" i="17"/>
  <c r="GL52" i="17"/>
  <c r="GL53" i="17"/>
  <c r="GL54" i="17"/>
  <c r="GL55" i="17"/>
  <c r="GL56" i="17"/>
  <c r="GL57" i="17"/>
  <c r="GL58" i="17"/>
  <c r="GL59" i="17"/>
  <c r="GL60" i="17"/>
  <c r="GL61" i="17"/>
  <c r="GL62" i="17"/>
  <c r="GL63" i="17"/>
  <c r="GL64" i="17"/>
  <c r="GL65" i="17"/>
  <c r="GL66" i="17"/>
  <c r="GN7" i="17"/>
  <c r="GN8" i="17"/>
  <c r="GN9" i="17"/>
  <c r="GN10" i="17"/>
  <c r="GN11" i="17"/>
  <c r="GN12" i="17"/>
  <c r="GN13" i="17"/>
  <c r="GN14" i="17"/>
  <c r="GN15" i="17"/>
  <c r="GN16" i="17"/>
  <c r="GN17" i="17"/>
  <c r="GN18" i="17"/>
  <c r="GN19" i="17"/>
  <c r="GN20" i="17"/>
  <c r="GN21" i="17"/>
  <c r="GN22" i="17"/>
  <c r="GN23" i="17"/>
  <c r="GN24" i="17"/>
  <c r="GN25" i="17"/>
  <c r="GN26" i="17"/>
  <c r="GN27" i="17"/>
  <c r="GN28" i="17"/>
  <c r="GN29" i="17"/>
  <c r="GN30" i="17"/>
  <c r="GN31" i="17"/>
  <c r="GN32" i="17"/>
  <c r="GN33" i="17"/>
  <c r="GN34" i="17"/>
  <c r="GN35" i="17"/>
  <c r="GN36" i="17"/>
  <c r="GN37" i="17"/>
  <c r="GN38" i="17"/>
  <c r="GN39" i="17"/>
  <c r="GN40" i="17"/>
  <c r="GN41" i="17"/>
  <c r="GN42" i="17"/>
  <c r="GN43" i="17"/>
  <c r="GN44" i="17"/>
  <c r="GN45" i="17"/>
  <c r="GN46" i="17"/>
  <c r="GN47" i="17"/>
  <c r="GN48" i="17"/>
  <c r="GN49" i="17"/>
  <c r="GN50" i="17"/>
  <c r="GN51" i="17"/>
  <c r="GN52" i="17"/>
  <c r="GN53" i="17"/>
  <c r="GN54" i="17"/>
  <c r="GN55" i="17"/>
  <c r="GN56" i="17"/>
  <c r="GN57" i="17"/>
  <c r="GN58" i="17"/>
  <c r="GN59" i="17"/>
  <c r="GN60" i="17"/>
  <c r="GN61" i="17"/>
  <c r="GN62" i="17"/>
  <c r="GN63" i="17"/>
  <c r="GN64" i="17"/>
  <c r="GN65" i="17"/>
  <c r="GN66" i="17"/>
  <c r="GO7" i="17"/>
  <c r="GO8" i="17"/>
  <c r="GO9" i="17"/>
  <c r="GO10" i="17"/>
  <c r="GO11" i="17"/>
  <c r="GO12" i="17"/>
  <c r="GO13" i="17"/>
  <c r="GO14" i="17"/>
  <c r="GO15" i="17"/>
  <c r="GO16" i="17"/>
  <c r="GO17" i="17"/>
  <c r="GO18" i="17"/>
  <c r="GO19" i="17"/>
  <c r="GO20" i="17"/>
  <c r="GO21" i="17"/>
  <c r="GO22" i="17"/>
  <c r="GO23" i="17"/>
  <c r="GO24" i="17"/>
  <c r="GO25" i="17"/>
  <c r="GO26" i="17"/>
  <c r="GO27" i="17"/>
  <c r="GO28" i="17"/>
  <c r="GO29" i="17"/>
  <c r="GO30" i="17"/>
  <c r="GO31" i="17"/>
  <c r="GO32" i="17"/>
  <c r="GO33" i="17"/>
  <c r="GO34" i="17"/>
  <c r="GO35" i="17"/>
  <c r="GO36" i="17"/>
  <c r="GO37" i="17"/>
  <c r="GO38" i="17"/>
  <c r="GO39" i="17"/>
  <c r="GO40" i="17"/>
  <c r="GO41" i="17"/>
  <c r="GO42" i="17"/>
  <c r="GO43" i="17"/>
  <c r="GO44" i="17"/>
  <c r="GO45" i="17"/>
  <c r="GO46" i="17"/>
  <c r="GO47" i="17"/>
  <c r="GO48" i="17"/>
  <c r="GO49" i="17"/>
  <c r="GO50" i="17"/>
  <c r="GO51" i="17"/>
  <c r="GO52" i="17"/>
  <c r="GO53" i="17"/>
  <c r="GO54" i="17"/>
  <c r="GO55" i="17"/>
  <c r="GO56" i="17"/>
  <c r="GO57" i="17"/>
  <c r="GO58" i="17"/>
  <c r="GO59" i="17"/>
  <c r="GO60" i="17"/>
  <c r="GO61" i="17"/>
  <c r="GO62" i="17"/>
  <c r="GO63" i="17"/>
  <c r="GO64" i="17"/>
  <c r="GO65" i="17"/>
  <c r="GO66" i="17"/>
  <c r="GP7" i="17"/>
  <c r="GP8" i="17"/>
  <c r="GP9" i="17"/>
  <c r="GP10" i="17"/>
  <c r="GP11" i="17"/>
  <c r="GP12" i="17"/>
  <c r="GP13" i="17"/>
  <c r="GP14" i="17"/>
  <c r="GP15" i="17"/>
  <c r="GP16" i="17"/>
  <c r="GP17" i="17"/>
  <c r="GP18" i="17"/>
  <c r="GP19" i="17"/>
  <c r="GP20" i="17"/>
  <c r="GP21" i="17"/>
  <c r="GP22" i="17"/>
  <c r="GP23" i="17"/>
  <c r="GP24" i="17"/>
  <c r="GP25" i="17"/>
  <c r="GP26" i="17"/>
  <c r="GP27" i="17"/>
  <c r="GP28" i="17"/>
  <c r="GP29" i="17"/>
  <c r="GP30" i="17"/>
  <c r="GP31" i="17"/>
  <c r="GP32" i="17"/>
  <c r="GP33" i="17"/>
  <c r="GP34" i="17"/>
  <c r="GP35" i="17"/>
  <c r="GP36" i="17"/>
  <c r="GP37" i="17"/>
  <c r="GP38" i="17"/>
  <c r="GP39" i="17"/>
  <c r="GP40" i="17"/>
  <c r="GP41" i="17"/>
  <c r="GP42" i="17"/>
  <c r="GP43" i="17"/>
  <c r="GP44" i="17"/>
  <c r="GP45" i="17"/>
  <c r="GP46" i="17"/>
  <c r="GP47" i="17"/>
  <c r="GP48" i="17"/>
  <c r="GP49" i="17"/>
  <c r="GP50" i="17"/>
  <c r="GP51" i="17"/>
  <c r="GP52" i="17"/>
  <c r="GP53" i="17"/>
  <c r="GP54" i="17"/>
  <c r="GP55" i="17"/>
  <c r="GP56" i="17"/>
  <c r="GP57" i="17"/>
  <c r="GP58" i="17"/>
  <c r="GP59" i="17"/>
  <c r="GP60" i="17"/>
  <c r="GP61" i="17"/>
  <c r="GP62" i="17"/>
  <c r="GP63" i="17"/>
  <c r="GP64" i="17"/>
  <c r="GP65" i="17"/>
  <c r="GP66" i="17"/>
  <c r="GR7" i="17"/>
  <c r="GR8" i="17"/>
  <c r="GR9" i="17"/>
  <c r="GR10" i="17"/>
  <c r="GR11" i="17"/>
  <c r="GR12" i="17"/>
  <c r="GR13" i="17"/>
  <c r="GR14" i="17"/>
  <c r="GR15" i="17"/>
  <c r="GR16" i="17"/>
  <c r="GR17" i="17"/>
  <c r="GR18" i="17"/>
  <c r="GR19" i="17"/>
  <c r="GR20" i="17"/>
  <c r="GR21" i="17"/>
  <c r="GR22" i="17"/>
  <c r="GR23" i="17"/>
  <c r="GR24" i="17"/>
  <c r="GR25" i="17"/>
  <c r="GR26" i="17"/>
  <c r="GR27" i="17"/>
  <c r="GR28" i="17"/>
  <c r="GR29" i="17"/>
  <c r="GR30" i="17"/>
  <c r="GR31" i="17"/>
  <c r="GR32" i="17"/>
  <c r="GR33" i="17"/>
  <c r="GR34" i="17"/>
  <c r="GR35" i="17"/>
  <c r="GR36" i="17"/>
  <c r="GR37" i="17"/>
  <c r="GR38" i="17"/>
  <c r="GR39" i="17"/>
  <c r="GR40" i="17"/>
  <c r="GR41" i="17"/>
  <c r="GR42" i="17"/>
  <c r="GR43" i="17"/>
  <c r="GR44" i="17"/>
  <c r="GR45" i="17"/>
  <c r="GR46" i="17"/>
  <c r="GR47" i="17"/>
  <c r="GR48" i="17"/>
  <c r="GR49" i="17"/>
  <c r="GR50" i="17"/>
  <c r="GR51" i="17"/>
  <c r="GR52" i="17"/>
  <c r="GR53" i="17"/>
  <c r="GR54" i="17"/>
  <c r="GR55" i="17"/>
  <c r="GR56" i="17"/>
  <c r="GR57" i="17"/>
  <c r="GR58" i="17"/>
  <c r="GR59" i="17"/>
  <c r="GR60" i="17"/>
  <c r="GR61" i="17"/>
  <c r="GR62" i="17"/>
  <c r="GR63" i="17"/>
  <c r="GR64" i="17"/>
  <c r="GR65" i="17"/>
  <c r="GR66" i="17"/>
  <c r="GS7" i="17"/>
  <c r="GS8" i="17"/>
  <c r="GS9" i="17"/>
  <c r="GS10" i="17"/>
  <c r="GS11" i="17"/>
  <c r="GS12" i="17"/>
  <c r="GS13" i="17"/>
  <c r="GS14" i="17"/>
  <c r="GS15" i="17"/>
  <c r="GS16" i="17"/>
  <c r="GS17" i="17"/>
  <c r="GS18" i="17"/>
  <c r="GS19" i="17"/>
  <c r="GS20" i="17"/>
  <c r="GS21" i="17"/>
  <c r="GS22" i="17"/>
  <c r="GS23" i="17"/>
  <c r="GS24" i="17"/>
  <c r="GS25" i="17"/>
  <c r="GS26" i="17"/>
  <c r="GS27" i="17"/>
  <c r="GS28" i="17"/>
  <c r="GS29" i="17"/>
  <c r="GS30" i="17"/>
  <c r="GS31" i="17"/>
  <c r="GS32" i="17"/>
  <c r="GS33" i="17"/>
  <c r="GS34" i="17"/>
  <c r="GS35" i="17"/>
  <c r="GS36" i="17"/>
  <c r="GS37" i="17"/>
  <c r="GS38" i="17"/>
  <c r="GS39" i="17"/>
  <c r="GS40" i="17"/>
  <c r="GS41" i="17"/>
  <c r="GS42" i="17"/>
  <c r="GS43" i="17"/>
  <c r="GS44" i="17"/>
  <c r="GS45" i="17"/>
  <c r="GS46" i="17"/>
  <c r="GS47" i="17"/>
  <c r="GS48" i="17"/>
  <c r="GS49" i="17"/>
  <c r="GS50" i="17"/>
  <c r="GS51" i="17"/>
  <c r="GS52" i="17"/>
  <c r="GS53" i="17"/>
  <c r="GS54" i="17"/>
  <c r="GS55" i="17"/>
  <c r="GS56" i="17"/>
  <c r="GS57" i="17"/>
  <c r="GS58" i="17"/>
  <c r="GS59" i="17"/>
  <c r="GS60" i="17"/>
  <c r="GS61" i="17"/>
  <c r="GS62" i="17"/>
  <c r="GS63" i="17"/>
  <c r="GS64" i="17"/>
  <c r="GS65" i="17"/>
  <c r="GS66" i="17"/>
  <c r="GT7" i="17"/>
  <c r="GT8" i="17"/>
  <c r="GT9" i="17"/>
  <c r="GT10" i="17"/>
  <c r="GT11" i="17"/>
  <c r="GT12" i="17"/>
  <c r="GT13" i="17"/>
  <c r="GT14" i="17"/>
  <c r="GT15" i="17"/>
  <c r="GT16" i="17"/>
  <c r="GT17" i="17"/>
  <c r="GT18" i="17"/>
  <c r="GT19" i="17"/>
  <c r="GT20" i="17"/>
  <c r="GT21" i="17"/>
  <c r="GT22" i="17"/>
  <c r="GT23" i="17"/>
  <c r="GT24" i="17"/>
  <c r="GT25" i="17"/>
  <c r="GT26" i="17"/>
  <c r="GT27" i="17"/>
  <c r="GT28" i="17"/>
  <c r="GT29" i="17"/>
  <c r="GT30" i="17"/>
  <c r="GT31" i="17"/>
  <c r="GT32" i="17"/>
  <c r="GT33" i="17"/>
  <c r="GT34" i="17"/>
  <c r="GT35" i="17"/>
  <c r="GT36" i="17"/>
  <c r="GT37" i="17"/>
  <c r="GT38" i="17"/>
  <c r="GT39" i="17"/>
  <c r="GT40" i="17"/>
  <c r="GT41" i="17"/>
  <c r="GT42" i="17"/>
  <c r="GT43" i="17"/>
  <c r="GT44" i="17"/>
  <c r="GT45" i="17"/>
  <c r="GT46" i="17"/>
  <c r="GT47" i="17"/>
  <c r="GT48" i="17"/>
  <c r="GT49" i="17"/>
  <c r="GT50" i="17"/>
  <c r="GT51" i="17"/>
  <c r="GT52" i="17"/>
  <c r="GT53" i="17"/>
  <c r="GT54" i="17"/>
  <c r="GT55" i="17"/>
  <c r="GT56" i="17"/>
  <c r="GT57" i="17"/>
  <c r="GT58" i="17"/>
  <c r="GT59" i="17"/>
  <c r="GT60" i="17"/>
  <c r="GT61" i="17"/>
  <c r="GT62" i="17"/>
  <c r="GT63" i="17"/>
  <c r="GT64" i="17"/>
  <c r="GT65" i="17"/>
  <c r="GT66" i="17"/>
  <c r="GV7" i="17"/>
  <c r="GV8" i="17"/>
  <c r="GV9" i="17"/>
  <c r="GV10" i="17"/>
  <c r="GV11" i="17"/>
  <c r="GV12" i="17"/>
  <c r="GV13" i="17"/>
  <c r="GV14" i="17"/>
  <c r="GV15" i="17"/>
  <c r="GV16" i="17"/>
  <c r="GV17" i="17"/>
  <c r="GV18" i="17"/>
  <c r="GV19" i="17"/>
  <c r="GV20" i="17"/>
  <c r="GV21" i="17"/>
  <c r="GV22" i="17"/>
  <c r="GV23" i="17"/>
  <c r="GV24" i="17"/>
  <c r="GV25" i="17"/>
  <c r="GV26" i="17"/>
  <c r="GV27" i="17"/>
  <c r="GV28" i="17"/>
  <c r="GV29" i="17"/>
  <c r="GV30" i="17"/>
  <c r="GV31" i="17"/>
  <c r="GV32" i="17"/>
  <c r="GV33" i="17"/>
  <c r="GV34" i="17"/>
  <c r="GV35" i="17"/>
  <c r="GV36" i="17"/>
  <c r="GV37" i="17"/>
  <c r="GV38" i="17"/>
  <c r="GV39" i="17"/>
  <c r="GV40" i="17"/>
  <c r="GV41" i="17"/>
  <c r="GV42" i="17"/>
  <c r="GV43" i="17"/>
  <c r="GV44" i="17"/>
  <c r="GV45" i="17"/>
  <c r="GV46" i="17"/>
  <c r="GV47" i="17"/>
  <c r="GV48" i="17"/>
  <c r="GV49" i="17"/>
  <c r="GV50" i="17"/>
  <c r="GV51" i="17"/>
  <c r="GV52" i="17"/>
  <c r="GV53" i="17"/>
  <c r="GV54" i="17"/>
  <c r="GV55" i="17"/>
  <c r="GV56" i="17"/>
  <c r="GV57" i="17"/>
  <c r="GV58" i="17"/>
  <c r="GV59" i="17"/>
  <c r="GV60" i="17"/>
  <c r="GV61" i="17"/>
  <c r="GV62" i="17"/>
  <c r="GV63" i="17"/>
  <c r="GV64" i="17"/>
  <c r="GV65" i="17"/>
  <c r="GV66" i="17"/>
  <c r="GW7" i="17"/>
  <c r="GW8" i="17"/>
  <c r="GW9" i="17"/>
  <c r="GW10" i="17"/>
  <c r="GW11" i="17"/>
  <c r="GW12" i="17"/>
  <c r="GW13" i="17"/>
  <c r="GW14" i="17"/>
  <c r="GW15" i="17"/>
  <c r="GW16" i="17"/>
  <c r="GW17" i="17"/>
  <c r="GW18" i="17"/>
  <c r="GW19" i="17"/>
  <c r="GW20" i="17"/>
  <c r="GW21" i="17"/>
  <c r="GW22" i="17"/>
  <c r="GW23" i="17"/>
  <c r="GW24" i="17"/>
  <c r="GW25" i="17"/>
  <c r="GW26" i="17"/>
  <c r="GW27" i="17"/>
  <c r="GW28" i="17"/>
  <c r="GW29" i="17"/>
  <c r="GW30" i="17"/>
  <c r="GW31" i="17"/>
  <c r="GW32" i="17"/>
  <c r="GW33" i="17"/>
  <c r="GW34" i="17"/>
  <c r="GW35" i="17"/>
  <c r="GW36" i="17"/>
  <c r="GW37" i="17"/>
  <c r="GW38" i="17"/>
  <c r="GW39" i="17"/>
  <c r="GW40" i="17"/>
  <c r="GW41" i="17"/>
  <c r="GW42" i="17"/>
  <c r="GW43" i="17"/>
  <c r="GW44" i="17"/>
  <c r="GW45" i="17"/>
  <c r="GW46" i="17"/>
  <c r="GW47" i="17"/>
  <c r="GW48" i="17"/>
  <c r="GW49" i="17"/>
  <c r="GW50" i="17"/>
  <c r="GW51" i="17"/>
  <c r="GW52" i="17"/>
  <c r="GW53" i="17"/>
  <c r="GW54" i="17"/>
  <c r="GW55" i="17"/>
  <c r="GW56" i="17"/>
  <c r="GW57" i="17"/>
  <c r="GW58" i="17"/>
  <c r="GW59" i="17"/>
  <c r="GW60" i="17"/>
  <c r="GW61" i="17"/>
  <c r="GW62" i="17"/>
  <c r="GW63" i="17"/>
  <c r="GW64" i="17"/>
  <c r="GW65" i="17"/>
  <c r="GW66" i="17"/>
  <c r="GX7" i="17"/>
  <c r="GX8" i="17"/>
  <c r="GX9" i="17"/>
  <c r="GX10" i="17"/>
  <c r="GX11" i="17"/>
  <c r="GX12" i="17"/>
  <c r="GX13" i="17"/>
  <c r="GX14" i="17"/>
  <c r="GX15" i="17"/>
  <c r="GX16" i="17"/>
  <c r="GX17" i="17"/>
  <c r="GX18" i="17"/>
  <c r="GX19" i="17"/>
  <c r="GX20" i="17"/>
  <c r="GX21" i="17"/>
  <c r="GX22" i="17"/>
  <c r="GX23" i="17"/>
  <c r="GX24" i="17"/>
  <c r="GX25" i="17"/>
  <c r="GX26" i="17"/>
  <c r="GX27" i="17"/>
  <c r="GX28" i="17"/>
  <c r="GX29" i="17"/>
  <c r="GX30" i="17"/>
  <c r="GX31" i="17"/>
  <c r="GX32" i="17"/>
  <c r="GX33" i="17"/>
  <c r="GX34" i="17"/>
  <c r="GX35" i="17"/>
  <c r="GX36" i="17"/>
  <c r="GX37" i="17"/>
  <c r="GX38" i="17"/>
  <c r="GX39" i="17"/>
  <c r="GX40" i="17"/>
  <c r="GX41" i="17"/>
  <c r="GX42" i="17"/>
  <c r="GX43" i="17"/>
  <c r="GX44" i="17"/>
  <c r="GX45" i="17"/>
  <c r="GX46" i="17"/>
  <c r="GX47" i="17"/>
  <c r="GX48" i="17"/>
  <c r="GX49" i="17"/>
  <c r="GX50" i="17"/>
  <c r="GX51" i="17"/>
  <c r="GX52" i="17"/>
  <c r="GX53" i="17"/>
  <c r="GX54" i="17"/>
  <c r="GX55" i="17"/>
  <c r="GX56" i="17"/>
  <c r="GX57" i="17"/>
  <c r="GX58" i="17"/>
  <c r="GX59" i="17"/>
  <c r="GX60" i="17"/>
  <c r="GX61" i="17"/>
  <c r="GX62" i="17"/>
  <c r="GX63" i="17"/>
  <c r="GX64" i="17"/>
  <c r="GX65" i="17"/>
  <c r="GX66" i="17"/>
  <c r="GZ7" i="17"/>
  <c r="GZ8" i="17"/>
  <c r="GZ9" i="17"/>
  <c r="GZ10" i="17"/>
  <c r="GZ11" i="17"/>
  <c r="GZ12" i="17"/>
  <c r="GZ13" i="17"/>
  <c r="GZ14" i="17"/>
  <c r="GZ15" i="17"/>
  <c r="GZ16" i="17"/>
  <c r="GZ17" i="17"/>
  <c r="GZ18" i="17"/>
  <c r="GZ19" i="17"/>
  <c r="GZ20" i="17"/>
  <c r="GZ21" i="17"/>
  <c r="GZ22" i="17"/>
  <c r="GZ23" i="17"/>
  <c r="GZ24" i="17"/>
  <c r="GZ25" i="17"/>
  <c r="GZ26" i="17"/>
  <c r="GZ27" i="17"/>
  <c r="GZ28" i="17"/>
  <c r="GZ29" i="17"/>
  <c r="GZ30" i="17"/>
  <c r="GZ31" i="17"/>
  <c r="GZ32" i="17"/>
  <c r="GZ33" i="17"/>
  <c r="GZ34" i="17"/>
  <c r="GZ35" i="17"/>
  <c r="GZ36" i="17"/>
  <c r="GZ37" i="17"/>
  <c r="GZ38" i="17"/>
  <c r="GZ39" i="17"/>
  <c r="GZ40" i="17"/>
  <c r="GZ41" i="17"/>
  <c r="GZ42" i="17"/>
  <c r="GZ43" i="17"/>
  <c r="GZ44" i="17"/>
  <c r="GZ45" i="17"/>
  <c r="GZ46" i="17"/>
  <c r="GZ47" i="17"/>
  <c r="GZ48" i="17"/>
  <c r="GZ49" i="17"/>
  <c r="GZ50" i="17"/>
  <c r="GZ51" i="17"/>
  <c r="GZ52" i="17"/>
  <c r="GZ53" i="17"/>
  <c r="GZ54" i="17"/>
  <c r="GZ55" i="17"/>
  <c r="GZ56" i="17"/>
  <c r="GZ57" i="17"/>
  <c r="GZ58" i="17"/>
  <c r="GZ59" i="17"/>
  <c r="GZ60" i="17"/>
  <c r="GZ61" i="17"/>
  <c r="GZ62" i="17"/>
  <c r="GZ63" i="17"/>
  <c r="GZ64" i="17"/>
  <c r="GZ65" i="17"/>
  <c r="GZ66" i="17"/>
  <c r="HA7" i="17"/>
  <c r="HA8" i="17"/>
  <c r="HA9" i="17"/>
  <c r="HA10" i="17"/>
  <c r="HA11" i="17"/>
  <c r="HA12" i="17"/>
  <c r="HA13" i="17"/>
  <c r="HA14" i="17"/>
  <c r="HA15" i="17"/>
  <c r="HA16" i="17"/>
  <c r="HA17" i="17"/>
  <c r="HA18" i="17"/>
  <c r="HA19" i="17"/>
  <c r="HA20" i="17"/>
  <c r="HA21" i="17"/>
  <c r="HA22" i="17"/>
  <c r="HA23" i="17"/>
  <c r="HA24" i="17"/>
  <c r="HA25" i="17"/>
  <c r="HA26" i="17"/>
  <c r="HA27" i="17"/>
  <c r="HA28" i="17"/>
  <c r="HA29" i="17"/>
  <c r="HA30" i="17"/>
  <c r="HA31" i="17"/>
  <c r="HA32" i="17"/>
  <c r="HA33" i="17"/>
  <c r="HA34" i="17"/>
  <c r="HA35" i="17"/>
  <c r="HA36" i="17"/>
  <c r="HA37" i="17"/>
  <c r="HA38" i="17"/>
  <c r="HA39" i="17"/>
  <c r="HA40" i="17"/>
  <c r="HA41" i="17"/>
  <c r="HA42" i="17"/>
  <c r="HA43" i="17"/>
  <c r="HA44" i="17"/>
  <c r="HA45" i="17"/>
  <c r="HA46" i="17"/>
  <c r="HA47" i="17"/>
  <c r="HA48" i="17"/>
  <c r="HA49" i="17"/>
  <c r="HA50" i="17"/>
  <c r="HA51" i="17"/>
  <c r="HA52" i="17"/>
  <c r="HA53" i="17"/>
  <c r="HA54" i="17"/>
  <c r="HA55" i="17"/>
  <c r="HA56" i="17"/>
  <c r="HA57" i="17"/>
  <c r="HA58" i="17"/>
  <c r="HA59" i="17"/>
  <c r="HA60" i="17"/>
  <c r="HA61" i="17"/>
  <c r="HA62" i="17"/>
  <c r="HA63" i="17"/>
  <c r="HA64" i="17"/>
  <c r="HA65" i="17"/>
  <c r="HA66" i="17"/>
  <c r="HB7" i="17"/>
  <c r="HB8" i="17"/>
  <c r="HB9" i="17"/>
  <c r="HB10" i="17"/>
  <c r="HB11" i="17"/>
  <c r="HB12" i="17"/>
  <c r="HB13" i="17"/>
  <c r="HB14" i="17"/>
  <c r="HB15" i="17"/>
  <c r="HB16" i="17"/>
  <c r="HB17" i="17"/>
  <c r="HB18" i="17"/>
  <c r="HB19" i="17"/>
  <c r="HB20" i="17"/>
  <c r="HB21" i="17"/>
  <c r="HB22" i="17"/>
  <c r="HB23" i="17"/>
  <c r="HB24" i="17"/>
  <c r="HB25" i="17"/>
  <c r="HB26" i="17"/>
  <c r="HB27" i="17"/>
  <c r="HB28" i="17"/>
  <c r="HB29" i="17"/>
  <c r="HB30" i="17"/>
  <c r="HB31" i="17"/>
  <c r="HB32" i="17"/>
  <c r="HB33" i="17"/>
  <c r="HB34" i="17"/>
  <c r="HB35" i="17"/>
  <c r="HB36" i="17"/>
  <c r="HB37" i="17"/>
  <c r="HB38" i="17"/>
  <c r="HB39" i="17"/>
  <c r="HB40" i="17"/>
  <c r="HB41" i="17"/>
  <c r="HB42" i="17"/>
  <c r="HB43" i="17"/>
  <c r="HB44" i="17"/>
  <c r="HB45" i="17"/>
  <c r="HB46" i="17"/>
  <c r="HB47" i="17"/>
  <c r="HB48" i="17"/>
  <c r="HB49" i="17"/>
  <c r="HB50" i="17"/>
  <c r="HB51" i="17"/>
  <c r="HB52" i="17"/>
  <c r="HB53" i="17"/>
  <c r="HB54" i="17"/>
  <c r="HB55" i="17"/>
  <c r="HB56" i="17"/>
  <c r="HB57" i="17"/>
  <c r="HB58" i="17"/>
  <c r="HB59" i="17"/>
  <c r="HB60" i="17"/>
  <c r="HB61" i="17"/>
  <c r="HB62" i="17"/>
  <c r="HB63" i="17"/>
  <c r="HB64" i="17"/>
  <c r="HB65" i="17"/>
  <c r="HB66" i="17"/>
  <c r="HD7" i="17"/>
  <c r="HD8" i="17"/>
  <c r="HD9" i="17"/>
  <c r="HD10" i="17"/>
  <c r="HD11" i="17"/>
  <c r="HD12" i="17"/>
  <c r="HD13" i="17"/>
  <c r="HD14" i="17"/>
  <c r="HD15" i="17"/>
  <c r="HD16" i="17"/>
  <c r="HD17" i="17"/>
  <c r="HD18" i="17"/>
  <c r="HD19" i="17"/>
  <c r="HD20" i="17"/>
  <c r="HD21" i="17"/>
  <c r="HD22" i="17"/>
  <c r="HD23" i="17"/>
  <c r="HD24" i="17"/>
  <c r="HD25" i="17"/>
  <c r="HD26" i="17"/>
  <c r="HD27" i="17"/>
  <c r="HD28" i="17"/>
  <c r="HD29" i="17"/>
  <c r="HD30" i="17"/>
  <c r="HD31" i="17"/>
  <c r="HD32" i="17"/>
  <c r="HD33" i="17"/>
  <c r="HD34" i="17"/>
  <c r="HD35" i="17"/>
  <c r="HD36" i="17"/>
  <c r="HD37" i="17"/>
  <c r="HD38" i="17"/>
  <c r="HD39" i="17"/>
  <c r="HD40" i="17"/>
  <c r="HD41" i="17"/>
  <c r="HD42" i="17"/>
  <c r="HD43" i="17"/>
  <c r="HD44" i="17"/>
  <c r="HD45" i="17"/>
  <c r="HD46" i="17"/>
  <c r="HD47" i="17"/>
  <c r="HD48" i="17"/>
  <c r="HD49" i="17"/>
  <c r="HD50" i="17"/>
  <c r="HD51" i="17"/>
  <c r="HD52" i="17"/>
  <c r="HD53" i="17"/>
  <c r="HD54" i="17"/>
  <c r="HD55" i="17"/>
  <c r="HD56" i="17"/>
  <c r="HD57" i="17"/>
  <c r="HD58" i="17"/>
  <c r="HD59" i="17"/>
  <c r="HD60" i="17"/>
  <c r="HD61" i="17"/>
  <c r="HD62" i="17"/>
  <c r="HD63" i="17"/>
  <c r="HD64" i="17"/>
  <c r="HD65" i="17"/>
  <c r="HD66" i="17"/>
  <c r="HE7" i="17"/>
  <c r="HE8" i="17"/>
  <c r="HE9" i="17"/>
  <c r="HE10" i="17"/>
  <c r="HE11" i="17"/>
  <c r="HE12" i="17"/>
  <c r="HE13" i="17"/>
  <c r="HE14" i="17"/>
  <c r="HE15" i="17"/>
  <c r="HE16" i="17"/>
  <c r="HE17" i="17"/>
  <c r="HE18" i="17"/>
  <c r="HE19" i="17"/>
  <c r="HE20" i="17"/>
  <c r="HE21" i="17"/>
  <c r="HE22" i="17"/>
  <c r="HE23" i="17"/>
  <c r="HE24" i="17"/>
  <c r="HE25" i="17"/>
  <c r="HE26" i="17"/>
  <c r="HE27" i="17"/>
  <c r="HE28" i="17"/>
  <c r="HE29" i="17"/>
  <c r="HE30" i="17"/>
  <c r="HE31" i="17"/>
  <c r="HE32" i="17"/>
  <c r="HE33" i="17"/>
  <c r="HE34" i="17"/>
  <c r="HE35" i="17"/>
  <c r="HE36" i="17"/>
  <c r="HE37" i="17"/>
  <c r="HE38" i="17"/>
  <c r="HE39" i="17"/>
  <c r="HE40" i="17"/>
  <c r="HE41" i="17"/>
  <c r="HE42" i="17"/>
  <c r="HE43" i="17"/>
  <c r="HE44" i="17"/>
  <c r="HE45" i="17"/>
  <c r="HE46" i="17"/>
  <c r="HE47" i="17"/>
  <c r="HE48" i="17"/>
  <c r="HE49" i="17"/>
  <c r="HE50" i="17"/>
  <c r="HE51" i="17"/>
  <c r="HE52" i="17"/>
  <c r="HE53" i="17"/>
  <c r="HE54" i="17"/>
  <c r="HE55" i="17"/>
  <c r="HE56" i="17"/>
  <c r="HE57" i="17"/>
  <c r="HE58" i="17"/>
  <c r="HE59" i="17"/>
  <c r="HE60" i="17"/>
  <c r="HE61" i="17"/>
  <c r="HE62" i="17"/>
  <c r="HE63" i="17"/>
  <c r="HE64" i="17"/>
  <c r="HE65" i="17"/>
  <c r="HE66" i="17"/>
  <c r="HF7" i="17"/>
  <c r="HF8" i="17"/>
  <c r="HF9" i="17"/>
  <c r="HF10" i="17"/>
  <c r="HF11" i="17"/>
  <c r="HF12" i="17"/>
  <c r="HF13" i="17"/>
  <c r="HF14" i="17"/>
  <c r="HF15" i="17"/>
  <c r="HF16" i="17"/>
  <c r="HF17" i="17"/>
  <c r="HF18" i="17"/>
  <c r="HF19" i="17"/>
  <c r="HF20" i="17"/>
  <c r="HF21" i="17"/>
  <c r="HF22" i="17"/>
  <c r="HF23" i="17"/>
  <c r="HF24" i="17"/>
  <c r="HF25" i="17"/>
  <c r="HF26" i="17"/>
  <c r="HF27" i="17"/>
  <c r="HF28" i="17"/>
  <c r="HF29" i="17"/>
  <c r="HF30" i="17"/>
  <c r="HF31" i="17"/>
  <c r="HF32" i="17"/>
  <c r="HF33" i="17"/>
  <c r="HF34" i="17"/>
  <c r="HF35" i="17"/>
  <c r="HF36" i="17"/>
  <c r="HF37" i="17"/>
  <c r="HF38" i="17"/>
  <c r="HF39" i="17"/>
  <c r="HF40" i="17"/>
  <c r="HF41" i="17"/>
  <c r="HF42" i="17"/>
  <c r="HF43" i="17"/>
  <c r="HF44" i="17"/>
  <c r="HF45" i="17"/>
  <c r="HF46" i="17"/>
  <c r="HF47" i="17"/>
  <c r="HF48" i="17"/>
  <c r="HF49" i="17"/>
  <c r="HF50" i="17"/>
  <c r="HF51" i="17"/>
  <c r="HF52" i="17"/>
  <c r="HF53" i="17"/>
  <c r="HF54" i="17"/>
  <c r="HF55" i="17"/>
  <c r="HF56" i="17"/>
  <c r="HF57" i="17"/>
  <c r="HF58" i="17"/>
  <c r="HF59" i="17"/>
  <c r="HF60" i="17"/>
  <c r="HF61" i="17"/>
  <c r="HF62" i="17"/>
  <c r="HF63" i="17"/>
  <c r="HF64" i="17"/>
  <c r="HF65" i="17"/>
  <c r="HF66" i="17"/>
  <c r="HH7" i="17"/>
  <c r="HH8" i="17"/>
  <c r="HH9" i="17"/>
  <c r="HH10" i="17"/>
  <c r="HH11" i="17"/>
  <c r="HH12" i="17"/>
  <c r="HH13" i="17"/>
  <c r="HH14" i="17"/>
  <c r="HH15" i="17"/>
  <c r="HH16" i="17"/>
  <c r="HH17" i="17"/>
  <c r="HH18" i="17"/>
  <c r="HH19" i="17"/>
  <c r="HH20" i="17"/>
  <c r="HH21" i="17"/>
  <c r="HH22" i="17"/>
  <c r="HH23" i="17"/>
  <c r="HH24" i="17"/>
  <c r="HH25" i="17"/>
  <c r="HH26" i="17"/>
  <c r="HH27" i="17"/>
  <c r="HH28" i="17"/>
  <c r="HH29" i="17"/>
  <c r="HH30" i="17"/>
  <c r="HH31" i="17"/>
  <c r="HH32" i="17"/>
  <c r="HH33" i="17"/>
  <c r="HH34" i="17"/>
  <c r="HH35" i="17"/>
  <c r="HH36" i="17"/>
  <c r="HH37" i="17"/>
  <c r="HH38" i="17"/>
  <c r="HH39" i="17"/>
  <c r="HH40" i="17"/>
  <c r="HH41" i="17"/>
  <c r="HH42" i="17"/>
  <c r="HH43" i="17"/>
  <c r="HH44" i="17"/>
  <c r="HH45" i="17"/>
  <c r="HH46" i="17"/>
  <c r="HH47" i="17"/>
  <c r="HH48" i="17"/>
  <c r="HH49" i="17"/>
  <c r="HH50" i="17"/>
  <c r="HH51" i="17"/>
  <c r="HH52" i="17"/>
  <c r="HH53" i="17"/>
  <c r="HH54" i="17"/>
  <c r="HH55" i="17"/>
  <c r="HH56" i="17"/>
  <c r="HH57" i="17"/>
  <c r="HH58" i="17"/>
  <c r="HH59" i="17"/>
  <c r="HH60" i="17"/>
  <c r="HH61" i="17"/>
  <c r="HH62" i="17"/>
  <c r="HH63" i="17"/>
  <c r="HH64" i="17"/>
  <c r="HH65" i="17"/>
  <c r="HH66" i="17"/>
  <c r="HI7" i="17"/>
  <c r="HI8" i="17"/>
  <c r="HI9" i="17"/>
  <c r="HI10" i="17"/>
  <c r="HI11" i="17"/>
  <c r="HI12" i="17"/>
  <c r="HI13" i="17"/>
  <c r="HI14" i="17"/>
  <c r="HI15" i="17"/>
  <c r="HI16" i="17"/>
  <c r="HI17" i="17"/>
  <c r="HI18" i="17"/>
  <c r="HI19" i="17"/>
  <c r="HI20" i="17"/>
  <c r="HI21" i="17"/>
  <c r="HI22" i="17"/>
  <c r="HI23" i="17"/>
  <c r="HI24" i="17"/>
  <c r="HI25" i="17"/>
  <c r="HI26" i="17"/>
  <c r="HI27" i="17"/>
  <c r="HI28" i="17"/>
  <c r="HI29" i="17"/>
  <c r="HI30" i="17"/>
  <c r="HI31" i="17"/>
  <c r="HI32" i="17"/>
  <c r="HI33" i="17"/>
  <c r="HI34" i="17"/>
  <c r="HI35" i="17"/>
  <c r="HI36" i="17"/>
  <c r="HI37" i="17"/>
  <c r="HI38" i="17"/>
  <c r="HI39" i="17"/>
  <c r="HI40" i="17"/>
  <c r="HI41" i="17"/>
  <c r="HI42" i="17"/>
  <c r="HI43" i="17"/>
  <c r="HI44" i="17"/>
  <c r="HI45" i="17"/>
  <c r="HI46" i="17"/>
  <c r="HI47" i="17"/>
  <c r="HI48" i="17"/>
  <c r="HI49" i="17"/>
  <c r="HI50" i="17"/>
  <c r="HI51" i="17"/>
  <c r="HI52" i="17"/>
  <c r="HI53" i="17"/>
  <c r="HI54" i="17"/>
  <c r="HI55" i="17"/>
  <c r="HI56" i="17"/>
  <c r="HI57" i="17"/>
  <c r="HI58" i="17"/>
  <c r="HI59" i="17"/>
  <c r="HI60" i="17"/>
  <c r="HI61" i="17"/>
  <c r="HI62" i="17"/>
  <c r="HI63" i="17"/>
  <c r="HI64" i="17"/>
  <c r="HI65" i="17"/>
  <c r="HI66" i="17"/>
  <c r="HJ7" i="17"/>
  <c r="HJ8" i="17"/>
  <c r="HJ9" i="17"/>
  <c r="HJ10" i="17"/>
  <c r="HJ11" i="17"/>
  <c r="HJ12" i="17"/>
  <c r="HJ13" i="17"/>
  <c r="HJ14" i="17"/>
  <c r="HJ15" i="17"/>
  <c r="HJ16" i="17"/>
  <c r="HJ17" i="17"/>
  <c r="HJ18" i="17"/>
  <c r="HJ19" i="17"/>
  <c r="HJ20" i="17"/>
  <c r="HJ21" i="17"/>
  <c r="HJ22" i="17"/>
  <c r="HJ23" i="17"/>
  <c r="HJ24" i="17"/>
  <c r="HJ25" i="17"/>
  <c r="HJ26" i="17"/>
  <c r="HJ27" i="17"/>
  <c r="HJ28" i="17"/>
  <c r="HJ29" i="17"/>
  <c r="HJ30" i="17"/>
  <c r="HJ31" i="17"/>
  <c r="HJ32" i="17"/>
  <c r="HJ33" i="17"/>
  <c r="HJ34" i="17"/>
  <c r="HJ35" i="17"/>
  <c r="HJ36" i="17"/>
  <c r="HJ37" i="17"/>
  <c r="HJ38" i="17"/>
  <c r="HJ39" i="17"/>
  <c r="HJ40" i="17"/>
  <c r="HJ41" i="17"/>
  <c r="HJ42" i="17"/>
  <c r="HJ43" i="17"/>
  <c r="HJ44" i="17"/>
  <c r="HJ45" i="17"/>
  <c r="HJ46" i="17"/>
  <c r="HJ47" i="17"/>
  <c r="HJ48" i="17"/>
  <c r="HJ49" i="17"/>
  <c r="HJ50" i="17"/>
  <c r="HJ51" i="17"/>
  <c r="HJ52" i="17"/>
  <c r="HJ53" i="17"/>
  <c r="HJ54" i="17"/>
  <c r="HJ55" i="17"/>
  <c r="HJ56" i="17"/>
  <c r="HJ57" i="17"/>
  <c r="HJ58" i="17"/>
  <c r="HJ59" i="17"/>
  <c r="HJ60" i="17"/>
  <c r="HJ61" i="17"/>
  <c r="HJ62" i="17"/>
  <c r="HJ63" i="17"/>
  <c r="HJ64" i="17"/>
  <c r="HJ65" i="17"/>
  <c r="HJ66" i="17"/>
  <c r="HL7" i="17"/>
  <c r="HL8" i="17"/>
  <c r="HL9" i="17"/>
  <c r="HL10" i="17"/>
  <c r="HL11" i="17"/>
  <c r="HL12" i="17"/>
  <c r="HL13" i="17"/>
  <c r="HL14" i="17"/>
  <c r="HL15" i="17"/>
  <c r="HL16" i="17"/>
  <c r="HL17" i="17"/>
  <c r="HL18" i="17"/>
  <c r="HL19" i="17"/>
  <c r="HL20" i="17"/>
  <c r="HL21" i="17"/>
  <c r="HL22" i="17"/>
  <c r="HL23" i="17"/>
  <c r="HL24" i="17"/>
  <c r="HL25" i="17"/>
  <c r="HL26" i="17"/>
  <c r="HL27" i="17"/>
  <c r="HL28" i="17"/>
  <c r="HL29" i="17"/>
  <c r="HL30" i="17"/>
  <c r="HL31" i="17"/>
  <c r="HL32" i="17"/>
  <c r="HL33" i="17"/>
  <c r="HL34" i="17"/>
  <c r="HL35" i="17"/>
  <c r="HL36" i="17"/>
  <c r="HL37" i="17"/>
  <c r="HL38" i="17"/>
  <c r="HL39" i="17"/>
  <c r="HL40" i="17"/>
  <c r="HL41" i="17"/>
  <c r="HL42" i="17"/>
  <c r="HL43" i="17"/>
  <c r="HL44" i="17"/>
  <c r="HL45" i="17"/>
  <c r="HL46" i="17"/>
  <c r="HL47" i="17"/>
  <c r="HL48" i="17"/>
  <c r="HL49" i="17"/>
  <c r="HL50" i="17"/>
  <c r="HL51" i="17"/>
  <c r="HL52" i="17"/>
  <c r="HL53" i="17"/>
  <c r="HL54" i="17"/>
  <c r="HL55" i="17"/>
  <c r="HL56" i="17"/>
  <c r="HL57" i="17"/>
  <c r="HL58" i="17"/>
  <c r="HL59" i="17"/>
  <c r="HL60" i="17"/>
  <c r="HL61" i="17"/>
  <c r="HL62" i="17"/>
  <c r="HL63" i="17"/>
  <c r="HL64" i="17"/>
  <c r="HL65" i="17"/>
  <c r="HL66" i="17"/>
  <c r="HM7" i="17"/>
  <c r="HM8" i="17"/>
  <c r="HM9" i="17"/>
  <c r="HM10" i="17"/>
  <c r="HM11" i="17"/>
  <c r="HM12" i="17"/>
  <c r="HM13" i="17"/>
  <c r="HM14" i="17"/>
  <c r="HM15" i="17"/>
  <c r="HM16" i="17"/>
  <c r="HM17" i="17"/>
  <c r="HM18" i="17"/>
  <c r="HM19" i="17"/>
  <c r="HM20" i="17"/>
  <c r="HM21" i="17"/>
  <c r="HM22" i="17"/>
  <c r="HM23" i="17"/>
  <c r="HM24" i="17"/>
  <c r="HM25" i="17"/>
  <c r="HM26" i="17"/>
  <c r="HM27" i="17"/>
  <c r="HM28" i="17"/>
  <c r="HM29" i="17"/>
  <c r="HM30" i="17"/>
  <c r="HM31" i="17"/>
  <c r="HM32" i="17"/>
  <c r="HM33" i="17"/>
  <c r="HM34" i="17"/>
  <c r="HM35" i="17"/>
  <c r="HM36" i="17"/>
  <c r="HM37" i="17"/>
  <c r="HM38" i="17"/>
  <c r="HM39" i="17"/>
  <c r="HM40" i="17"/>
  <c r="HM41" i="17"/>
  <c r="HM42" i="17"/>
  <c r="HM43" i="17"/>
  <c r="HM44" i="17"/>
  <c r="HM45" i="17"/>
  <c r="HM46" i="17"/>
  <c r="HM47" i="17"/>
  <c r="HM48" i="17"/>
  <c r="HM49" i="17"/>
  <c r="HM50" i="17"/>
  <c r="HM51" i="17"/>
  <c r="HM52" i="17"/>
  <c r="HM53" i="17"/>
  <c r="HM54" i="17"/>
  <c r="HM55" i="17"/>
  <c r="HM56" i="17"/>
  <c r="HM57" i="17"/>
  <c r="HM58" i="17"/>
  <c r="HM59" i="17"/>
  <c r="HM60" i="17"/>
  <c r="HM61" i="17"/>
  <c r="HM62" i="17"/>
  <c r="HM63" i="17"/>
  <c r="HM64" i="17"/>
  <c r="HM65" i="17"/>
  <c r="HM66" i="17"/>
  <c r="HN7" i="17"/>
  <c r="HN8" i="17"/>
  <c r="HN9" i="17"/>
  <c r="HN10" i="17"/>
  <c r="HN11" i="17"/>
  <c r="HN12" i="17"/>
  <c r="HN13" i="17"/>
  <c r="HN14" i="17"/>
  <c r="HN15" i="17"/>
  <c r="HN16" i="17"/>
  <c r="HN17" i="17"/>
  <c r="HN18" i="17"/>
  <c r="HN19" i="17"/>
  <c r="HN20" i="17"/>
  <c r="HN21" i="17"/>
  <c r="HN22" i="17"/>
  <c r="HN23" i="17"/>
  <c r="HN24" i="17"/>
  <c r="HN25" i="17"/>
  <c r="HN26" i="17"/>
  <c r="HN27" i="17"/>
  <c r="HN28" i="17"/>
  <c r="HN29" i="17"/>
  <c r="HN30" i="17"/>
  <c r="HN31" i="17"/>
  <c r="HN32" i="17"/>
  <c r="HN33" i="17"/>
  <c r="HN34" i="17"/>
  <c r="HN35" i="17"/>
  <c r="HN36" i="17"/>
  <c r="HN37" i="17"/>
  <c r="HN38" i="17"/>
  <c r="HN39" i="17"/>
  <c r="HN40" i="17"/>
  <c r="HN41" i="17"/>
  <c r="HN42" i="17"/>
  <c r="HN43" i="17"/>
  <c r="HN44" i="17"/>
  <c r="HN45" i="17"/>
  <c r="HN46" i="17"/>
  <c r="HN47" i="17"/>
  <c r="HN48" i="17"/>
  <c r="HN49" i="17"/>
  <c r="HN50" i="17"/>
  <c r="HN51" i="17"/>
  <c r="HN52" i="17"/>
  <c r="HN53" i="17"/>
  <c r="HN54" i="17"/>
  <c r="HN55" i="17"/>
  <c r="HN56" i="17"/>
  <c r="HN57" i="17"/>
  <c r="HN58" i="17"/>
  <c r="HN59" i="17"/>
  <c r="HN60" i="17"/>
  <c r="HN61" i="17"/>
  <c r="HN62" i="17"/>
  <c r="HN63" i="17"/>
  <c r="HN64" i="17"/>
  <c r="HN65" i="17"/>
  <c r="HN66" i="17"/>
  <c r="HN6" i="17"/>
  <c r="HM6" i="17"/>
  <c r="HL6" i="17"/>
  <c r="HJ6" i="17"/>
  <c r="HI6" i="17"/>
  <c r="HH6" i="17"/>
  <c r="HF6" i="17"/>
  <c r="HE6" i="17"/>
  <c r="HD6" i="17"/>
  <c r="HB6" i="17"/>
  <c r="HA6" i="17"/>
  <c r="GZ6" i="17"/>
  <c r="GX6" i="17"/>
  <c r="GW6" i="17"/>
  <c r="GV6" i="17"/>
  <c r="GT6" i="17"/>
  <c r="GS6" i="17"/>
  <c r="GR6" i="17"/>
  <c r="GP6" i="17"/>
  <c r="GO6" i="17"/>
  <c r="GN6" i="17"/>
  <c r="GL6" i="17"/>
  <c r="GK6" i="17"/>
  <c r="GJ6" i="17"/>
  <c r="GH6" i="17"/>
  <c r="GG6" i="17"/>
  <c r="GF6" i="17"/>
  <c r="GD6" i="17"/>
  <c r="GC6" i="17"/>
  <c r="GB6" i="17"/>
  <c r="FZ6" i="17"/>
  <c r="FY6" i="17"/>
  <c r="FX6" i="17"/>
  <c r="FV6" i="17"/>
  <c r="FU6" i="17"/>
  <c r="FT6" i="17"/>
  <c r="FR6" i="17"/>
  <c r="FQ6" i="17"/>
  <c r="FP6" i="17"/>
  <c r="FN6" i="17"/>
  <c r="FM6" i="17"/>
  <c r="FL6" i="17"/>
  <c r="FJ6" i="17"/>
  <c r="FI6" i="17"/>
  <c r="FH6" i="17"/>
  <c r="FF6" i="17"/>
  <c r="FE6" i="17"/>
  <c r="FD6" i="17"/>
  <c r="FB6" i="17"/>
  <c r="FA6" i="17"/>
  <c r="EZ6" i="17"/>
  <c r="EX6" i="17"/>
  <c r="EW6" i="17"/>
  <c r="EV6" i="17"/>
  <c r="ET6" i="17"/>
  <c r="ES6" i="17"/>
  <c r="ER6" i="17"/>
  <c r="EP6" i="17"/>
  <c r="EO6" i="17"/>
  <c r="EN6" i="17"/>
  <c r="EJ6" i="17"/>
  <c r="EJ7" i="17"/>
  <c r="EJ8" i="17"/>
  <c r="EJ9" i="17"/>
  <c r="EJ10" i="17"/>
  <c r="EJ11" i="17"/>
  <c r="EJ12" i="17"/>
  <c r="EJ13" i="17"/>
  <c r="EJ14" i="17"/>
  <c r="EJ15" i="17"/>
  <c r="EJ16" i="17"/>
  <c r="EJ17" i="17"/>
  <c r="EJ18" i="17"/>
  <c r="EJ19" i="17"/>
  <c r="EJ20" i="17"/>
  <c r="EJ21" i="17"/>
  <c r="EJ22" i="17"/>
  <c r="EJ23" i="17"/>
  <c r="EJ24" i="17"/>
  <c r="EJ25" i="17"/>
  <c r="EJ26" i="17"/>
  <c r="EJ27" i="17"/>
  <c r="EJ28" i="17"/>
  <c r="EJ29" i="17"/>
  <c r="EJ30" i="17"/>
  <c r="EJ31" i="17"/>
  <c r="EJ32" i="17"/>
  <c r="EJ33" i="17"/>
  <c r="EJ34" i="17"/>
  <c r="EJ35" i="17"/>
  <c r="EJ36" i="17"/>
  <c r="EJ37" i="17"/>
  <c r="EJ38" i="17"/>
  <c r="EJ39" i="17"/>
  <c r="EJ40" i="17"/>
  <c r="EJ41" i="17"/>
  <c r="EJ42" i="17"/>
  <c r="EJ43" i="17"/>
  <c r="EJ44" i="17"/>
  <c r="EJ45" i="17"/>
  <c r="EJ46" i="17"/>
  <c r="EJ47" i="17"/>
  <c r="EJ48" i="17"/>
  <c r="EJ49" i="17"/>
  <c r="EJ50" i="17"/>
  <c r="EJ51" i="17"/>
  <c r="EJ52" i="17"/>
  <c r="EJ53" i="17"/>
  <c r="EJ54" i="17"/>
  <c r="EJ55" i="17"/>
  <c r="EJ56" i="17"/>
  <c r="EJ57" i="17"/>
  <c r="EJ58" i="17"/>
  <c r="EJ59" i="17"/>
  <c r="EJ60" i="17"/>
  <c r="EJ61" i="17"/>
  <c r="EJ62" i="17"/>
  <c r="EJ63" i="17"/>
  <c r="EJ64" i="17"/>
  <c r="EJ65" i="17"/>
  <c r="EJ66" i="17"/>
  <c r="EC6" i="17"/>
  <c r="EC7" i="17"/>
  <c r="EC8" i="17"/>
  <c r="EC9" i="17"/>
  <c r="EC10" i="17"/>
  <c r="EC11" i="17"/>
  <c r="EC12" i="17"/>
  <c r="EC13" i="17"/>
  <c r="EC14" i="17"/>
  <c r="EC15" i="17"/>
  <c r="EC16" i="17"/>
  <c r="EC17" i="17"/>
  <c r="EC18" i="17"/>
  <c r="EC19" i="17"/>
  <c r="EC20" i="17"/>
  <c r="EC21" i="17"/>
  <c r="EC22" i="17"/>
  <c r="EC23" i="17"/>
  <c r="EC24" i="17"/>
  <c r="EC25" i="17"/>
  <c r="EC26" i="17"/>
  <c r="EC27" i="17"/>
  <c r="EC28" i="17"/>
  <c r="EC29" i="17"/>
  <c r="EC30" i="17"/>
  <c r="EC31" i="17"/>
  <c r="EC32" i="17"/>
  <c r="EC33" i="17"/>
  <c r="EC34" i="17"/>
  <c r="EC35" i="17"/>
  <c r="EC36" i="17"/>
  <c r="EC37" i="17"/>
  <c r="EC38" i="17"/>
  <c r="EC39" i="17"/>
  <c r="EC40" i="17"/>
  <c r="EC41" i="17"/>
  <c r="EC42" i="17"/>
  <c r="EC43" i="17"/>
  <c r="EC44" i="17"/>
  <c r="EC45" i="17"/>
  <c r="EC46" i="17"/>
  <c r="EC47" i="17"/>
  <c r="EC48" i="17"/>
  <c r="EC49" i="17"/>
  <c r="EC50" i="17"/>
  <c r="EC51" i="17"/>
  <c r="EC52" i="17"/>
  <c r="EC53" i="17"/>
  <c r="EC54" i="17"/>
  <c r="EC55" i="17"/>
  <c r="EC56" i="17"/>
  <c r="EC57" i="17"/>
  <c r="EC58" i="17"/>
  <c r="EC59" i="17"/>
  <c r="EC60" i="17"/>
  <c r="EC61" i="17"/>
  <c r="EC62" i="17"/>
  <c r="EC63" i="17"/>
  <c r="EC64" i="17"/>
  <c r="EC65" i="17"/>
  <c r="EC66" i="17"/>
  <c r="DV6" i="17"/>
  <c r="DV7" i="17"/>
  <c r="DV8" i="17"/>
  <c r="DV9" i="17"/>
  <c r="DV10" i="17"/>
  <c r="DV11" i="17"/>
  <c r="DV12" i="17"/>
  <c r="DV13" i="17"/>
  <c r="DV14" i="17"/>
  <c r="DV15" i="17"/>
  <c r="DV16" i="17"/>
  <c r="DV17" i="17"/>
  <c r="DV18" i="17"/>
  <c r="DV19" i="17"/>
  <c r="DV20" i="17"/>
  <c r="DV21" i="17"/>
  <c r="DV22" i="17"/>
  <c r="DV23" i="17"/>
  <c r="DV24" i="17"/>
  <c r="DV25" i="17"/>
  <c r="DV26" i="17"/>
  <c r="DV27" i="17"/>
  <c r="DV28" i="17"/>
  <c r="DV29" i="17"/>
  <c r="DV30" i="17"/>
  <c r="DV31" i="17"/>
  <c r="DV32" i="17"/>
  <c r="DV33" i="17"/>
  <c r="DV34" i="17"/>
  <c r="DV35" i="17"/>
  <c r="DV36" i="17"/>
  <c r="DV37" i="17"/>
  <c r="DV38" i="17"/>
  <c r="DV39" i="17"/>
  <c r="DV40" i="17"/>
  <c r="DV41" i="17"/>
  <c r="DV42" i="17"/>
  <c r="DV43" i="17"/>
  <c r="DV44" i="17"/>
  <c r="DV45" i="17"/>
  <c r="DV46" i="17"/>
  <c r="DV47" i="17"/>
  <c r="DV48" i="17"/>
  <c r="DV49" i="17"/>
  <c r="DV50" i="17"/>
  <c r="DV51" i="17"/>
  <c r="DV52" i="17"/>
  <c r="DV53" i="17"/>
  <c r="DV54" i="17"/>
  <c r="DV55" i="17"/>
  <c r="DV56" i="17"/>
  <c r="DV57" i="17"/>
  <c r="DV58" i="17"/>
  <c r="DV59" i="17"/>
  <c r="DV60" i="17"/>
  <c r="DV61" i="17"/>
  <c r="DV62" i="17"/>
  <c r="DV63" i="17"/>
  <c r="DV64" i="17"/>
  <c r="DV65" i="17"/>
  <c r="DV66" i="17"/>
  <c r="DO6" i="17"/>
  <c r="DO7" i="17"/>
  <c r="DO8" i="17"/>
  <c r="DO9" i="17"/>
  <c r="DO10" i="17"/>
  <c r="DO11" i="17"/>
  <c r="DO12" i="17"/>
  <c r="DO13" i="17"/>
  <c r="DO14" i="17"/>
  <c r="DO15" i="17"/>
  <c r="DO16" i="17"/>
  <c r="DO17" i="17"/>
  <c r="DO18" i="17"/>
  <c r="DO19" i="17"/>
  <c r="DO20" i="17"/>
  <c r="DO21" i="17"/>
  <c r="DO22" i="17"/>
  <c r="DO23" i="17"/>
  <c r="DO24" i="17"/>
  <c r="DO25" i="17"/>
  <c r="DO26" i="17"/>
  <c r="DO27" i="17"/>
  <c r="DO28" i="17"/>
  <c r="DO29" i="17"/>
  <c r="DO30" i="17"/>
  <c r="DO31" i="17"/>
  <c r="DO32" i="17"/>
  <c r="DO33" i="17"/>
  <c r="DO34" i="17"/>
  <c r="DO35" i="17"/>
  <c r="DO36" i="17"/>
  <c r="DO37" i="17"/>
  <c r="DO38" i="17"/>
  <c r="DO39" i="17"/>
  <c r="DO40" i="17"/>
  <c r="DO41" i="17"/>
  <c r="DO42" i="17"/>
  <c r="DO43" i="17"/>
  <c r="DO44" i="17"/>
  <c r="DO45" i="17"/>
  <c r="DO46" i="17"/>
  <c r="DO47" i="17"/>
  <c r="DO48" i="17"/>
  <c r="DO49" i="17"/>
  <c r="DO50" i="17"/>
  <c r="DO51" i="17"/>
  <c r="DO52" i="17"/>
  <c r="DO53" i="17"/>
  <c r="DO54" i="17"/>
  <c r="DO55" i="17"/>
  <c r="DO56" i="17"/>
  <c r="DO57" i="17"/>
  <c r="DO58" i="17"/>
  <c r="DO59" i="17"/>
  <c r="DO60" i="17"/>
  <c r="DO61" i="17"/>
  <c r="DO62" i="17"/>
  <c r="DO63" i="17"/>
  <c r="DO64" i="17"/>
  <c r="DO65" i="17"/>
  <c r="DO66" i="17"/>
  <c r="DH6" i="17"/>
  <c r="DH7" i="17"/>
  <c r="DH8" i="17"/>
  <c r="DH9" i="17"/>
  <c r="DH10" i="17"/>
  <c r="DH11" i="17"/>
  <c r="DH12" i="17"/>
  <c r="DH13" i="17"/>
  <c r="DH14" i="17"/>
  <c r="DH15" i="17"/>
  <c r="DH16" i="17"/>
  <c r="DH17" i="17"/>
  <c r="DH18" i="17"/>
  <c r="DH19" i="17"/>
  <c r="DH20" i="17"/>
  <c r="DH21" i="17"/>
  <c r="DH22" i="17"/>
  <c r="DH23" i="17"/>
  <c r="DH24" i="17"/>
  <c r="DH25" i="17"/>
  <c r="DH26" i="17"/>
  <c r="DH27" i="17"/>
  <c r="DH28" i="17"/>
  <c r="DH29" i="17"/>
  <c r="DH30" i="17"/>
  <c r="DH31" i="17"/>
  <c r="DH32" i="17"/>
  <c r="DH33" i="17"/>
  <c r="DH34" i="17"/>
  <c r="DH35" i="17"/>
  <c r="DH36" i="17"/>
  <c r="DH37" i="17"/>
  <c r="DH38" i="17"/>
  <c r="DH39" i="17"/>
  <c r="DH40" i="17"/>
  <c r="DH41" i="17"/>
  <c r="DH42" i="17"/>
  <c r="DH43" i="17"/>
  <c r="DH44" i="17"/>
  <c r="DH45" i="17"/>
  <c r="DH46" i="17"/>
  <c r="DH47" i="17"/>
  <c r="DH48" i="17"/>
  <c r="DH49" i="17"/>
  <c r="DH50" i="17"/>
  <c r="DH51" i="17"/>
  <c r="DH52" i="17"/>
  <c r="DH53" i="17"/>
  <c r="DH54" i="17"/>
  <c r="DH55" i="17"/>
  <c r="DH56" i="17"/>
  <c r="DH57" i="17"/>
  <c r="DH58" i="17"/>
  <c r="DH59" i="17"/>
  <c r="DH60" i="17"/>
  <c r="DH61" i="17"/>
  <c r="DH62" i="17"/>
  <c r="DH63" i="17"/>
  <c r="DH64" i="17"/>
  <c r="DH65" i="17"/>
  <c r="DH66" i="17"/>
  <c r="DA6" i="17"/>
  <c r="DA7" i="17"/>
  <c r="DA8" i="17"/>
  <c r="DA9" i="17"/>
  <c r="DA10" i="17"/>
  <c r="DA11" i="17"/>
  <c r="DA12" i="17"/>
  <c r="DA13" i="17"/>
  <c r="DA14" i="17"/>
  <c r="DA15" i="17"/>
  <c r="DA16" i="17"/>
  <c r="DA17" i="17"/>
  <c r="DA18" i="17"/>
  <c r="DA19" i="17"/>
  <c r="DA20" i="17"/>
  <c r="DA21" i="17"/>
  <c r="DA22" i="17"/>
  <c r="DA23" i="17"/>
  <c r="DA24" i="17"/>
  <c r="DA25" i="17"/>
  <c r="DA26" i="17"/>
  <c r="DA27" i="17"/>
  <c r="DA28" i="17"/>
  <c r="DA29" i="17"/>
  <c r="DA30" i="17"/>
  <c r="DA31" i="17"/>
  <c r="DA32" i="17"/>
  <c r="DA33" i="17"/>
  <c r="DA34" i="17"/>
  <c r="DA35" i="17"/>
  <c r="DA36" i="17"/>
  <c r="DA37" i="17"/>
  <c r="DA38" i="17"/>
  <c r="DA39" i="17"/>
  <c r="DA40" i="17"/>
  <c r="DA41" i="17"/>
  <c r="DA42" i="17"/>
  <c r="DA43" i="17"/>
  <c r="DA44" i="17"/>
  <c r="DA45" i="17"/>
  <c r="DA46" i="17"/>
  <c r="DA47" i="17"/>
  <c r="DA48" i="17"/>
  <c r="DA49" i="17"/>
  <c r="DA50" i="17"/>
  <c r="DA51" i="17"/>
  <c r="DA52" i="17"/>
  <c r="DA53" i="17"/>
  <c r="DA54" i="17"/>
  <c r="DA55" i="17"/>
  <c r="DA56" i="17"/>
  <c r="DA57" i="17"/>
  <c r="DA58" i="17"/>
  <c r="DA59" i="17"/>
  <c r="DA60" i="17"/>
  <c r="DA61" i="17"/>
  <c r="DA62" i="17"/>
  <c r="DA63" i="17"/>
  <c r="DA64" i="17"/>
  <c r="DA65" i="17"/>
  <c r="DA66" i="17"/>
  <c r="CT6" i="17"/>
  <c r="CT7" i="17"/>
  <c r="CT8" i="17"/>
  <c r="CT9" i="17"/>
  <c r="CT10" i="17"/>
  <c r="CT11" i="17"/>
  <c r="CT12" i="17"/>
  <c r="CT13" i="17"/>
  <c r="CT14" i="17"/>
  <c r="CT15" i="17"/>
  <c r="CT16" i="17"/>
  <c r="CT17" i="17"/>
  <c r="CT18" i="17"/>
  <c r="CT19" i="17"/>
  <c r="CT20" i="17"/>
  <c r="CT21" i="17"/>
  <c r="CT22" i="17"/>
  <c r="CT23" i="17"/>
  <c r="CT24" i="17"/>
  <c r="CT25" i="17"/>
  <c r="CT26" i="17"/>
  <c r="CT27" i="17"/>
  <c r="CT28" i="17"/>
  <c r="CT29" i="17"/>
  <c r="CT30" i="17"/>
  <c r="CT31" i="17"/>
  <c r="CT32" i="17"/>
  <c r="CT33" i="17"/>
  <c r="CT34" i="17"/>
  <c r="CT35" i="17"/>
  <c r="CT36" i="17"/>
  <c r="CT37" i="17"/>
  <c r="CT38" i="17"/>
  <c r="CT39" i="17"/>
  <c r="CT40" i="17"/>
  <c r="CT41" i="17"/>
  <c r="CT42" i="17"/>
  <c r="CT43" i="17"/>
  <c r="CT44" i="17"/>
  <c r="CT45" i="17"/>
  <c r="CT46" i="17"/>
  <c r="CT47" i="17"/>
  <c r="CT48" i="17"/>
  <c r="CT49" i="17"/>
  <c r="CT50" i="17"/>
  <c r="CT51" i="17"/>
  <c r="CT52" i="17"/>
  <c r="CT53" i="17"/>
  <c r="CT54" i="17"/>
  <c r="CT55" i="17"/>
  <c r="CT56" i="17"/>
  <c r="CT57" i="17"/>
  <c r="CT58" i="17"/>
  <c r="CT59" i="17"/>
  <c r="CT60" i="17"/>
  <c r="CT61" i="17"/>
  <c r="CT62" i="17"/>
  <c r="CT63" i="17"/>
  <c r="CT64" i="17"/>
  <c r="CT65" i="17"/>
  <c r="CT66" i="17"/>
  <c r="CM6" i="17"/>
  <c r="CM7" i="17"/>
  <c r="CM8" i="17"/>
  <c r="CM9" i="17"/>
  <c r="CM10" i="17"/>
  <c r="CM11" i="17"/>
  <c r="CM12" i="17"/>
  <c r="CM13" i="17"/>
  <c r="CM14" i="17"/>
  <c r="CM15" i="17"/>
  <c r="CM16" i="17"/>
  <c r="CM17" i="17"/>
  <c r="CM18" i="17"/>
  <c r="CM19" i="17"/>
  <c r="CM20" i="17"/>
  <c r="CM21" i="17"/>
  <c r="CM22" i="17"/>
  <c r="CM23" i="17"/>
  <c r="CM24" i="17"/>
  <c r="CM25" i="17"/>
  <c r="CM26" i="17"/>
  <c r="CM27" i="17"/>
  <c r="CM28" i="17"/>
  <c r="CM29" i="17"/>
  <c r="CM30" i="17"/>
  <c r="CM31" i="17"/>
  <c r="CM32" i="17"/>
  <c r="CM33" i="17"/>
  <c r="CM34" i="17"/>
  <c r="CM35" i="17"/>
  <c r="CM36" i="17"/>
  <c r="CM37" i="17"/>
  <c r="CM38" i="17"/>
  <c r="CM39" i="17"/>
  <c r="CM40" i="17"/>
  <c r="CM41" i="17"/>
  <c r="CM42" i="17"/>
  <c r="CM43" i="17"/>
  <c r="CM44" i="17"/>
  <c r="CM45" i="17"/>
  <c r="CM46" i="17"/>
  <c r="CM47" i="17"/>
  <c r="CM48" i="17"/>
  <c r="CM49" i="17"/>
  <c r="CM50" i="17"/>
  <c r="CM51" i="17"/>
  <c r="CM52" i="17"/>
  <c r="CM53" i="17"/>
  <c r="CM54" i="17"/>
  <c r="CM55" i="17"/>
  <c r="CM56" i="17"/>
  <c r="CM57" i="17"/>
  <c r="CM58" i="17"/>
  <c r="CM59" i="17"/>
  <c r="CM60" i="17"/>
  <c r="CM61" i="17"/>
  <c r="CM62" i="17"/>
  <c r="CM63" i="17"/>
  <c r="CM64" i="17"/>
  <c r="CM65" i="17"/>
  <c r="CM66" i="17"/>
  <c r="CF6" i="17"/>
  <c r="CF7" i="17"/>
  <c r="CF8" i="17"/>
  <c r="CF9" i="17"/>
  <c r="CF10" i="17"/>
  <c r="CF11" i="17"/>
  <c r="CF12" i="17"/>
  <c r="CF13" i="17"/>
  <c r="CF14" i="17"/>
  <c r="CF15" i="17"/>
  <c r="CF16" i="17"/>
  <c r="CF17" i="17"/>
  <c r="CF18" i="17"/>
  <c r="CF19" i="17"/>
  <c r="CF20" i="17"/>
  <c r="CF21" i="17"/>
  <c r="CF22" i="17"/>
  <c r="CF23" i="17"/>
  <c r="CF24" i="17"/>
  <c r="CF25" i="17"/>
  <c r="CF26" i="17"/>
  <c r="CF27" i="17"/>
  <c r="CF28" i="17"/>
  <c r="CF29" i="17"/>
  <c r="CF30" i="17"/>
  <c r="CF31" i="17"/>
  <c r="CF32" i="17"/>
  <c r="CF33" i="17"/>
  <c r="CF34" i="17"/>
  <c r="CF35" i="17"/>
  <c r="CF36" i="17"/>
  <c r="CF37" i="17"/>
  <c r="CF38" i="17"/>
  <c r="CF39" i="17"/>
  <c r="CF40" i="17"/>
  <c r="CF41" i="17"/>
  <c r="CF42" i="17"/>
  <c r="CF43" i="17"/>
  <c r="CF44" i="17"/>
  <c r="CF45" i="17"/>
  <c r="CF46" i="17"/>
  <c r="CF47" i="17"/>
  <c r="CF48" i="17"/>
  <c r="CF49" i="17"/>
  <c r="CF50" i="17"/>
  <c r="CF51" i="17"/>
  <c r="CF52" i="17"/>
  <c r="CF53" i="17"/>
  <c r="CF54" i="17"/>
  <c r="CF55" i="17"/>
  <c r="CF56" i="17"/>
  <c r="CF57" i="17"/>
  <c r="CF58" i="17"/>
  <c r="CF59" i="17"/>
  <c r="CF60" i="17"/>
  <c r="CF61" i="17"/>
  <c r="CF62" i="17"/>
  <c r="CF63" i="17"/>
  <c r="CF64" i="17"/>
  <c r="CF65" i="17"/>
  <c r="CF66" i="17"/>
  <c r="BY6" i="17"/>
  <c r="BY7" i="17"/>
  <c r="BY8" i="17"/>
  <c r="BY9" i="17"/>
  <c r="BY10" i="17"/>
  <c r="BY11" i="17"/>
  <c r="BY12" i="17"/>
  <c r="BY13" i="17"/>
  <c r="BY14" i="17"/>
  <c r="BY15" i="17"/>
  <c r="BY16" i="17"/>
  <c r="BY17" i="17"/>
  <c r="BY18" i="17"/>
  <c r="BY19" i="17"/>
  <c r="BY20" i="17"/>
  <c r="BY21" i="17"/>
  <c r="BY22" i="17"/>
  <c r="BY23" i="17"/>
  <c r="BY24" i="17"/>
  <c r="BY25" i="17"/>
  <c r="BY26" i="17"/>
  <c r="BY27" i="17"/>
  <c r="BY28" i="17"/>
  <c r="BY29" i="17"/>
  <c r="BY30" i="17"/>
  <c r="BY31" i="17"/>
  <c r="BY32" i="17"/>
  <c r="BY33" i="17"/>
  <c r="BY34" i="17"/>
  <c r="BY35" i="17"/>
  <c r="BY36" i="17"/>
  <c r="BY37" i="17"/>
  <c r="BY38" i="17"/>
  <c r="BY39" i="17"/>
  <c r="BY40" i="17"/>
  <c r="BY41" i="17"/>
  <c r="BY42" i="17"/>
  <c r="BY43" i="17"/>
  <c r="BY44" i="17"/>
  <c r="BY45" i="17"/>
  <c r="BY46" i="17"/>
  <c r="BY47" i="17"/>
  <c r="BY48" i="17"/>
  <c r="BY49" i="17"/>
  <c r="BY50" i="17"/>
  <c r="BY51" i="17"/>
  <c r="BY52" i="17"/>
  <c r="BY53" i="17"/>
  <c r="BY54" i="17"/>
  <c r="BY55" i="17"/>
  <c r="BY56" i="17"/>
  <c r="BY57" i="17"/>
  <c r="BY58" i="17"/>
  <c r="BY59" i="17"/>
  <c r="BY60" i="17"/>
  <c r="BY61" i="17"/>
  <c r="BY62" i="17"/>
  <c r="BY63" i="17"/>
  <c r="BY64" i="17"/>
  <c r="BY65" i="17"/>
  <c r="BY66" i="17"/>
  <c r="BR6" i="17"/>
  <c r="BR7" i="17"/>
  <c r="BR8" i="17"/>
  <c r="BR9" i="17"/>
  <c r="BR10" i="17"/>
  <c r="BR11" i="17"/>
  <c r="BR12" i="17"/>
  <c r="BR13" i="17"/>
  <c r="BR14" i="17"/>
  <c r="BR15" i="17"/>
  <c r="BR16" i="17"/>
  <c r="BR17" i="17"/>
  <c r="BR18" i="17"/>
  <c r="BR19" i="17"/>
  <c r="BR20" i="17"/>
  <c r="BR21" i="17"/>
  <c r="BR22" i="17"/>
  <c r="BR23" i="17"/>
  <c r="BR24" i="17"/>
  <c r="BR25" i="17"/>
  <c r="BR26" i="17"/>
  <c r="BR27" i="17"/>
  <c r="BR28" i="17"/>
  <c r="BR29" i="17"/>
  <c r="BR30" i="17"/>
  <c r="BR31" i="17"/>
  <c r="BR32" i="17"/>
  <c r="BR33" i="17"/>
  <c r="BR34" i="17"/>
  <c r="BR35" i="17"/>
  <c r="BR36" i="17"/>
  <c r="BR37" i="17"/>
  <c r="BR38" i="17"/>
  <c r="BR39" i="17"/>
  <c r="BR40" i="17"/>
  <c r="BR41" i="17"/>
  <c r="BR42" i="17"/>
  <c r="BR43" i="17"/>
  <c r="BR44" i="17"/>
  <c r="BR45" i="17"/>
  <c r="BR46" i="17"/>
  <c r="BR47" i="17"/>
  <c r="BR48" i="17"/>
  <c r="BR49" i="17"/>
  <c r="BR50" i="17"/>
  <c r="BR51" i="17"/>
  <c r="BR52" i="17"/>
  <c r="BR53" i="17"/>
  <c r="BR54" i="17"/>
  <c r="BR55" i="17"/>
  <c r="BR56" i="17"/>
  <c r="BR57" i="17"/>
  <c r="BR58" i="17"/>
  <c r="BR59" i="17"/>
  <c r="BR60" i="17"/>
  <c r="BR61" i="17"/>
  <c r="BR62" i="17"/>
  <c r="BR63" i="17"/>
  <c r="BR64" i="17"/>
  <c r="BR65" i="17"/>
  <c r="BR66" i="17"/>
  <c r="BK6" i="17"/>
  <c r="BK7" i="17"/>
  <c r="BK8" i="17"/>
  <c r="BK9" i="17"/>
  <c r="BK10" i="17"/>
  <c r="BK11" i="17"/>
  <c r="BK12" i="17"/>
  <c r="BK13" i="17"/>
  <c r="BK14" i="17"/>
  <c r="BK15" i="17"/>
  <c r="BK16" i="17"/>
  <c r="BK17" i="17"/>
  <c r="BK18" i="17"/>
  <c r="BK19" i="17"/>
  <c r="BK20" i="17"/>
  <c r="BK21" i="17"/>
  <c r="BK22" i="17"/>
  <c r="BK23" i="17"/>
  <c r="BK24" i="17"/>
  <c r="BK25" i="17"/>
  <c r="BK26" i="17"/>
  <c r="BK27" i="17"/>
  <c r="BK28" i="17"/>
  <c r="BK29" i="17"/>
  <c r="BK30" i="17"/>
  <c r="BK31" i="17"/>
  <c r="BK32" i="17"/>
  <c r="BK33" i="17"/>
  <c r="BK34" i="17"/>
  <c r="BK35" i="17"/>
  <c r="BK36" i="17"/>
  <c r="BK37" i="17"/>
  <c r="BK38" i="17"/>
  <c r="BK39" i="17"/>
  <c r="BK40" i="17"/>
  <c r="BK41" i="17"/>
  <c r="BK42" i="17"/>
  <c r="BK43" i="17"/>
  <c r="BK44" i="17"/>
  <c r="BK45" i="17"/>
  <c r="BK46" i="17"/>
  <c r="BK47" i="17"/>
  <c r="BK48" i="17"/>
  <c r="BK49" i="17"/>
  <c r="BK50" i="17"/>
  <c r="BK51" i="17"/>
  <c r="BK52" i="17"/>
  <c r="BK53" i="17"/>
  <c r="BK54" i="17"/>
  <c r="BK55" i="17"/>
  <c r="BK56" i="17"/>
  <c r="BK57" i="17"/>
  <c r="BK58" i="17"/>
  <c r="BK59" i="17"/>
  <c r="BK60" i="17"/>
  <c r="BK61" i="17"/>
  <c r="BK62" i="17"/>
  <c r="BK63" i="17"/>
  <c r="BK64" i="17"/>
  <c r="BK65" i="17"/>
  <c r="BK66" i="17"/>
  <c r="BD6" i="17"/>
  <c r="BD7" i="17"/>
  <c r="BD8" i="17"/>
  <c r="BD9" i="17"/>
  <c r="BD10" i="17"/>
  <c r="BD11" i="17"/>
  <c r="BD12" i="17"/>
  <c r="BD13" i="17"/>
  <c r="BD14" i="17"/>
  <c r="BD15" i="17"/>
  <c r="BD16" i="17"/>
  <c r="BD17" i="17"/>
  <c r="BD18" i="17"/>
  <c r="BD19" i="17"/>
  <c r="BD20" i="17"/>
  <c r="BD21" i="17"/>
  <c r="BD22" i="17"/>
  <c r="BD23" i="17"/>
  <c r="BD24" i="17"/>
  <c r="BD25" i="17"/>
  <c r="BD26" i="17"/>
  <c r="BD27" i="17"/>
  <c r="BD28" i="17"/>
  <c r="BD29" i="17"/>
  <c r="BD30" i="17"/>
  <c r="BD31" i="17"/>
  <c r="BD32" i="17"/>
  <c r="BD33" i="17"/>
  <c r="BD34" i="17"/>
  <c r="BD35" i="17"/>
  <c r="BD36" i="17"/>
  <c r="BD37" i="17"/>
  <c r="BD38" i="17"/>
  <c r="BD39" i="17"/>
  <c r="BD40" i="17"/>
  <c r="BD41" i="17"/>
  <c r="BD42" i="17"/>
  <c r="BD43" i="17"/>
  <c r="BD44" i="17"/>
  <c r="BD45" i="17"/>
  <c r="BD46" i="17"/>
  <c r="BD47" i="17"/>
  <c r="BD48" i="17"/>
  <c r="BD49" i="17"/>
  <c r="BD50" i="17"/>
  <c r="BD51" i="17"/>
  <c r="BD52" i="17"/>
  <c r="BD53" i="17"/>
  <c r="BD54" i="17"/>
  <c r="BD55" i="17"/>
  <c r="BD56" i="17"/>
  <c r="BD57" i="17"/>
  <c r="BD58" i="17"/>
  <c r="BD59" i="17"/>
  <c r="BD60" i="17"/>
  <c r="BD61" i="17"/>
  <c r="BD62" i="17"/>
  <c r="BD63" i="17"/>
  <c r="BD64" i="17"/>
  <c r="BD65" i="17"/>
  <c r="BD66" i="17"/>
  <c r="AW6" i="17"/>
  <c r="AW7" i="17"/>
  <c r="AW8" i="17"/>
  <c r="AW9" i="17"/>
  <c r="AW10" i="17"/>
  <c r="AW11" i="17"/>
  <c r="AW12" i="17"/>
  <c r="AW13" i="17"/>
  <c r="AW14" i="17"/>
  <c r="AW15" i="17"/>
  <c r="AW16" i="17"/>
  <c r="AW17" i="17"/>
  <c r="AW18" i="17"/>
  <c r="AW19" i="17"/>
  <c r="AW20" i="17"/>
  <c r="AW21" i="17"/>
  <c r="AW22" i="17"/>
  <c r="AW23" i="17"/>
  <c r="AW24" i="17"/>
  <c r="AW25" i="17"/>
  <c r="AW26" i="17"/>
  <c r="AW27" i="17"/>
  <c r="AW28" i="17"/>
  <c r="AW29" i="17"/>
  <c r="AW30" i="17"/>
  <c r="AW31" i="17"/>
  <c r="AW32" i="17"/>
  <c r="AW33" i="17"/>
  <c r="AW34" i="17"/>
  <c r="AW35" i="17"/>
  <c r="AW36" i="17"/>
  <c r="AW37" i="17"/>
  <c r="AW38" i="17"/>
  <c r="AW39" i="17"/>
  <c r="AW40" i="17"/>
  <c r="AW41" i="17"/>
  <c r="AW42" i="17"/>
  <c r="AW43" i="17"/>
  <c r="AW44" i="17"/>
  <c r="AW45" i="17"/>
  <c r="AW46" i="17"/>
  <c r="AW47" i="17"/>
  <c r="AW48" i="17"/>
  <c r="AW49" i="17"/>
  <c r="AW50" i="17"/>
  <c r="AW51" i="17"/>
  <c r="AW52" i="17"/>
  <c r="AW53" i="17"/>
  <c r="AW54" i="17"/>
  <c r="AW55" i="17"/>
  <c r="AW56" i="17"/>
  <c r="AW57" i="17"/>
  <c r="AW58" i="17"/>
  <c r="AW59" i="17"/>
  <c r="AW60" i="17"/>
  <c r="AW61" i="17"/>
  <c r="AW62" i="17"/>
  <c r="AW63" i="17"/>
  <c r="AW64" i="17"/>
  <c r="AW65" i="17"/>
  <c r="AW66" i="17"/>
  <c r="AP6" i="17"/>
  <c r="AP7" i="17"/>
  <c r="AP8" i="17"/>
  <c r="AP9" i="17"/>
  <c r="AP10" i="17"/>
  <c r="AP11" i="17"/>
  <c r="AP12" i="17"/>
  <c r="AP13" i="17"/>
  <c r="AP14" i="17"/>
  <c r="AP15" i="17"/>
  <c r="AP16" i="17"/>
  <c r="AP17" i="17"/>
  <c r="AP18" i="17"/>
  <c r="AP19" i="17"/>
  <c r="AP20" i="17"/>
  <c r="AP21" i="17"/>
  <c r="AP22" i="17"/>
  <c r="AP23" i="17"/>
  <c r="AP24" i="17"/>
  <c r="AP25" i="17"/>
  <c r="AP26" i="17"/>
  <c r="AP27" i="17"/>
  <c r="AP28" i="17"/>
  <c r="AP29" i="17"/>
  <c r="AP30" i="17"/>
  <c r="AP31" i="17"/>
  <c r="AP32" i="17"/>
  <c r="AP33" i="17"/>
  <c r="AP34" i="17"/>
  <c r="AP35" i="17"/>
  <c r="AP36" i="17"/>
  <c r="AP37" i="17"/>
  <c r="AP38" i="17"/>
  <c r="AP39" i="17"/>
  <c r="AP40" i="17"/>
  <c r="AP41" i="17"/>
  <c r="AP42" i="17"/>
  <c r="AP43" i="17"/>
  <c r="AP44" i="17"/>
  <c r="AP45" i="17"/>
  <c r="AP46" i="17"/>
  <c r="AP47" i="17"/>
  <c r="AP48" i="17"/>
  <c r="AP49" i="17"/>
  <c r="AP50" i="17"/>
  <c r="AP51" i="17"/>
  <c r="AP52" i="17"/>
  <c r="AP53" i="17"/>
  <c r="AP54" i="17"/>
  <c r="AP55" i="17"/>
  <c r="AP56" i="17"/>
  <c r="AP57" i="17"/>
  <c r="AP58" i="17"/>
  <c r="AP59" i="17"/>
  <c r="AP60" i="17"/>
  <c r="AP61" i="17"/>
  <c r="AP62" i="17"/>
  <c r="AP63" i="17"/>
  <c r="AP64" i="17"/>
  <c r="AP65" i="17"/>
  <c r="AP66" i="17"/>
  <c r="AI6" i="17"/>
  <c r="AI7" i="17"/>
  <c r="AI8" i="17"/>
  <c r="AI9" i="17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4" i="17"/>
  <c r="AI45" i="17"/>
  <c r="AI46" i="17"/>
  <c r="AI47" i="17"/>
  <c r="AI48" i="17"/>
  <c r="AI49" i="17"/>
  <c r="AI50" i="17"/>
  <c r="AI51" i="17"/>
  <c r="AI52" i="17"/>
  <c r="AI53" i="17"/>
  <c r="AI54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B6" i="17"/>
  <c r="AB7" i="17"/>
  <c r="AB8" i="17"/>
  <c r="AB9" i="17"/>
  <c r="AB10" i="17"/>
  <c r="AB11" i="17"/>
  <c r="AB12" i="17"/>
  <c r="AB13" i="17"/>
  <c r="AB14" i="17"/>
  <c r="AB15" i="17"/>
  <c r="AB16" i="17"/>
  <c r="AB17" i="17"/>
  <c r="AB18" i="17"/>
  <c r="AB19" i="17"/>
  <c r="AB20" i="17"/>
  <c r="AB21" i="17"/>
  <c r="AB22" i="17"/>
  <c r="AB23" i="17"/>
  <c r="AB24" i="17"/>
  <c r="AB25" i="17"/>
  <c r="AB26" i="17"/>
  <c r="AB27" i="17"/>
  <c r="AB28" i="17"/>
  <c r="AB29" i="17"/>
  <c r="AB30" i="17"/>
  <c r="AB31" i="17"/>
  <c r="AB32" i="17"/>
  <c r="AB33" i="17"/>
  <c r="AB34" i="17"/>
  <c r="AB35" i="17"/>
  <c r="AB36" i="17"/>
  <c r="AB37" i="17"/>
  <c r="AB38" i="17"/>
  <c r="AB39" i="17"/>
  <c r="AB40" i="17"/>
  <c r="AB41" i="17"/>
  <c r="AB42" i="17"/>
  <c r="AB43" i="17"/>
  <c r="AB44" i="17"/>
  <c r="AB45" i="17"/>
  <c r="AB46" i="17"/>
  <c r="AB47" i="17"/>
  <c r="AB48" i="17"/>
  <c r="AB49" i="17"/>
  <c r="AB50" i="17"/>
  <c r="AB51" i="17"/>
  <c r="AB52" i="17"/>
  <c r="AB53" i="17"/>
  <c r="AB54" i="17"/>
  <c r="AB55" i="17"/>
  <c r="AB56" i="17"/>
  <c r="AB57" i="17"/>
  <c r="AB58" i="17"/>
  <c r="AB59" i="17"/>
  <c r="AB60" i="17"/>
  <c r="AB61" i="17"/>
  <c r="AB62" i="17"/>
  <c r="AB63" i="17"/>
  <c r="AB64" i="17"/>
  <c r="AB65" i="17"/>
  <c r="AB66" i="17"/>
  <c r="U6" i="17"/>
  <c r="U7" i="17"/>
  <c r="U8" i="17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U31" i="17"/>
  <c r="U32" i="17"/>
  <c r="U33" i="17"/>
  <c r="U34" i="17"/>
  <c r="U35" i="17"/>
  <c r="U36" i="17"/>
  <c r="U37" i="17"/>
  <c r="U38" i="17"/>
  <c r="U39" i="17"/>
  <c r="U40" i="17"/>
  <c r="U41" i="17"/>
  <c r="U42" i="17"/>
  <c r="U43" i="17"/>
  <c r="U44" i="17"/>
  <c r="U45" i="17"/>
  <c r="U46" i="17"/>
  <c r="U47" i="17"/>
  <c r="U48" i="17"/>
  <c r="U49" i="17"/>
  <c r="U50" i="17"/>
  <c r="U51" i="17"/>
  <c r="U52" i="17"/>
  <c r="U53" i="17"/>
  <c r="U54" i="17"/>
  <c r="U55" i="17"/>
  <c r="U56" i="17"/>
  <c r="U57" i="17"/>
  <c r="U58" i="17"/>
  <c r="U59" i="17"/>
  <c r="U60" i="17"/>
  <c r="U61" i="17"/>
  <c r="U62" i="17"/>
  <c r="U63" i="17"/>
  <c r="U64" i="17"/>
  <c r="U65" i="17"/>
  <c r="U66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EH6" i="17"/>
  <c r="EH7" i="17"/>
  <c r="EH8" i="17"/>
  <c r="EH9" i="17"/>
  <c r="EH10" i="17"/>
  <c r="EH11" i="17"/>
  <c r="EH12" i="17"/>
  <c r="EH13" i="17"/>
  <c r="EH14" i="17"/>
  <c r="EH15" i="17"/>
  <c r="EH16" i="17"/>
  <c r="EH17" i="17"/>
  <c r="EH18" i="17"/>
  <c r="EH19" i="17"/>
  <c r="EH20" i="17"/>
  <c r="EH21" i="17"/>
  <c r="EH22" i="17"/>
  <c r="EH23" i="17"/>
  <c r="EH24" i="17"/>
  <c r="EH25" i="17"/>
  <c r="EH26" i="17"/>
  <c r="EH27" i="17"/>
  <c r="EH28" i="17"/>
  <c r="EH29" i="17"/>
  <c r="EH30" i="17"/>
  <c r="EH31" i="17"/>
  <c r="EH32" i="17"/>
  <c r="EH33" i="17"/>
  <c r="EH34" i="17"/>
  <c r="EH35" i="17"/>
  <c r="EH36" i="17"/>
  <c r="EH37" i="17"/>
  <c r="EH38" i="17"/>
  <c r="EH39" i="17"/>
  <c r="EH40" i="17"/>
  <c r="EH41" i="17"/>
  <c r="EH42" i="17"/>
  <c r="EH43" i="17"/>
  <c r="EH44" i="17"/>
  <c r="EH45" i="17"/>
  <c r="EH46" i="17"/>
  <c r="EH47" i="17"/>
  <c r="EH48" i="17"/>
  <c r="EH49" i="17"/>
  <c r="EH50" i="17"/>
  <c r="EH51" i="17"/>
  <c r="EH52" i="17"/>
  <c r="EH53" i="17"/>
  <c r="EH54" i="17"/>
  <c r="EH55" i="17"/>
  <c r="EH56" i="17"/>
  <c r="EH57" i="17"/>
  <c r="EH58" i="17"/>
  <c r="EH59" i="17"/>
  <c r="EH60" i="17"/>
  <c r="EH61" i="17"/>
  <c r="EH62" i="17"/>
  <c r="EH63" i="17"/>
  <c r="EH64" i="17"/>
  <c r="EH65" i="17"/>
  <c r="EH66" i="17"/>
  <c r="EA6" i="17"/>
  <c r="EA7" i="17"/>
  <c r="EA8" i="17"/>
  <c r="EA9" i="17"/>
  <c r="EA10" i="17"/>
  <c r="EA11" i="17"/>
  <c r="EA12" i="17"/>
  <c r="EA13" i="17"/>
  <c r="EA14" i="17"/>
  <c r="EA15" i="17"/>
  <c r="EA16" i="17"/>
  <c r="EA17" i="17"/>
  <c r="EA18" i="17"/>
  <c r="EA19" i="17"/>
  <c r="EA20" i="17"/>
  <c r="EA21" i="17"/>
  <c r="EA22" i="17"/>
  <c r="EA23" i="17"/>
  <c r="EA24" i="17"/>
  <c r="EA25" i="17"/>
  <c r="EA26" i="17"/>
  <c r="EA27" i="17"/>
  <c r="EA28" i="17"/>
  <c r="EA29" i="17"/>
  <c r="EA30" i="17"/>
  <c r="EA31" i="17"/>
  <c r="EA32" i="17"/>
  <c r="EA33" i="17"/>
  <c r="EA34" i="17"/>
  <c r="EA35" i="17"/>
  <c r="EA36" i="17"/>
  <c r="EA37" i="17"/>
  <c r="EA38" i="17"/>
  <c r="EA39" i="17"/>
  <c r="EA40" i="17"/>
  <c r="EA41" i="17"/>
  <c r="EA42" i="17"/>
  <c r="EA43" i="17"/>
  <c r="EA44" i="17"/>
  <c r="EA45" i="17"/>
  <c r="EA46" i="17"/>
  <c r="EA47" i="17"/>
  <c r="EA48" i="17"/>
  <c r="EA49" i="17"/>
  <c r="EA50" i="17"/>
  <c r="EA51" i="17"/>
  <c r="EA52" i="17"/>
  <c r="EA53" i="17"/>
  <c r="EA54" i="17"/>
  <c r="EA55" i="17"/>
  <c r="EA56" i="17"/>
  <c r="EA57" i="17"/>
  <c r="EA58" i="17"/>
  <c r="EA59" i="17"/>
  <c r="EA60" i="17"/>
  <c r="EA61" i="17"/>
  <c r="EA62" i="17"/>
  <c r="EA63" i="17"/>
  <c r="EA64" i="17"/>
  <c r="EA65" i="17"/>
  <c r="EA66" i="17"/>
  <c r="DT6" i="17"/>
  <c r="DT7" i="17"/>
  <c r="DT8" i="17"/>
  <c r="DT9" i="17"/>
  <c r="DT10" i="17"/>
  <c r="DT11" i="17"/>
  <c r="DT12" i="17"/>
  <c r="DT13" i="17"/>
  <c r="DT14" i="17"/>
  <c r="DT15" i="17"/>
  <c r="DT16" i="17"/>
  <c r="DT17" i="17"/>
  <c r="DT18" i="17"/>
  <c r="DT19" i="17"/>
  <c r="DT20" i="17"/>
  <c r="DT21" i="17"/>
  <c r="DT22" i="17"/>
  <c r="DT23" i="17"/>
  <c r="DT24" i="17"/>
  <c r="DT25" i="17"/>
  <c r="DT26" i="17"/>
  <c r="DT27" i="17"/>
  <c r="DT28" i="17"/>
  <c r="DT29" i="17"/>
  <c r="DT30" i="17"/>
  <c r="DT31" i="17"/>
  <c r="DT32" i="17"/>
  <c r="DT33" i="17"/>
  <c r="DT34" i="17"/>
  <c r="DT35" i="17"/>
  <c r="DT36" i="17"/>
  <c r="DT37" i="17"/>
  <c r="DT38" i="17"/>
  <c r="DT39" i="17"/>
  <c r="DT40" i="17"/>
  <c r="DT41" i="17"/>
  <c r="DT42" i="17"/>
  <c r="DT43" i="17"/>
  <c r="DT44" i="17"/>
  <c r="DT45" i="17"/>
  <c r="DT46" i="17"/>
  <c r="DT47" i="17"/>
  <c r="DT48" i="17"/>
  <c r="DT49" i="17"/>
  <c r="DT50" i="17"/>
  <c r="DT51" i="17"/>
  <c r="DT52" i="17"/>
  <c r="DT53" i="17"/>
  <c r="DT54" i="17"/>
  <c r="DT55" i="17"/>
  <c r="DT56" i="17"/>
  <c r="DT57" i="17"/>
  <c r="DT58" i="17"/>
  <c r="DT59" i="17"/>
  <c r="DT60" i="17"/>
  <c r="DT61" i="17"/>
  <c r="DT62" i="17"/>
  <c r="DT63" i="17"/>
  <c r="DT64" i="17"/>
  <c r="DT65" i="17"/>
  <c r="DT66" i="17"/>
  <c r="DM6" i="17"/>
  <c r="DM7" i="17"/>
  <c r="DM8" i="17"/>
  <c r="DM9" i="17"/>
  <c r="DM10" i="17"/>
  <c r="DM11" i="17"/>
  <c r="DM12" i="17"/>
  <c r="DM13" i="17"/>
  <c r="DM14" i="17"/>
  <c r="DM15" i="17"/>
  <c r="DM16" i="17"/>
  <c r="DM17" i="17"/>
  <c r="DM18" i="17"/>
  <c r="DM19" i="17"/>
  <c r="DM20" i="17"/>
  <c r="DM21" i="17"/>
  <c r="DM22" i="17"/>
  <c r="DM23" i="17"/>
  <c r="DM24" i="17"/>
  <c r="DM25" i="17"/>
  <c r="DM26" i="17"/>
  <c r="DM27" i="17"/>
  <c r="DM28" i="17"/>
  <c r="DM29" i="17"/>
  <c r="DM30" i="17"/>
  <c r="DM31" i="17"/>
  <c r="DM32" i="17"/>
  <c r="DM33" i="17"/>
  <c r="DM34" i="17"/>
  <c r="DM35" i="17"/>
  <c r="DM36" i="17"/>
  <c r="DM37" i="17"/>
  <c r="DM38" i="17"/>
  <c r="DM39" i="17"/>
  <c r="DM40" i="17"/>
  <c r="DM41" i="17"/>
  <c r="DM42" i="17"/>
  <c r="DM43" i="17"/>
  <c r="DM44" i="17"/>
  <c r="DM45" i="17"/>
  <c r="DM46" i="17"/>
  <c r="DM47" i="17"/>
  <c r="DM48" i="17"/>
  <c r="DM49" i="17"/>
  <c r="DM50" i="17"/>
  <c r="DM51" i="17"/>
  <c r="DM52" i="17"/>
  <c r="DM53" i="17"/>
  <c r="DM54" i="17"/>
  <c r="DM55" i="17"/>
  <c r="DM56" i="17"/>
  <c r="DM57" i="17"/>
  <c r="DM58" i="17"/>
  <c r="DM59" i="17"/>
  <c r="DM60" i="17"/>
  <c r="DM61" i="17"/>
  <c r="DM62" i="17"/>
  <c r="DM63" i="17"/>
  <c r="DM64" i="17"/>
  <c r="DM65" i="17"/>
  <c r="DM66" i="17"/>
  <c r="DF6" i="17"/>
  <c r="DF7" i="17"/>
  <c r="DF8" i="17"/>
  <c r="DF9" i="17"/>
  <c r="DF10" i="17"/>
  <c r="DF11" i="17"/>
  <c r="DF12" i="17"/>
  <c r="DF13" i="17"/>
  <c r="DF14" i="17"/>
  <c r="DF15" i="17"/>
  <c r="DF16" i="17"/>
  <c r="DF17" i="17"/>
  <c r="DF18" i="17"/>
  <c r="DF19" i="17"/>
  <c r="DF20" i="17"/>
  <c r="DF21" i="17"/>
  <c r="DF22" i="17"/>
  <c r="DF23" i="17"/>
  <c r="DF24" i="17"/>
  <c r="DF25" i="17"/>
  <c r="DF26" i="17"/>
  <c r="DF27" i="17"/>
  <c r="DF28" i="17"/>
  <c r="DF29" i="17"/>
  <c r="DF30" i="17"/>
  <c r="DF31" i="17"/>
  <c r="DF32" i="17"/>
  <c r="DF33" i="17"/>
  <c r="DF34" i="17"/>
  <c r="DF35" i="17"/>
  <c r="DF36" i="17"/>
  <c r="DF37" i="17"/>
  <c r="DF38" i="17"/>
  <c r="DF39" i="17"/>
  <c r="DF40" i="17"/>
  <c r="DF41" i="17"/>
  <c r="DF42" i="17"/>
  <c r="DF43" i="17"/>
  <c r="DF44" i="17"/>
  <c r="DF45" i="17"/>
  <c r="DF46" i="17"/>
  <c r="DF47" i="17"/>
  <c r="DF48" i="17"/>
  <c r="DF49" i="17"/>
  <c r="DF50" i="17"/>
  <c r="DF51" i="17"/>
  <c r="DF52" i="17"/>
  <c r="DF53" i="17"/>
  <c r="DF54" i="17"/>
  <c r="DF55" i="17"/>
  <c r="DF56" i="17"/>
  <c r="DF57" i="17"/>
  <c r="DF58" i="17"/>
  <c r="DF59" i="17"/>
  <c r="DF60" i="17"/>
  <c r="DF61" i="17"/>
  <c r="DF62" i="17"/>
  <c r="DF63" i="17"/>
  <c r="DF64" i="17"/>
  <c r="DF65" i="17"/>
  <c r="DF66" i="17"/>
  <c r="CY6" i="17"/>
  <c r="CY7" i="17"/>
  <c r="CY8" i="17"/>
  <c r="CY9" i="17"/>
  <c r="CY10" i="17"/>
  <c r="CY11" i="17"/>
  <c r="CY12" i="17"/>
  <c r="CY13" i="17"/>
  <c r="CY14" i="17"/>
  <c r="CY15" i="17"/>
  <c r="CY16" i="17"/>
  <c r="CY17" i="17"/>
  <c r="CY18" i="17"/>
  <c r="CY19" i="17"/>
  <c r="CY20" i="17"/>
  <c r="CY21" i="17"/>
  <c r="CY22" i="17"/>
  <c r="CY23" i="17"/>
  <c r="CY24" i="17"/>
  <c r="CY25" i="17"/>
  <c r="CY26" i="17"/>
  <c r="CY27" i="17"/>
  <c r="CY28" i="17"/>
  <c r="CY29" i="17"/>
  <c r="CY30" i="17"/>
  <c r="CY31" i="17"/>
  <c r="CY32" i="17"/>
  <c r="CY33" i="17"/>
  <c r="CY34" i="17"/>
  <c r="CY35" i="17"/>
  <c r="CY36" i="17"/>
  <c r="CY37" i="17"/>
  <c r="CY38" i="17"/>
  <c r="CY39" i="17"/>
  <c r="CY40" i="17"/>
  <c r="CY41" i="17"/>
  <c r="CY42" i="17"/>
  <c r="CY43" i="17"/>
  <c r="CY44" i="17"/>
  <c r="CY45" i="17"/>
  <c r="CY46" i="17"/>
  <c r="CY47" i="17"/>
  <c r="CY48" i="17"/>
  <c r="CY49" i="17"/>
  <c r="CY50" i="17"/>
  <c r="CY51" i="17"/>
  <c r="CY52" i="17"/>
  <c r="CY53" i="17"/>
  <c r="CY54" i="17"/>
  <c r="CY55" i="17"/>
  <c r="CY56" i="17"/>
  <c r="CY57" i="17"/>
  <c r="CY58" i="17"/>
  <c r="CY59" i="17"/>
  <c r="CY60" i="17"/>
  <c r="CY61" i="17"/>
  <c r="CY62" i="17"/>
  <c r="CY63" i="17"/>
  <c r="CY64" i="17"/>
  <c r="CY65" i="17"/>
  <c r="CY66" i="17"/>
  <c r="CR6" i="17"/>
  <c r="CR7" i="17"/>
  <c r="CR8" i="17"/>
  <c r="CR9" i="17"/>
  <c r="CR10" i="17"/>
  <c r="CR11" i="17"/>
  <c r="CR12" i="17"/>
  <c r="CR13" i="17"/>
  <c r="CR14" i="17"/>
  <c r="CR15" i="17"/>
  <c r="CR16" i="17"/>
  <c r="CR17" i="17"/>
  <c r="CR18" i="17"/>
  <c r="CR19" i="17"/>
  <c r="CR20" i="17"/>
  <c r="CR21" i="17"/>
  <c r="CR22" i="17"/>
  <c r="CR23" i="17"/>
  <c r="CR24" i="17"/>
  <c r="CR25" i="17"/>
  <c r="CR26" i="17"/>
  <c r="CR27" i="17"/>
  <c r="CR28" i="17"/>
  <c r="CR29" i="17"/>
  <c r="CR30" i="17"/>
  <c r="CR31" i="17"/>
  <c r="CR32" i="17"/>
  <c r="CR33" i="17"/>
  <c r="CR34" i="17"/>
  <c r="CR35" i="17"/>
  <c r="CR36" i="17"/>
  <c r="CR37" i="17"/>
  <c r="CR38" i="17"/>
  <c r="CR39" i="17"/>
  <c r="CR40" i="17"/>
  <c r="CR41" i="17"/>
  <c r="CR42" i="17"/>
  <c r="CR43" i="17"/>
  <c r="CR44" i="17"/>
  <c r="CR45" i="17"/>
  <c r="CR46" i="17"/>
  <c r="CR47" i="17"/>
  <c r="CR48" i="17"/>
  <c r="CR49" i="17"/>
  <c r="CR50" i="17"/>
  <c r="CR51" i="17"/>
  <c r="CR52" i="17"/>
  <c r="CR53" i="17"/>
  <c r="CR54" i="17"/>
  <c r="CR55" i="17"/>
  <c r="CR56" i="17"/>
  <c r="CR57" i="17"/>
  <c r="CR58" i="17"/>
  <c r="CR59" i="17"/>
  <c r="CR60" i="17"/>
  <c r="CR61" i="17"/>
  <c r="CR62" i="17"/>
  <c r="CR63" i="17"/>
  <c r="CR64" i="17"/>
  <c r="CR65" i="17"/>
  <c r="CR66" i="17"/>
  <c r="CK6" i="17"/>
  <c r="CK7" i="17"/>
  <c r="CK8" i="17"/>
  <c r="CK9" i="17"/>
  <c r="CK10" i="17"/>
  <c r="CK11" i="17"/>
  <c r="CK12" i="17"/>
  <c r="CK13" i="17"/>
  <c r="CK14" i="17"/>
  <c r="CK15" i="17"/>
  <c r="CK16" i="17"/>
  <c r="CK17" i="17"/>
  <c r="CK18" i="17"/>
  <c r="CK19" i="17"/>
  <c r="CK20" i="17"/>
  <c r="CK21" i="17"/>
  <c r="CK22" i="17"/>
  <c r="CK23" i="17"/>
  <c r="CK24" i="17"/>
  <c r="CK25" i="17"/>
  <c r="CK26" i="17"/>
  <c r="CK27" i="17"/>
  <c r="CK28" i="17"/>
  <c r="CK29" i="17"/>
  <c r="CK30" i="17"/>
  <c r="CK31" i="17"/>
  <c r="CK32" i="17"/>
  <c r="CK33" i="17"/>
  <c r="CK34" i="17"/>
  <c r="CK35" i="17"/>
  <c r="CK36" i="17"/>
  <c r="CK37" i="17"/>
  <c r="CK38" i="17"/>
  <c r="CK39" i="17"/>
  <c r="CK40" i="17"/>
  <c r="CK41" i="17"/>
  <c r="CK42" i="17"/>
  <c r="CK43" i="17"/>
  <c r="CK44" i="17"/>
  <c r="CK45" i="17"/>
  <c r="CK46" i="17"/>
  <c r="CK47" i="17"/>
  <c r="CK48" i="17"/>
  <c r="CK49" i="17"/>
  <c r="CK50" i="17"/>
  <c r="CK51" i="17"/>
  <c r="CK52" i="17"/>
  <c r="CK53" i="17"/>
  <c r="CK54" i="17"/>
  <c r="CK55" i="17"/>
  <c r="CK56" i="17"/>
  <c r="CK57" i="17"/>
  <c r="CK58" i="17"/>
  <c r="CK59" i="17"/>
  <c r="CK60" i="17"/>
  <c r="CK61" i="17"/>
  <c r="CK62" i="17"/>
  <c r="CK63" i="17"/>
  <c r="CK64" i="17"/>
  <c r="CK65" i="17"/>
  <c r="CK66" i="17"/>
  <c r="CD6" i="17"/>
  <c r="CD7" i="17"/>
  <c r="CD8" i="17"/>
  <c r="CD9" i="17"/>
  <c r="CD10" i="17"/>
  <c r="CD11" i="17"/>
  <c r="CD12" i="17"/>
  <c r="CD13" i="17"/>
  <c r="CD14" i="17"/>
  <c r="CD15" i="17"/>
  <c r="CD16" i="17"/>
  <c r="CD17" i="17"/>
  <c r="CD18" i="17"/>
  <c r="CD19" i="17"/>
  <c r="CD20" i="17"/>
  <c r="CD21" i="17"/>
  <c r="CD22" i="17"/>
  <c r="CD23" i="17"/>
  <c r="CD24" i="17"/>
  <c r="CD25" i="17"/>
  <c r="CD26" i="17"/>
  <c r="CD27" i="17"/>
  <c r="CD28" i="17"/>
  <c r="CD29" i="17"/>
  <c r="CD30" i="17"/>
  <c r="CD31" i="17"/>
  <c r="CD32" i="17"/>
  <c r="CD33" i="17"/>
  <c r="CD34" i="17"/>
  <c r="CD35" i="17"/>
  <c r="CD36" i="17"/>
  <c r="CD37" i="17"/>
  <c r="CD38" i="17"/>
  <c r="CD39" i="17"/>
  <c r="CD40" i="17"/>
  <c r="CD41" i="17"/>
  <c r="CD42" i="17"/>
  <c r="CD43" i="17"/>
  <c r="CD44" i="17"/>
  <c r="CD45" i="17"/>
  <c r="CD46" i="17"/>
  <c r="CD47" i="17"/>
  <c r="CD48" i="17"/>
  <c r="CD49" i="17"/>
  <c r="CD50" i="17"/>
  <c r="CD51" i="17"/>
  <c r="CD52" i="17"/>
  <c r="CD53" i="17"/>
  <c r="CD54" i="17"/>
  <c r="CD55" i="17"/>
  <c r="CD56" i="17"/>
  <c r="CD57" i="17"/>
  <c r="CD58" i="17"/>
  <c r="CD59" i="17"/>
  <c r="CD60" i="17"/>
  <c r="CD61" i="17"/>
  <c r="CD62" i="17"/>
  <c r="CD63" i="17"/>
  <c r="CD64" i="17"/>
  <c r="CD65" i="17"/>
  <c r="CD66" i="17"/>
  <c r="BW6" i="17"/>
  <c r="BW7" i="17"/>
  <c r="BW8" i="17"/>
  <c r="BW9" i="17"/>
  <c r="BW10" i="17"/>
  <c r="BW11" i="17"/>
  <c r="BW12" i="17"/>
  <c r="BW13" i="17"/>
  <c r="BW14" i="17"/>
  <c r="BW15" i="17"/>
  <c r="BW16" i="17"/>
  <c r="BW17" i="17"/>
  <c r="BW18" i="17"/>
  <c r="BW19" i="17"/>
  <c r="BW20" i="17"/>
  <c r="BW21" i="17"/>
  <c r="BW22" i="17"/>
  <c r="BW23" i="17"/>
  <c r="BW24" i="17"/>
  <c r="BW25" i="17"/>
  <c r="BW26" i="17"/>
  <c r="BW27" i="17"/>
  <c r="BW28" i="17"/>
  <c r="BW29" i="17"/>
  <c r="BW30" i="17"/>
  <c r="BW31" i="17"/>
  <c r="BW32" i="17"/>
  <c r="BW33" i="17"/>
  <c r="BW34" i="17"/>
  <c r="BW35" i="17"/>
  <c r="BW36" i="17"/>
  <c r="BW37" i="17"/>
  <c r="BW38" i="17"/>
  <c r="BW39" i="17"/>
  <c r="BW40" i="17"/>
  <c r="BW41" i="17"/>
  <c r="BW42" i="17"/>
  <c r="BW43" i="17"/>
  <c r="BW44" i="17"/>
  <c r="BW45" i="17"/>
  <c r="BW46" i="17"/>
  <c r="BW47" i="17"/>
  <c r="BW48" i="17"/>
  <c r="BW49" i="17"/>
  <c r="BW50" i="17"/>
  <c r="BW51" i="17"/>
  <c r="BW52" i="17"/>
  <c r="BW53" i="17"/>
  <c r="BW54" i="17"/>
  <c r="BW55" i="17"/>
  <c r="BW56" i="17"/>
  <c r="BW57" i="17"/>
  <c r="BW58" i="17"/>
  <c r="BW59" i="17"/>
  <c r="BW60" i="17"/>
  <c r="BW61" i="17"/>
  <c r="BW62" i="17"/>
  <c r="BW63" i="17"/>
  <c r="BW64" i="17"/>
  <c r="BW65" i="17"/>
  <c r="BW66" i="17"/>
  <c r="BP6" i="17"/>
  <c r="BP7" i="17"/>
  <c r="BP8" i="17"/>
  <c r="BP9" i="17"/>
  <c r="BP10" i="17"/>
  <c r="BP11" i="17"/>
  <c r="BP12" i="17"/>
  <c r="BP13" i="17"/>
  <c r="BP14" i="17"/>
  <c r="BP15" i="17"/>
  <c r="BP16" i="17"/>
  <c r="BP17" i="17"/>
  <c r="BP18" i="17"/>
  <c r="BP19" i="17"/>
  <c r="BP20" i="17"/>
  <c r="BP21" i="17"/>
  <c r="BP22" i="17"/>
  <c r="BP23" i="17"/>
  <c r="BP24" i="17"/>
  <c r="BP25" i="17"/>
  <c r="BP26" i="17"/>
  <c r="BP27" i="17"/>
  <c r="BP28" i="17"/>
  <c r="BP29" i="17"/>
  <c r="BP30" i="17"/>
  <c r="BP31" i="17"/>
  <c r="BP32" i="17"/>
  <c r="BP33" i="17"/>
  <c r="BP34" i="17"/>
  <c r="BP35" i="17"/>
  <c r="BP36" i="17"/>
  <c r="BP37" i="17"/>
  <c r="BP38" i="17"/>
  <c r="BP39" i="17"/>
  <c r="BP40" i="17"/>
  <c r="BP41" i="17"/>
  <c r="BP42" i="17"/>
  <c r="BP43" i="17"/>
  <c r="BP44" i="17"/>
  <c r="BP45" i="17"/>
  <c r="BP46" i="17"/>
  <c r="BP47" i="17"/>
  <c r="BP48" i="17"/>
  <c r="BP49" i="17"/>
  <c r="BP50" i="17"/>
  <c r="BP51" i="17"/>
  <c r="BP52" i="17"/>
  <c r="BP53" i="17"/>
  <c r="BP54" i="17"/>
  <c r="BP55" i="17"/>
  <c r="BP56" i="17"/>
  <c r="BP57" i="17"/>
  <c r="BP58" i="17"/>
  <c r="BP59" i="17"/>
  <c r="BP60" i="17"/>
  <c r="BP61" i="17"/>
  <c r="BP62" i="17"/>
  <c r="BP63" i="17"/>
  <c r="BP64" i="17"/>
  <c r="BP65" i="17"/>
  <c r="BP66" i="17"/>
  <c r="BI6" i="17"/>
  <c r="BI7" i="17"/>
  <c r="BI8" i="17"/>
  <c r="BI9" i="17"/>
  <c r="BI10" i="17"/>
  <c r="BI11" i="17"/>
  <c r="BI12" i="17"/>
  <c r="BI13" i="17"/>
  <c r="BI14" i="17"/>
  <c r="BI15" i="17"/>
  <c r="BI16" i="17"/>
  <c r="BI17" i="17"/>
  <c r="BI18" i="17"/>
  <c r="BI19" i="17"/>
  <c r="BI20" i="17"/>
  <c r="BI21" i="17"/>
  <c r="BI22" i="17"/>
  <c r="BI23" i="17"/>
  <c r="BI24" i="17"/>
  <c r="BI25" i="17"/>
  <c r="BI26" i="17"/>
  <c r="BI27" i="17"/>
  <c r="BI28" i="17"/>
  <c r="BI29" i="17"/>
  <c r="BI30" i="17"/>
  <c r="BI31" i="17"/>
  <c r="BI32" i="17"/>
  <c r="BI33" i="17"/>
  <c r="BI34" i="17"/>
  <c r="BI35" i="17"/>
  <c r="BI36" i="17"/>
  <c r="BI37" i="17"/>
  <c r="BI38" i="17"/>
  <c r="BI39" i="17"/>
  <c r="BI40" i="17"/>
  <c r="BI41" i="17"/>
  <c r="BI42" i="17"/>
  <c r="BI43" i="17"/>
  <c r="BI44" i="17"/>
  <c r="BI45" i="17"/>
  <c r="BI46" i="17"/>
  <c r="BI47" i="17"/>
  <c r="BI48" i="17"/>
  <c r="BI49" i="17"/>
  <c r="BI50" i="17"/>
  <c r="BI51" i="17"/>
  <c r="BI52" i="17"/>
  <c r="BI53" i="17"/>
  <c r="BI54" i="17"/>
  <c r="BI55" i="17"/>
  <c r="BI56" i="17"/>
  <c r="BI57" i="17"/>
  <c r="BI58" i="17"/>
  <c r="BI59" i="17"/>
  <c r="BI60" i="17"/>
  <c r="BI61" i="17"/>
  <c r="BI62" i="17"/>
  <c r="BI63" i="17"/>
  <c r="BI64" i="17"/>
  <c r="BI65" i="17"/>
  <c r="BI66" i="17"/>
  <c r="BB6" i="17"/>
  <c r="BB7" i="17"/>
  <c r="BB8" i="17"/>
  <c r="BB9" i="17"/>
  <c r="BB10" i="17"/>
  <c r="BB11" i="17"/>
  <c r="BB12" i="17"/>
  <c r="BB13" i="17"/>
  <c r="BB14" i="17"/>
  <c r="BB15" i="17"/>
  <c r="BB16" i="17"/>
  <c r="BB17" i="17"/>
  <c r="BB18" i="17"/>
  <c r="BB19" i="17"/>
  <c r="BB20" i="17"/>
  <c r="BB21" i="17"/>
  <c r="BB22" i="17"/>
  <c r="BB23" i="17"/>
  <c r="BB24" i="17"/>
  <c r="BB25" i="17"/>
  <c r="BB26" i="17"/>
  <c r="BB27" i="17"/>
  <c r="BB28" i="17"/>
  <c r="BB29" i="17"/>
  <c r="BB30" i="17"/>
  <c r="BB31" i="17"/>
  <c r="BB32" i="17"/>
  <c r="BB33" i="17"/>
  <c r="BB34" i="17"/>
  <c r="BB35" i="17"/>
  <c r="BB36" i="17"/>
  <c r="BB37" i="17"/>
  <c r="BB38" i="17"/>
  <c r="BB39" i="17"/>
  <c r="BB40" i="17"/>
  <c r="BB41" i="17"/>
  <c r="BB42" i="17"/>
  <c r="BB43" i="17"/>
  <c r="BB44" i="17"/>
  <c r="BB45" i="17"/>
  <c r="BB46" i="17"/>
  <c r="BB47" i="17"/>
  <c r="BB48" i="17"/>
  <c r="BB49" i="17"/>
  <c r="BB50" i="17"/>
  <c r="BB51" i="17"/>
  <c r="BB52" i="17"/>
  <c r="BB53" i="17"/>
  <c r="BB54" i="17"/>
  <c r="BB55" i="17"/>
  <c r="BB56" i="17"/>
  <c r="BB57" i="17"/>
  <c r="BB58" i="17"/>
  <c r="BB59" i="17"/>
  <c r="BB60" i="17"/>
  <c r="BB61" i="17"/>
  <c r="BB62" i="17"/>
  <c r="BB63" i="17"/>
  <c r="BB64" i="17"/>
  <c r="BB65" i="17"/>
  <c r="BB66" i="17"/>
  <c r="AU6" i="17"/>
  <c r="AU7" i="17"/>
  <c r="AU8" i="17"/>
  <c r="AU9" i="17"/>
  <c r="AU10" i="17"/>
  <c r="AU11" i="17"/>
  <c r="AU12" i="17"/>
  <c r="AU13" i="17"/>
  <c r="AU14" i="17"/>
  <c r="AU15" i="17"/>
  <c r="AU16" i="17"/>
  <c r="AU17" i="17"/>
  <c r="AU18" i="17"/>
  <c r="AU19" i="17"/>
  <c r="AU20" i="17"/>
  <c r="AU21" i="17"/>
  <c r="AU22" i="17"/>
  <c r="AU23" i="17"/>
  <c r="AU24" i="17"/>
  <c r="AU25" i="17"/>
  <c r="AU26" i="17"/>
  <c r="AU27" i="17"/>
  <c r="AU28" i="17"/>
  <c r="AU29" i="17"/>
  <c r="AU30" i="17"/>
  <c r="AU31" i="17"/>
  <c r="AU32" i="17"/>
  <c r="AU33" i="17"/>
  <c r="AU34" i="17"/>
  <c r="AU35" i="17"/>
  <c r="AU36" i="17"/>
  <c r="AU37" i="17"/>
  <c r="AU38" i="17"/>
  <c r="AU39" i="17"/>
  <c r="AU40" i="17"/>
  <c r="AU41" i="17"/>
  <c r="AU42" i="17"/>
  <c r="AU43" i="17"/>
  <c r="AU44" i="17"/>
  <c r="AU45" i="17"/>
  <c r="AU46" i="17"/>
  <c r="AU47" i="17"/>
  <c r="AU48" i="17"/>
  <c r="AU49" i="17"/>
  <c r="AU50" i="17"/>
  <c r="AU51" i="17"/>
  <c r="AU52" i="17"/>
  <c r="AU53" i="17"/>
  <c r="AU54" i="17"/>
  <c r="AU55" i="17"/>
  <c r="AU56" i="17"/>
  <c r="AU57" i="17"/>
  <c r="AU58" i="17"/>
  <c r="AU59" i="17"/>
  <c r="AU60" i="17"/>
  <c r="AU61" i="17"/>
  <c r="AU62" i="17"/>
  <c r="AU63" i="17"/>
  <c r="AU64" i="17"/>
  <c r="AU65" i="17"/>
  <c r="AU66" i="17"/>
  <c r="AN6" i="17"/>
  <c r="AN7" i="17"/>
  <c r="AN8" i="17"/>
  <c r="AN9" i="17"/>
  <c r="AN10" i="17"/>
  <c r="AN11" i="17"/>
  <c r="AN12" i="17"/>
  <c r="AN13" i="17"/>
  <c r="AN14" i="17"/>
  <c r="AN15" i="17"/>
  <c r="AN16" i="17"/>
  <c r="AN17" i="17"/>
  <c r="AN18" i="17"/>
  <c r="AN19" i="17"/>
  <c r="AN20" i="17"/>
  <c r="AN21" i="17"/>
  <c r="AN22" i="17"/>
  <c r="AN23" i="17"/>
  <c r="AN24" i="17"/>
  <c r="AN25" i="17"/>
  <c r="AN26" i="17"/>
  <c r="AN27" i="17"/>
  <c r="AN28" i="17"/>
  <c r="AN29" i="17"/>
  <c r="AN30" i="17"/>
  <c r="AN31" i="17"/>
  <c r="AN32" i="17"/>
  <c r="AN33" i="17"/>
  <c r="AN34" i="17"/>
  <c r="AN35" i="17"/>
  <c r="AN36" i="17"/>
  <c r="AN37" i="17"/>
  <c r="AN38" i="17"/>
  <c r="AN39" i="17"/>
  <c r="AN40" i="17"/>
  <c r="AN41" i="17"/>
  <c r="AN42" i="17"/>
  <c r="AN43" i="17"/>
  <c r="AN44" i="17"/>
  <c r="AN45" i="17"/>
  <c r="AN46" i="17"/>
  <c r="AN47" i="17"/>
  <c r="AN48" i="17"/>
  <c r="AN49" i="17"/>
  <c r="AN50" i="17"/>
  <c r="AN51" i="17"/>
  <c r="AN52" i="17"/>
  <c r="AN53" i="17"/>
  <c r="AN54" i="17"/>
  <c r="AN55" i="17"/>
  <c r="AN56" i="17"/>
  <c r="AN57" i="17"/>
  <c r="AN58" i="17"/>
  <c r="AN59" i="17"/>
  <c r="AN60" i="17"/>
  <c r="AN61" i="17"/>
  <c r="AN62" i="17"/>
  <c r="AN63" i="17"/>
  <c r="AN64" i="17"/>
  <c r="AN65" i="17"/>
  <c r="AN66" i="17"/>
  <c r="AG6" i="17"/>
  <c r="AG7" i="17"/>
  <c r="AG8" i="17"/>
  <c r="AG9" i="17"/>
  <c r="AG10" i="17"/>
  <c r="AG11" i="17"/>
  <c r="AG12" i="17"/>
  <c r="AG13" i="17"/>
  <c r="AG14" i="17"/>
  <c r="AG15" i="17"/>
  <c r="AG16" i="17"/>
  <c r="AG17" i="17"/>
  <c r="AG18" i="17"/>
  <c r="AG19" i="17"/>
  <c r="AG20" i="17"/>
  <c r="AG21" i="17"/>
  <c r="AG22" i="17"/>
  <c r="AG23" i="17"/>
  <c r="AG24" i="17"/>
  <c r="AG25" i="17"/>
  <c r="AG26" i="17"/>
  <c r="AG27" i="17"/>
  <c r="AG28" i="17"/>
  <c r="AG29" i="17"/>
  <c r="AG30" i="17"/>
  <c r="AG31" i="17"/>
  <c r="AG32" i="17"/>
  <c r="AG33" i="17"/>
  <c r="AG34" i="17"/>
  <c r="AG35" i="17"/>
  <c r="AG36" i="17"/>
  <c r="AG37" i="17"/>
  <c r="AG38" i="17"/>
  <c r="AG39" i="17"/>
  <c r="AG40" i="17"/>
  <c r="AG41" i="17"/>
  <c r="AG42" i="17"/>
  <c r="AG43" i="17"/>
  <c r="AG44" i="17"/>
  <c r="AG45" i="17"/>
  <c r="AG46" i="17"/>
  <c r="AG47" i="17"/>
  <c r="AG48" i="17"/>
  <c r="AG49" i="17"/>
  <c r="AG50" i="17"/>
  <c r="AG51" i="17"/>
  <c r="AG52" i="17"/>
  <c r="AG53" i="17"/>
  <c r="AG54" i="17"/>
  <c r="AG55" i="17"/>
  <c r="AG56" i="17"/>
  <c r="AG57" i="17"/>
  <c r="AG58" i="17"/>
  <c r="AG59" i="17"/>
  <c r="AG60" i="17"/>
  <c r="AG61" i="17"/>
  <c r="AG62" i="17"/>
  <c r="AG63" i="17"/>
  <c r="AG64" i="17"/>
  <c r="AG65" i="17"/>
  <c r="AG66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27" i="17"/>
  <c r="Z28" i="17"/>
  <c r="Z29" i="17"/>
  <c r="Z30" i="17"/>
  <c r="Z31" i="17"/>
  <c r="Z32" i="17"/>
  <c r="Z33" i="17"/>
  <c r="Z34" i="17"/>
  <c r="Z35" i="17"/>
  <c r="Z36" i="17"/>
  <c r="Z37" i="17"/>
  <c r="Z38" i="17"/>
  <c r="Z39" i="17"/>
  <c r="Z40" i="17"/>
  <c r="Z41" i="17"/>
  <c r="Z42" i="17"/>
  <c r="Z43" i="17"/>
  <c r="Z44" i="17"/>
  <c r="Z45" i="17"/>
  <c r="Z46" i="17"/>
  <c r="Z47" i="17"/>
  <c r="Z48" i="17"/>
  <c r="Z49" i="17"/>
  <c r="Z50" i="17"/>
  <c r="Z51" i="17"/>
  <c r="Z52" i="17"/>
  <c r="Z53" i="17"/>
  <c r="Z54" i="17"/>
  <c r="Z55" i="17"/>
  <c r="Z56" i="17"/>
  <c r="Z57" i="17"/>
  <c r="Z58" i="17"/>
  <c r="Z59" i="17"/>
  <c r="Z60" i="17"/>
  <c r="Z61" i="17"/>
  <c r="Z62" i="17"/>
  <c r="Z63" i="17"/>
  <c r="Z64" i="17"/>
  <c r="Z65" i="17"/>
  <c r="Z66" i="17"/>
  <c r="S6" i="17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L62" i="17"/>
  <c r="L63" i="17"/>
  <c r="L64" i="17"/>
  <c r="L65" i="17"/>
  <c r="L66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F6" i="17"/>
  <c r="EF7" i="17"/>
  <c r="EF8" i="17"/>
  <c r="EF9" i="17"/>
  <c r="EF10" i="17"/>
  <c r="EF11" i="17"/>
  <c r="EF12" i="17"/>
  <c r="EF13" i="17"/>
  <c r="EF14" i="17"/>
  <c r="EF15" i="17"/>
  <c r="EF16" i="17"/>
  <c r="EF17" i="17"/>
  <c r="EF18" i="17"/>
  <c r="EF19" i="17"/>
  <c r="EF20" i="17"/>
  <c r="EF21" i="17"/>
  <c r="EF22" i="17"/>
  <c r="EF23" i="17"/>
  <c r="EF24" i="17"/>
  <c r="EF25" i="17"/>
  <c r="EF26" i="17"/>
  <c r="EF27" i="17"/>
  <c r="EF28" i="17"/>
  <c r="EF29" i="17"/>
  <c r="EF30" i="17"/>
  <c r="EF31" i="17"/>
  <c r="EF32" i="17"/>
  <c r="EF33" i="17"/>
  <c r="EF34" i="17"/>
  <c r="EF35" i="17"/>
  <c r="EF36" i="17"/>
  <c r="EF37" i="17"/>
  <c r="EF38" i="17"/>
  <c r="EF39" i="17"/>
  <c r="EF40" i="17"/>
  <c r="EF41" i="17"/>
  <c r="EF42" i="17"/>
  <c r="EF43" i="17"/>
  <c r="EF44" i="17"/>
  <c r="EF45" i="17"/>
  <c r="EF46" i="17"/>
  <c r="EF47" i="17"/>
  <c r="EF48" i="17"/>
  <c r="EF49" i="17"/>
  <c r="EF50" i="17"/>
  <c r="EF51" i="17"/>
  <c r="EF52" i="17"/>
  <c r="EF53" i="17"/>
  <c r="EF54" i="17"/>
  <c r="EF55" i="17"/>
  <c r="EF56" i="17"/>
  <c r="EF57" i="17"/>
  <c r="EF58" i="17"/>
  <c r="EF59" i="17"/>
  <c r="EF60" i="17"/>
  <c r="EF61" i="17"/>
  <c r="EF62" i="17"/>
  <c r="EF63" i="17"/>
  <c r="EF64" i="17"/>
  <c r="EF65" i="17"/>
  <c r="EF66" i="17"/>
  <c r="DY6" i="17"/>
  <c r="DY7" i="17"/>
  <c r="DY8" i="17"/>
  <c r="DY9" i="17"/>
  <c r="DY10" i="17"/>
  <c r="DY11" i="17"/>
  <c r="DY12" i="17"/>
  <c r="DY13" i="17"/>
  <c r="DY14" i="17"/>
  <c r="DY15" i="17"/>
  <c r="DY16" i="17"/>
  <c r="DY17" i="17"/>
  <c r="DY18" i="17"/>
  <c r="DY19" i="17"/>
  <c r="DY20" i="17"/>
  <c r="DY21" i="17"/>
  <c r="DY22" i="17"/>
  <c r="DY23" i="17"/>
  <c r="DY24" i="17"/>
  <c r="DY25" i="17"/>
  <c r="DY26" i="17"/>
  <c r="DY27" i="17"/>
  <c r="DY28" i="17"/>
  <c r="DY29" i="17"/>
  <c r="DY30" i="17"/>
  <c r="DY31" i="17"/>
  <c r="DY32" i="17"/>
  <c r="DY33" i="17"/>
  <c r="DY34" i="17"/>
  <c r="DY35" i="17"/>
  <c r="DY36" i="17"/>
  <c r="DY37" i="17"/>
  <c r="DY38" i="17"/>
  <c r="DY39" i="17"/>
  <c r="DY40" i="17"/>
  <c r="DY41" i="17"/>
  <c r="DY42" i="17"/>
  <c r="DY43" i="17"/>
  <c r="DY44" i="17"/>
  <c r="DY45" i="17"/>
  <c r="DY46" i="17"/>
  <c r="DY47" i="17"/>
  <c r="DY48" i="17"/>
  <c r="DY49" i="17"/>
  <c r="DY50" i="17"/>
  <c r="DY51" i="17"/>
  <c r="DY52" i="17"/>
  <c r="DY53" i="17"/>
  <c r="DY54" i="17"/>
  <c r="DY55" i="17"/>
  <c r="DY56" i="17"/>
  <c r="DY57" i="17"/>
  <c r="DY58" i="17"/>
  <c r="DY59" i="17"/>
  <c r="DY60" i="17"/>
  <c r="DY61" i="17"/>
  <c r="DY62" i="17"/>
  <c r="DY63" i="17"/>
  <c r="DY64" i="17"/>
  <c r="DY65" i="17"/>
  <c r="DY66" i="17"/>
  <c r="DR6" i="17"/>
  <c r="DR7" i="17"/>
  <c r="DR8" i="17"/>
  <c r="DR9" i="17"/>
  <c r="DR10" i="17"/>
  <c r="DR11" i="17"/>
  <c r="DR12" i="17"/>
  <c r="DR13" i="17"/>
  <c r="DR14" i="17"/>
  <c r="DR15" i="17"/>
  <c r="DR16" i="17"/>
  <c r="DR17" i="17"/>
  <c r="DR18" i="17"/>
  <c r="DR19" i="17"/>
  <c r="DR20" i="17"/>
  <c r="DR21" i="17"/>
  <c r="DR22" i="17"/>
  <c r="DR23" i="17"/>
  <c r="DR24" i="17"/>
  <c r="DR25" i="17"/>
  <c r="DR26" i="17"/>
  <c r="DR27" i="17"/>
  <c r="DR28" i="17"/>
  <c r="DR29" i="17"/>
  <c r="DR30" i="17"/>
  <c r="DR31" i="17"/>
  <c r="DR32" i="17"/>
  <c r="DR33" i="17"/>
  <c r="DR34" i="17"/>
  <c r="DR35" i="17"/>
  <c r="DR36" i="17"/>
  <c r="DR37" i="17"/>
  <c r="DR38" i="17"/>
  <c r="DR39" i="17"/>
  <c r="DR40" i="17"/>
  <c r="DR41" i="17"/>
  <c r="DR42" i="17"/>
  <c r="DR43" i="17"/>
  <c r="DR44" i="17"/>
  <c r="DR45" i="17"/>
  <c r="DR46" i="17"/>
  <c r="DR47" i="17"/>
  <c r="DR48" i="17"/>
  <c r="DR49" i="17"/>
  <c r="DR50" i="17"/>
  <c r="DR51" i="17"/>
  <c r="DR52" i="17"/>
  <c r="DR53" i="17"/>
  <c r="DR54" i="17"/>
  <c r="DR55" i="17"/>
  <c r="DR56" i="17"/>
  <c r="DR57" i="17"/>
  <c r="DR58" i="17"/>
  <c r="DR59" i="17"/>
  <c r="DR60" i="17"/>
  <c r="DR61" i="17"/>
  <c r="DR62" i="17"/>
  <c r="DR63" i="17"/>
  <c r="DR64" i="17"/>
  <c r="DR65" i="17"/>
  <c r="DR66" i="17"/>
  <c r="DK6" i="17"/>
  <c r="DK7" i="17"/>
  <c r="DK8" i="17"/>
  <c r="DK9" i="17"/>
  <c r="DK10" i="17"/>
  <c r="DK11" i="17"/>
  <c r="DK12" i="17"/>
  <c r="DK13" i="17"/>
  <c r="DK14" i="17"/>
  <c r="DK15" i="17"/>
  <c r="DK16" i="17"/>
  <c r="DK17" i="17"/>
  <c r="DK18" i="17"/>
  <c r="DK19" i="17"/>
  <c r="DK20" i="17"/>
  <c r="DK21" i="17"/>
  <c r="DK22" i="17"/>
  <c r="DK23" i="17"/>
  <c r="DK24" i="17"/>
  <c r="DK25" i="17"/>
  <c r="DK26" i="17"/>
  <c r="DK27" i="17"/>
  <c r="DK28" i="17"/>
  <c r="DK29" i="17"/>
  <c r="DK30" i="17"/>
  <c r="DK31" i="17"/>
  <c r="DK32" i="17"/>
  <c r="DK33" i="17"/>
  <c r="DK34" i="17"/>
  <c r="DK35" i="17"/>
  <c r="DK36" i="17"/>
  <c r="DK37" i="17"/>
  <c r="DK38" i="17"/>
  <c r="DK39" i="17"/>
  <c r="DK40" i="17"/>
  <c r="DK41" i="17"/>
  <c r="DK42" i="17"/>
  <c r="DK43" i="17"/>
  <c r="DK44" i="17"/>
  <c r="DK45" i="17"/>
  <c r="DK46" i="17"/>
  <c r="DK47" i="17"/>
  <c r="DK48" i="17"/>
  <c r="DK49" i="17"/>
  <c r="DK50" i="17"/>
  <c r="DK51" i="17"/>
  <c r="DK52" i="17"/>
  <c r="DK53" i="17"/>
  <c r="DK54" i="17"/>
  <c r="DK55" i="17"/>
  <c r="DK56" i="17"/>
  <c r="DK57" i="17"/>
  <c r="DK58" i="17"/>
  <c r="DK59" i="17"/>
  <c r="DK60" i="17"/>
  <c r="DK61" i="17"/>
  <c r="DK62" i="17"/>
  <c r="DK63" i="17"/>
  <c r="DK64" i="17"/>
  <c r="DK65" i="17"/>
  <c r="DK66" i="17"/>
  <c r="DD6" i="17"/>
  <c r="DD7" i="17"/>
  <c r="DD8" i="17"/>
  <c r="DD9" i="17"/>
  <c r="DD10" i="17"/>
  <c r="DD11" i="17"/>
  <c r="DD12" i="17"/>
  <c r="DD13" i="17"/>
  <c r="DD14" i="17"/>
  <c r="DD15" i="17"/>
  <c r="DD16" i="17"/>
  <c r="DD17" i="17"/>
  <c r="DD18" i="17"/>
  <c r="DD19" i="17"/>
  <c r="DD20" i="17"/>
  <c r="DD21" i="17"/>
  <c r="DD22" i="17"/>
  <c r="DD23" i="17"/>
  <c r="DD24" i="17"/>
  <c r="DD25" i="17"/>
  <c r="DD26" i="17"/>
  <c r="DD27" i="17"/>
  <c r="DD28" i="17"/>
  <c r="DD29" i="17"/>
  <c r="DD30" i="17"/>
  <c r="DD31" i="17"/>
  <c r="DD32" i="17"/>
  <c r="DD33" i="17"/>
  <c r="DD34" i="17"/>
  <c r="DD35" i="17"/>
  <c r="DD36" i="17"/>
  <c r="DD37" i="17"/>
  <c r="DD38" i="17"/>
  <c r="DD39" i="17"/>
  <c r="DD40" i="17"/>
  <c r="DD41" i="17"/>
  <c r="DD42" i="17"/>
  <c r="DD43" i="17"/>
  <c r="DD44" i="17"/>
  <c r="DD45" i="17"/>
  <c r="DD46" i="17"/>
  <c r="DD47" i="17"/>
  <c r="DD48" i="17"/>
  <c r="DD49" i="17"/>
  <c r="DD50" i="17"/>
  <c r="DD51" i="17"/>
  <c r="DD52" i="17"/>
  <c r="DD53" i="17"/>
  <c r="DD54" i="17"/>
  <c r="DD55" i="17"/>
  <c r="DD56" i="17"/>
  <c r="DD57" i="17"/>
  <c r="DD58" i="17"/>
  <c r="DD59" i="17"/>
  <c r="DD60" i="17"/>
  <c r="DD61" i="17"/>
  <c r="DD62" i="17"/>
  <c r="DD63" i="17"/>
  <c r="DD64" i="17"/>
  <c r="DD65" i="17"/>
  <c r="DD66" i="17"/>
  <c r="CW6" i="17"/>
  <c r="CW7" i="17"/>
  <c r="CW8" i="17"/>
  <c r="CW9" i="17"/>
  <c r="CW10" i="17"/>
  <c r="CW11" i="17"/>
  <c r="CW12" i="17"/>
  <c r="CW13" i="17"/>
  <c r="CW14" i="17"/>
  <c r="CW15" i="17"/>
  <c r="CW16" i="17"/>
  <c r="CW17" i="17"/>
  <c r="CW18" i="17"/>
  <c r="CW19" i="17"/>
  <c r="CW20" i="17"/>
  <c r="CW21" i="17"/>
  <c r="CW22" i="17"/>
  <c r="CW23" i="17"/>
  <c r="CW24" i="17"/>
  <c r="CW25" i="17"/>
  <c r="CW26" i="17"/>
  <c r="CW27" i="17"/>
  <c r="CW28" i="17"/>
  <c r="CW29" i="17"/>
  <c r="CW30" i="17"/>
  <c r="CW31" i="17"/>
  <c r="CW32" i="17"/>
  <c r="CW33" i="17"/>
  <c r="CW34" i="17"/>
  <c r="CW35" i="17"/>
  <c r="CW36" i="17"/>
  <c r="CW37" i="17"/>
  <c r="CW38" i="17"/>
  <c r="CW39" i="17"/>
  <c r="CW40" i="17"/>
  <c r="CW41" i="17"/>
  <c r="CW42" i="17"/>
  <c r="CW43" i="17"/>
  <c r="CW44" i="17"/>
  <c r="CW45" i="17"/>
  <c r="CW46" i="17"/>
  <c r="CW47" i="17"/>
  <c r="CW48" i="17"/>
  <c r="CW49" i="17"/>
  <c r="CW50" i="17"/>
  <c r="CW51" i="17"/>
  <c r="CW52" i="17"/>
  <c r="CW53" i="17"/>
  <c r="CW54" i="17"/>
  <c r="CW55" i="17"/>
  <c r="CW56" i="17"/>
  <c r="CW57" i="17"/>
  <c r="CW58" i="17"/>
  <c r="CW59" i="17"/>
  <c r="CW60" i="17"/>
  <c r="CW61" i="17"/>
  <c r="CW62" i="17"/>
  <c r="CW63" i="17"/>
  <c r="CW64" i="17"/>
  <c r="CW65" i="17"/>
  <c r="CW66" i="17"/>
  <c r="CP6" i="17"/>
  <c r="CP7" i="17"/>
  <c r="CP8" i="17"/>
  <c r="CP9" i="17"/>
  <c r="CP10" i="17"/>
  <c r="CP11" i="17"/>
  <c r="CP12" i="17"/>
  <c r="CP13" i="17"/>
  <c r="CP14" i="17"/>
  <c r="CP15" i="17"/>
  <c r="CP16" i="17"/>
  <c r="CP17" i="17"/>
  <c r="CP18" i="17"/>
  <c r="CP19" i="17"/>
  <c r="CP20" i="17"/>
  <c r="CP21" i="17"/>
  <c r="CP22" i="17"/>
  <c r="CP23" i="17"/>
  <c r="CP24" i="17"/>
  <c r="CP25" i="17"/>
  <c r="CP26" i="17"/>
  <c r="CP27" i="17"/>
  <c r="CP28" i="17"/>
  <c r="CP29" i="17"/>
  <c r="CP30" i="17"/>
  <c r="CP31" i="17"/>
  <c r="CP32" i="17"/>
  <c r="CP33" i="17"/>
  <c r="CP34" i="17"/>
  <c r="CP35" i="17"/>
  <c r="CP36" i="17"/>
  <c r="CP37" i="17"/>
  <c r="CP38" i="17"/>
  <c r="CP39" i="17"/>
  <c r="CP40" i="17"/>
  <c r="CP41" i="17"/>
  <c r="CP42" i="17"/>
  <c r="CP43" i="17"/>
  <c r="CP44" i="17"/>
  <c r="CP45" i="17"/>
  <c r="CP46" i="17"/>
  <c r="CP47" i="17"/>
  <c r="CP48" i="17"/>
  <c r="CP49" i="17"/>
  <c r="CP50" i="17"/>
  <c r="CP51" i="17"/>
  <c r="CP52" i="17"/>
  <c r="CP53" i="17"/>
  <c r="CP54" i="17"/>
  <c r="CP55" i="17"/>
  <c r="CP56" i="17"/>
  <c r="CP57" i="17"/>
  <c r="CP58" i="17"/>
  <c r="CP59" i="17"/>
  <c r="CP60" i="17"/>
  <c r="CP61" i="17"/>
  <c r="CP62" i="17"/>
  <c r="CP63" i="17"/>
  <c r="CP64" i="17"/>
  <c r="CP65" i="17"/>
  <c r="CP66" i="17"/>
  <c r="CI6" i="17"/>
  <c r="CI7" i="17"/>
  <c r="CI8" i="17"/>
  <c r="CI9" i="17"/>
  <c r="CI10" i="17"/>
  <c r="CI11" i="17"/>
  <c r="CI12" i="17"/>
  <c r="CI13" i="17"/>
  <c r="CI14" i="17"/>
  <c r="CI15" i="17"/>
  <c r="CI16" i="17"/>
  <c r="CI17" i="17"/>
  <c r="CI18" i="17"/>
  <c r="CI19" i="17"/>
  <c r="CI20" i="17"/>
  <c r="CI21" i="17"/>
  <c r="CI22" i="17"/>
  <c r="CI23" i="17"/>
  <c r="CI24" i="17"/>
  <c r="CI25" i="17"/>
  <c r="CI26" i="17"/>
  <c r="CI27" i="17"/>
  <c r="CI28" i="17"/>
  <c r="CI29" i="17"/>
  <c r="CI30" i="17"/>
  <c r="CI31" i="17"/>
  <c r="CI32" i="17"/>
  <c r="CI33" i="17"/>
  <c r="CI34" i="17"/>
  <c r="CI35" i="17"/>
  <c r="CI36" i="17"/>
  <c r="CI37" i="17"/>
  <c r="CI38" i="17"/>
  <c r="CI39" i="17"/>
  <c r="CI40" i="17"/>
  <c r="CI41" i="17"/>
  <c r="CI42" i="17"/>
  <c r="CI43" i="17"/>
  <c r="CI44" i="17"/>
  <c r="CI45" i="17"/>
  <c r="CI46" i="17"/>
  <c r="CI47" i="17"/>
  <c r="CI48" i="17"/>
  <c r="CI49" i="17"/>
  <c r="CI50" i="17"/>
  <c r="CI51" i="17"/>
  <c r="CI52" i="17"/>
  <c r="CI53" i="17"/>
  <c r="CI54" i="17"/>
  <c r="CI55" i="17"/>
  <c r="CI56" i="17"/>
  <c r="CI57" i="17"/>
  <c r="CI58" i="17"/>
  <c r="CI59" i="17"/>
  <c r="CI60" i="17"/>
  <c r="CI61" i="17"/>
  <c r="CI62" i="17"/>
  <c r="CI63" i="17"/>
  <c r="CI64" i="17"/>
  <c r="CI65" i="17"/>
  <c r="CI66" i="17"/>
  <c r="CB6" i="17"/>
  <c r="CB7" i="17"/>
  <c r="CB8" i="17"/>
  <c r="CB9" i="17"/>
  <c r="CB10" i="17"/>
  <c r="CB11" i="17"/>
  <c r="CB12" i="17"/>
  <c r="CB13" i="17"/>
  <c r="CB14" i="17"/>
  <c r="CB15" i="17"/>
  <c r="CB16" i="17"/>
  <c r="CB17" i="17"/>
  <c r="CB18" i="17"/>
  <c r="CB19" i="17"/>
  <c r="CB20" i="17"/>
  <c r="CB21" i="17"/>
  <c r="CB22" i="17"/>
  <c r="CB23" i="17"/>
  <c r="CB24" i="17"/>
  <c r="CB25" i="17"/>
  <c r="CB26" i="17"/>
  <c r="CB27" i="17"/>
  <c r="CB28" i="17"/>
  <c r="CB29" i="17"/>
  <c r="CB30" i="17"/>
  <c r="CB31" i="17"/>
  <c r="CB32" i="17"/>
  <c r="CB33" i="17"/>
  <c r="CB34" i="17"/>
  <c r="CB35" i="17"/>
  <c r="CB36" i="17"/>
  <c r="CB37" i="17"/>
  <c r="CB38" i="17"/>
  <c r="CB39" i="17"/>
  <c r="CB40" i="17"/>
  <c r="CB41" i="17"/>
  <c r="CB42" i="17"/>
  <c r="CB43" i="17"/>
  <c r="CB44" i="17"/>
  <c r="CB45" i="17"/>
  <c r="CB46" i="17"/>
  <c r="CB47" i="17"/>
  <c r="CB48" i="17"/>
  <c r="CB49" i="17"/>
  <c r="CB50" i="17"/>
  <c r="CB51" i="17"/>
  <c r="CB52" i="17"/>
  <c r="CB53" i="17"/>
  <c r="CB54" i="17"/>
  <c r="CB55" i="17"/>
  <c r="CB56" i="17"/>
  <c r="CB57" i="17"/>
  <c r="CB58" i="17"/>
  <c r="CB59" i="17"/>
  <c r="CB60" i="17"/>
  <c r="CB61" i="17"/>
  <c r="CB62" i="17"/>
  <c r="CB63" i="17"/>
  <c r="CB64" i="17"/>
  <c r="CB65" i="17"/>
  <c r="CB66" i="17"/>
  <c r="BU6" i="17"/>
  <c r="BU7" i="17"/>
  <c r="BU8" i="17"/>
  <c r="BU9" i="17"/>
  <c r="BU10" i="17"/>
  <c r="BU11" i="17"/>
  <c r="BU12" i="17"/>
  <c r="BU13" i="17"/>
  <c r="BU14" i="17"/>
  <c r="BU15" i="17"/>
  <c r="BU16" i="17"/>
  <c r="BU17" i="17"/>
  <c r="BU18" i="17"/>
  <c r="BU19" i="17"/>
  <c r="BU20" i="17"/>
  <c r="BU21" i="17"/>
  <c r="BU22" i="17"/>
  <c r="BU23" i="17"/>
  <c r="BU24" i="17"/>
  <c r="BU25" i="17"/>
  <c r="BU26" i="17"/>
  <c r="BU27" i="17"/>
  <c r="BU28" i="17"/>
  <c r="BU29" i="17"/>
  <c r="BU30" i="17"/>
  <c r="BU31" i="17"/>
  <c r="BU32" i="17"/>
  <c r="BU33" i="17"/>
  <c r="BU34" i="17"/>
  <c r="BU35" i="17"/>
  <c r="BU36" i="17"/>
  <c r="BU37" i="17"/>
  <c r="BU38" i="17"/>
  <c r="BU39" i="17"/>
  <c r="BU40" i="17"/>
  <c r="BU41" i="17"/>
  <c r="BU42" i="17"/>
  <c r="BU43" i="17"/>
  <c r="BU44" i="17"/>
  <c r="BU45" i="17"/>
  <c r="BU46" i="17"/>
  <c r="BU47" i="17"/>
  <c r="BU48" i="17"/>
  <c r="BU49" i="17"/>
  <c r="BU50" i="17"/>
  <c r="BU51" i="17"/>
  <c r="BU52" i="17"/>
  <c r="BU53" i="17"/>
  <c r="BU54" i="17"/>
  <c r="BU55" i="17"/>
  <c r="BU56" i="17"/>
  <c r="BU57" i="17"/>
  <c r="BU58" i="17"/>
  <c r="BU59" i="17"/>
  <c r="BU60" i="17"/>
  <c r="BU61" i="17"/>
  <c r="BU62" i="17"/>
  <c r="BU63" i="17"/>
  <c r="BU64" i="17"/>
  <c r="BU65" i="17"/>
  <c r="BU66" i="17"/>
  <c r="BN6" i="17"/>
  <c r="BN7" i="17"/>
  <c r="BN8" i="17"/>
  <c r="BN9" i="17"/>
  <c r="BN10" i="17"/>
  <c r="BN11" i="17"/>
  <c r="BN12" i="17"/>
  <c r="BN13" i="17"/>
  <c r="BN14" i="17"/>
  <c r="BN15" i="17"/>
  <c r="BN16" i="17"/>
  <c r="BN17" i="17"/>
  <c r="BN18" i="17"/>
  <c r="BN19" i="17"/>
  <c r="BN20" i="17"/>
  <c r="BN21" i="17"/>
  <c r="BN22" i="17"/>
  <c r="BN23" i="17"/>
  <c r="BN24" i="17"/>
  <c r="BN25" i="17"/>
  <c r="BN26" i="17"/>
  <c r="BN27" i="17"/>
  <c r="BN28" i="17"/>
  <c r="BN29" i="17"/>
  <c r="BN30" i="17"/>
  <c r="BN31" i="17"/>
  <c r="BN32" i="17"/>
  <c r="BN33" i="17"/>
  <c r="BN34" i="17"/>
  <c r="BN35" i="17"/>
  <c r="BN36" i="17"/>
  <c r="BN37" i="17"/>
  <c r="BN38" i="17"/>
  <c r="BN39" i="17"/>
  <c r="BN40" i="17"/>
  <c r="BN41" i="17"/>
  <c r="BN42" i="17"/>
  <c r="BN43" i="17"/>
  <c r="BN44" i="17"/>
  <c r="BN45" i="17"/>
  <c r="BN46" i="17"/>
  <c r="BN47" i="17"/>
  <c r="BN48" i="17"/>
  <c r="BN49" i="17"/>
  <c r="BN50" i="17"/>
  <c r="BN51" i="17"/>
  <c r="BN52" i="17"/>
  <c r="BN53" i="17"/>
  <c r="BN54" i="17"/>
  <c r="BN55" i="17"/>
  <c r="BN56" i="17"/>
  <c r="BN57" i="17"/>
  <c r="BN58" i="17"/>
  <c r="BN59" i="17"/>
  <c r="BN60" i="17"/>
  <c r="BN61" i="17"/>
  <c r="BN62" i="17"/>
  <c r="BN63" i="17"/>
  <c r="BN64" i="17"/>
  <c r="BN65" i="17"/>
  <c r="BN66" i="17"/>
  <c r="BG6" i="17"/>
  <c r="BG7" i="17"/>
  <c r="BG8" i="17"/>
  <c r="BG9" i="17"/>
  <c r="BG10" i="17"/>
  <c r="BG11" i="17"/>
  <c r="BG12" i="17"/>
  <c r="BG13" i="17"/>
  <c r="BG14" i="17"/>
  <c r="BG15" i="17"/>
  <c r="BG16" i="17"/>
  <c r="BG17" i="17"/>
  <c r="BG18" i="17"/>
  <c r="BG19" i="17"/>
  <c r="BG20" i="17"/>
  <c r="BG21" i="17"/>
  <c r="BG22" i="17"/>
  <c r="BG23" i="17"/>
  <c r="BG24" i="17"/>
  <c r="BG25" i="17"/>
  <c r="BG26" i="17"/>
  <c r="BG27" i="17"/>
  <c r="BG28" i="17"/>
  <c r="BG29" i="17"/>
  <c r="BG30" i="17"/>
  <c r="BG31" i="17"/>
  <c r="BG32" i="17"/>
  <c r="BG33" i="17"/>
  <c r="BG34" i="17"/>
  <c r="BG35" i="17"/>
  <c r="BG36" i="17"/>
  <c r="BG37" i="17"/>
  <c r="BG38" i="17"/>
  <c r="BG39" i="17"/>
  <c r="BG40" i="17"/>
  <c r="BG41" i="17"/>
  <c r="BG42" i="17"/>
  <c r="BG43" i="17"/>
  <c r="BG44" i="17"/>
  <c r="BG45" i="17"/>
  <c r="BG46" i="17"/>
  <c r="BG47" i="17"/>
  <c r="BG48" i="17"/>
  <c r="BG49" i="17"/>
  <c r="BG50" i="17"/>
  <c r="BG51" i="17"/>
  <c r="BG52" i="17"/>
  <c r="BG53" i="17"/>
  <c r="BG54" i="17"/>
  <c r="BG55" i="17"/>
  <c r="BG56" i="17"/>
  <c r="BG57" i="17"/>
  <c r="BG58" i="17"/>
  <c r="BG59" i="17"/>
  <c r="BG60" i="17"/>
  <c r="BG61" i="17"/>
  <c r="BG62" i="17"/>
  <c r="BG63" i="17"/>
  <c r="BG64" i="17"/>
  <c r="BG65" i="17"/>
  <c r="BG66" i="17"/>
  <c r="AZ6" i="17"/>
  <c r="AZ7" i="17"/>
  <c r="AZ8" i="17"/>
  <c r="AZ9" i="17"/>
  <c r="AZ10" i="17"/>
  <c r="AZ11" i="17"/>
  <c r="AZ12" i="17"/>
  <c r="AZ13" i="17"/>
  <c r="AZ14" i="17"/>
  <c r="AZ15" i="17"/>
  <c r="AZ16" i="17"/>
  <c r="AZ17" i="17"/>
  <c r="AZ18" i="17"/>
  <c r="AZ19" i="17"/>
  <c r="AZ20" i="17"/>
  <c r="AZ21" i="17"/>
  <c r="AZ22" i="17"/>
  <c r="AZ23" i="17"/>
  <c r="AZ24" i="17"/>
  <c r="AZ25" i="17"/>
  <c r="AZ26" i="17"/>
  <c r="AZ27" i="17"/>
  <c r="AZ28" i="17"/>
  <c r="AZ29" i="17"/>
  <c r="AZ30" i="17"/>
  <c r="AZ31" i="17"/>
  <c r="AZ32" i="17"/>
  <c r="AZ33" i="17"/>
  <c r="AZ34" i="17"/>
  <c r="AZ35" i="17"/>
  <c r="AZ36" i="17"/>
  <c r="AZ37" i="17"/>
  <c r="AZ38" i="17"/>
  <c r="AZ39" i="17"/>
  <c r="AZ40" i="17"/>
  <c r="AZ41" i="17"/>
  <c r="AZ42" i="17"/>
  <c r="AZ43" i="17"/>
  <c r="AZ44" i="17"/>
  <c r="AZ45" i="17"/>
  <c r="AZ46" i="17"/>
  <c r="AZ47" i="17"/>
  <c r="AZ48" i="17"/>
  <c r="AZ49" i="17"/>
  <c r="AZ50" i="17"/>
  <c r="AZ51" i="17"/>
  <c r="AZ52" i="17"/>
  <c r="AZ53" i="17"/>
  <c r="AZ54" i="17"/>
  <c r="AZ55" i="17"/>
  <c r="AZ56" i="17"/>
  <c r="AZ57" i="17"/>
  <c r="AZ58" i="17"/>
  <c r="AZ59" i="17"/>
  <c r="AZ60" i="17"/>
  <c r="AZ61" i="17"/>
  <c r="AZ62" i="17"/>
  <c r="AZ63" i="17"/>
  <c r="AZ64" i="17"/>
  <c r="AZ65" i="17"/>
  <c r="AZ66" i="17"/>
  <c r="AS6" i="17"/>
  <c r="AS7" i="17"/>
  <c r="AS8" i="17"/>
  <c r="AS9" i="17"/>
  <c r="AS10" i="17"/>
  <c r="AS11" i="17"/>
  <c r="AS12" i="17"/>
  <c r="AS13" i="17"/>
  <c r="AS14" i="17"/>
  <c r="AS15" i="17"/>
  <c r="AS16" i="17"/>
  <c r="AS17" i="17"/>
  <c r="AS18" i="17"/>
  <c r="AS19" i="17"/>
  <c r="AS20" i="17"/>
  <c r="AS21" i="17"/>
  <c r="AS22" i="17"/>
  <c r="AS23" i="17"/>
  <c r="AS24" i="17"/>
  <c r="AS25" i="17"/>
  <c r="AS26" i="17"/>
  <c r="AS27" i="17"/>
  <c r="AS28" i="17"/>
  <c r="AS29" i="17"/>
  <c r="AS30" i="17"/>
  <c r="AS31" i="17"/>
  <c r="AS32" i="17"/>
  <c r="AS33" i="17"/>
  <c r="AS34" i="17"/>
  <c r="AS35" i="17"/>
  <c r="AS36" i="17"/>
  <c r="AS37" i="17"/>
  <c r="AS38" i="17"/>
  <c r="AS39" i="17"/>
  <c r="AS40" i="17"/>
  <c r="AS41" i="17"/>
  <c r="AS42" i="17"/>
  <c r="AS43" i="17"/>
  <c r="AS44" i="17"/>
  <c r="AS45" i="17"/>
  <c r="AS46" i="17"/>
  <c r="AS47" i="17"/>
  <c r="AS48" i="17"/>
  <c r="AS49" i="17"/>
  <c r="AS50" i="17"/>
  <c r="AS51" i="17"/>
  <c r="AS52" i="17"/>
  <c r="AS53" i="17"/>
  <c r="AS54" i="17"/>
  <c r="AS55" i="17"/>
  <c r="AS56" i="17"/>
  <c r="AS57" i="17"/>
  <c r="AS58" i="17"/>
  <c r="AS59" i="17"/>
  <c r="AS60" i="17"/>
  <c r="AS61" i="17"/>
  <c r="AS62" i="17"/>
  <c r="AS63" i="17"/>
  <c r="AS64" i="17"/>
  <c r="AS65" i="17"/>
  <c r="AS66" i="17"/>
  <c r="AL6" i="17"/>
  <c r="AL7" i="17"/>
  <c r="AL8" i="17"/>
  <c r="AL9" i="17"/>
  <c r="AL10" i="17"/>
  <c r="AL11" i="17"/>
  <c r="AL12" i="17"/>
  <c r="AL13" i="17"/>
  <c r="AL14" i="17"/>
  <c r="AL15" i="17"/>
  <c r="AL16" i="17"/>
  <c r="AL17" i="17"/>
  <c r="AL18" i="17"/>
  <c r="AL19" i="17"/>
  <c r="AL20" i="17"/>
  <c r="AL21" i="17"/>
  <c r="AL22" i="17"/>
  <c r="AL23" i="17"/>
  <c r="AL24" i="17"/>
  <c r="AL25" i="17"/>
  <c r="AL26" i="17"/>
  <c r="AL27" i="17"/>
  <c r="AL28" i="17"/>
  <c r="AL29" i="17"/>
  <c r="AL30" i="17"/>
  <c r="AL31" i="17"/>
  <c r="AL32" i="17"/>
  <c r="AL33" i="17"/>
  <c r="AL34" i="17"/>
  <c r="AL35" i="17"/>
  <c r="AL36" i="17"/>
  <c r="AL37" i="17"/>
  <c r="AL38" i="17"/>
  <c r="AL39" i="17"/>
  <c r="AL40" i="17"/>
  <c r="AL41" i="17"/>
  <c r="AL42" i="17"/>
  <c r="AL43" i="17"/>
  <c r="AL44" i="17"/>
  <c r="AL45" i="17"/>
  <c r="AL46" i="17"/>
  <c r="AL47" i="17"/>
  <c r="AL48" i="17"/>
  <c r="AL49" i="17"/>
  <c r="AL50" i="17"/>
  <c r="AL51" i="17"/>
  <c r="AL52" i="17"/>
  <c r="AL53" i="17"/>
  <c r="AL54" i="17"/>
  <c r="AL55" i="17"/>
  <c r="AL56" i="17"/>
  <c r="AL57" i="17"/>
  <c r="AL58" i="17"/>
  <c r="AL59" i="17"/>
  <c r="AL60" i="17"/>
  <c r="AL61" i="17"/>
  <c r="AL62" i="17"/>
  <c r="AL63" i="17"/>
  <c r="AL64" i="17"/>
  <c r="AL65" i="17"/>
  <c r="AL66" i="17"/>
  <c r="AE6" i="17"/>
  <c r="AE7" i="17"/>
  <c r="AE8" i="17"/>
  <c r="AE9" i="17"/>
  <c r="AE10" i="17"/>
  <c r="AE11" i="17"/>
  <c r="AE12" i="17"/>
  <c r="AE13" i="17"/>
  <c r="AE14" i="17"/>
  <c r="AE15" i="17"/>
  <c r="AE16" i="17"/>
  <c r="AE17" i="17"/>
  <c r="AE18" i="17"/>
  <c r="AE19" i="17"/>
  <c r="AE20" i="17"/>
  <c r="AE21" i="17"/>
  <c r="AE22" i="17"/>
  <c r="AE23" i="17"/>
  <c r="AE24" i="17"/>
  <c r="AE25" i="17"/>
  <c r="AE26" i="17"/>
  <c r="AE27" i="17"/>
  <c r="AE28" i="17"/>
  <c r="AE29" i="17"/>
  <c r="AE30" i="17"/>
  <c r="AE31" i="17"/>
  <c r="AE32" i="17"/>
  <c r="AE33" i="17"/>
  <c r="AE34" i="17"/>
  <c r="AE35" i="17"/>
  <c r="AE36" i="17"/>
  <c r="AE37" i="17"/>
  <c r="AE38" i="17"/>
  <c r="AE39" i="17"/>
  <c r="AE40" i="17"/>
  <c r="AE41" i="17"/>
  <c r="AE42" i="17"/>
  <c r="AE43" i="17"/>
  <c r="AE44" i="17"/>
  <c r="AE45" i="17"/>
  <c r="AE46" i="17"/>
  <c r="AE47" i="17"/>
  <c r="AE48" i="17"/>
  <c r="AE49" i="17"/>
  <c r="AE50" i="17"/>
  <c r="AE51" i="17"/>
  <c r="AE52" i="17"/>
  <c r="AE53" i="17"/>
  <c r="AE54" i="17"/>
  <c r="AE55" i="17"/>
  <c r="AE56" i="17"/>
  <c r="AE57" i="17"/>
  <c r="AE58" i="17"/>
  <c r="AE59" i="17"/>
  <c r="AE60" i="17"/>
  <c r="AE61" i="17"/>
  <c r="AE62" i="17"/>
  <c r="AE63" i="17"/>
  <c r="AE64" i="17"/>
  <c r="AE65" i="17"/>
  <c r="AE66" i="17"/>
  <c r="X6" i="17"/>
  <c r="X7" i="17"/>
  <c r="X8" i="17"/>
  <c r="X9" i="17"/>
  <c r="X10" i="17"/>
  <c r="X11" i="17"/>
  <c r="X12" i="17"/>
  <c r="X13" i="17"/>
  <c r="X14" i="17"/>
  <c r="X15" i="17"/>
  <c r="X16" i="17"/>
  <c r="X17" i="17"/>
  <c r="X18" i="17"/>
  <c r="X19" i="17"/>
  <c r="X20" i="17"/>
  <c r="X21" i="17"/>
  <c r="X22" i="17"/>
  <c r="X23" i="17"/>
  <c r="X24" i="17"/>
  <c r="X25" i="17"/>
  <c r="X26" i="17"/>
  <c r="X27" i="17"/>
  <c r="X28" i="17"/>
  <c r="X29" i="17"/>
  <c r="X30" i="17"/>
  <c r="X31" i="17"/>
  <c r="X32" i="17"/>
  <c r="X33" i="17"/>
  <c r="X34" i="17"/>
  <c r="X35" i="17"/>
  <c r="X36" i="17"/>
  <c r="X37" i="17"/>
  <c r="X38" i="17"/>
  <c r="X39" i="17"/>
  <c r="X40" i="17"/>
  <c r="X41" i="17"/>
  <c r="X42" i="17"/>
  <c r="X43" i="17"/>
  <c r="X44" i="17"/>
  <c r="X45" i="17"/>
  <c r="X46" i="17"/>
  <c r="X47" i="17"/>
  <c r="X48" i="17"/>
  <c r="X49" i="17"/>
  <c r="X50" i="17"/>
  <c r="X51" i="17"/>
  <c r="X52" i="17"/>
  <c r="X53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Q6" i="17"/>
  <c r="Q7" i="17"/>
  <c r="Q8" i="17"/>
  <c r="Q9" i="17"/>
  <c r="Q10" i="1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41" i="17"/>
  <c r="Q42" i="17"/>
  <c r="Q43" i="17"/>
  <c r="Q44" i="17"/>
  <c r="Q45" i="17"/>
  <c r="Q46" i="17"/>
  <c r="Q47" i="17"/>
  <c r="Q48" i="17"/>
  <c r="Q49" i="17"/>
  <c r="Q50" i="17"/>
  <c r="Q51" i="17"/>
  <c r="Q52" i="17"/>
  <c r="Q53" i="17"/>
  <c r="Q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B35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C45" i="2"/>
  <c r="B40" i="2"/>
  <c r="C43" i="2"/>
  <c r="B42" i="2"/>
  <c r="C21" i="2"/>
  <c r="B24" i="2"/>
  <c r="C22" i="2"/>
  <c r="B23" i="2"/>
  <c r="C13" i="2"/>
  <c r="B39" i="2"/>
  <c r="C46" i="2"/>
  <c r="B43" i="2"/>
  <c r="C34" i="2"/>
  <c r="B30" i="2"/>
  <c r="C11" i="2"/>
  <c r="B11" i="2"/>
  <c r="C10" i="2"/>
  <c r="B9" i="2"/>
  <c r="C9" i="2"/>
  <c r="B25" i="2"/>
  <c r="C39" i="2"/>
  <c r="B41" i="2"/>
  <c r="C36" i="2"/>
  <c r="B27" i="2"/>
  <c r="C33" i="2"/>
  <c r="B36" i="2"/>
  <c r="C32" i="2"/>
  <c r="B15" i="2"/>
  <c r="C30" i="2"/>
  <c r="B10" i="2"/>
  <c r="C29" i="2"/>
  <c r="B44" i="2"/>
  <c r="C25" i="2"/>
  <c r="B38" i="2"/>
  <c r="C24" i="2"/>
  <c r="B21" i="2"/>
  <c r="C23" i="2"/>
  <c r="B26" i="2"/>
  <c r="C19" i="2"/>
  <c r="B22" i="2"/>
  <c r="C18" i="2"/>
  <c r="B16" i="2"/>
  <c r="C15" i="2"/>
  <c r="B34" i="2"/>
  <c r="C38" i="2"/>
  <c r="B20" i="2"/>
  <c r="C8" i="2"/>
  <c r="B8" i="2"/>
  <c r="C47" i="2"/>
  <c r="B32" i="2"/>
  <c r="C44" i="2"/>
  <c r="B33" i="2"/>
  <c r="C41" i="2"/>
  <c r="B13" i="2"/>
  <c r="C28" i="2"/>
  <c r="B14" i="2"/>
  <c r="C12" i="2"/>
  <c r="B45" i="2"/>
  <c r="C40" i="2"/>
  <c r="B46" i="2"/>
  <c r="C31" i="2"/>
  <c r="B37" i="2"/>
  <c r="C26" i="2"/>
  <c r="B19" i="2"/>
  <c r="C17" i="2"/>
  <c r="B17" i="2"/>
  <c r="C14" i="2"/>
  <c r="B18" i="2"/>
  <c r="C20" i="2"/>
  <c r="B7" i="2"/>
  <c r="C16" i="2"/>
  <c r="B47" i="2"/>
  <c r="C37" i="2"/>
  <c r="B12" i="2"/>
  <c r="C35" i="2"/>
  <c r="B31" i="2"/>
  <c r="C27" i="2"/>
  <c r="B29" i="2"/>
  <c r="C7" i="2"/>
  <c r="B28" i="2"/>
  <c r="C42" i="2"/>
  <c r="AU4" i="20"/>
  <c r="AT4" i="20"/>
  <c r="AS4" i="20"/>
  <c r="AR4" i="20"/>
  <c r="AQ4" i="20"/>
  <c r="AP4" i="20"/>
  <c r="AO4" i="20"/>
  <c r="AN4" i="20"/>
  <c r="AM4" i="20"/>
  <c r="AL4" i="20"/>
  <c r="AK4" i="20"/>
  <c r="AJ4" i="20"/>
  <c r="AI4" i="20"/>
  <c r="AH4" i="20"/>
  <c r="AG4" i="20"/>
  <c r="AF4" i="20"/>
  <c r="AE4" i="20"/>
  <c r="AD4" i="20"/>
  <c r="AC4" i="20"/>
  <c r="AB4" i="20"/>
  <c r="AH4" i="14"/>
  <c r="AG4" i="14"/>
  <c r="AF4" i="14"/>
  <c r="AE4" i="14"/>
  <c r="C8" i="20"/>
  <c r="C7" i="20"/>
  <c r="C6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R6" i="20"/>
  <c r="R7" i="20"/>
  <c r="R8" i="20"/>
  <c r="R5" i="20"/>
  <c r="S6" i="20"/>
  <c r="S7" i="20"/>
  <c r="S8" i="20"/>
  <c r="S5" i="20"/>
  <c r="T6" i="20"/>
  <c r="T7" i="20"/>
  <c r="T8" i="20"/>
  <c r="T5" i="20"/>
  <c r="U6" i="20"/>
  <c r="U7" i="20"/>
  <c r="U8" i="20"/>
  <c r="U5" i="20"/>
  <c r="V6" i="20"/>
  <c r="V7" i="20"/>
  <c r="V8" i="20"/>
  <c r="V5" i="20"/>
  <c r="W6" i="20"/>
  <c r="W7" i="20"/>
  <c r="W8" i="20"/>
  <c r="W5" i="20"/>
  <c r="R9" i="20"/>
  <c r="D6" i="20"/>
  <c r="D7" i="20"/>
  <c r="D8" i="20"/>
  <c r="D5" i="20"/>
  <c r="E6" i="20"/>
  <c r="E7" i="20"/>
  <c r="E8" i="20"/>
  <c r="E5" i="20"/>
  <c r="F6" i="20"/>
  <c r="F7" i="20"/>
  <c r="F8" i="20"/>
  <c r="F5" i="20"/>
  <c r="G6" i="20"/>
  <c r="G7" i="20"/>
  <c r="G8" i="20"/>
  <c r="G5" i="20"/>
  <c r="H6" i="20"/>
  <c r="H7" i="20"/>
  <c r="H8" i="20"/>
  <c r="H5" i="20"/>
  <c r="I6" i="20"/>
  <c r="I7" i="20"/>
  <c r="I8" i="20"/>
  <c r="I5" i="20"/>
  <c r="J6" i="20"/>
  <c r="J7" i="20"/>
  <c r="J8" i="20"/>
  <c r="J5" i="20"/>
  <c r="K6" i="20"/>
  <c r="K7" i="20"/>
  <c r="K8" i="20"/>
  <c r="K5" i="20"/>
  <c r="L6" i="20"/>
  <c r="L7" i="20"/>
  <c r="L8" i="20"/>
  <c r="L5" i="20"/>
  <c r="M6" i="20"/>
  <c r="M7" i="20"/>
  <c r="M8" i="20"/>
  <c r="M5" i="20"/>
  <c r="N6" i="20"/>
  <c r="N7" i="20"/>
  <c r="N8" i="20"/>
  <c r="N5" i="20"/>
  <c r="O6" i="20"/>
  <c r="O7" i="20"/>
  <c r="O8" i="20"/>
  <c r="O5" i="20"/>
  <c r="P6" i="20"/>
  <c r="P7" i="20"/>
  <c r="P8" i="20"/>
  <c r="P5" i="20"/>
  <c r="Q6" i="20"/>
  <c r="Q7" i="20"/>
  <c r="Q8" i="20"/>
  <c r="Q5" i="20"/>
  <c r="D9" i="20"/>
  <c r="B6" i="14"/>
  <c r="BV7" i="14"/>
  <c r="B7" i="14"/>
  <c r="BV8" i="14"/>
  <c r="B8" i="14"/>
  <c r="BV9" i="14"/>
  <c r="B9" i="14"/>
  <c r="BV10" i="14"/>
  <c r="B10" i="14"/>
  <c r="BV11" i="14"/>
  <c r="B11" i="14"/>
  <c r="BV12" i="14"/>
  <c r="B12" i="14"/>
  <c r="BV13" i="14"/>
  <c r="B13" i="14"/>
  <c r="BV14" i="14"/>
  <c r="B14" i="14"/>
  <c r="BV15" i="14"/>
  <c r="B15" i="14"/>
  <c r="BV16" i="14"/>
  <c r="B16" i="14"/>
  <c r="BV17" i="14"/>
  <c r="B17" i="14"/>
  <c r="BV18" i="14"/>
  <c r="B18" i="14"/>
  <c r="BV19" i="14"/>
  <c r="B19" i="14"/>
  <c r="BV20" i="14"/>
  <c r="B20" i="14"/>
  <c r="BV21" i="14"/>
  <c r="B21" i="14"/>
  <c r="BV22" i="14"/>
  <c r="B22" i="14"/>
  <c r="BV23" i="14"/>
  <c r="B23" i="14"/>
  <c r="BV24" i="14"/>
  <c r="B24" i="14"/>
  <c r="BV25" i="14"/>
  <c r="B25" i="14"/>
  <c r="BV26" i="14"/>
  <c r="B26" i="14"/>
  <c r="BV27" i="14"/>
  <c r="B27" i="14"/>
  <c r="BV28" i="14"/>
  <c r="B28" i="14"/>
  <c r="BV29" i="14"/>
  <c r="B29" i="14"/>
  <c r="BV30" i="14"/>
  <c r="B30" i="14"/>
  <c r="BV31" i="14"/>
  <c r="B31" i="14"/>
  <c r="BV32" i="14"/>
  <c r="B32" i="14"/>
  <c r="BV33" i="14"/>
  <c r="B33" i="14"/>
  <c r="BV34" i="14"/>
  <c r="B34" i="14"/>
  <c r="BV35" i="14"/>
  <c r="B35" i="14"/>
  <c r="BV36" i="14"/>
  <c r="B36" i="14"/>
  <c r="BV37" i="14"/>
  <c r="B37" i="14"/>
  <c r="BV38" i="14"/>
  <c r="B38" i="14"/>
  <c r="BV39" i="14"/>
  <c r="B39" i="14"/>
  <c r="BV40" i="14"/>
  <c r="B40" i="14"/>
  <c r="BV41" i="14"/>
  <c r="B41" i="14"/>
  <c r="BV42" i="14"/>
  <c r="B42" i="14"/>
  <c r="BV43" i="14"/>
  <c r="B43" i="14"/>
  <c r="BV44" i="14"/>
  <c r="B44" i="14"/>
  <c r="BV45" i="14"/>
  <c r="B45" i="14"/>
  <c r="BV46" i="14"/>
  <c r="B46" i="14"/>
  <c r="BV47" i="14"/>
  <c r="B47" i="14"/>
  <c r="BV48" i="14"/>
  <c r="B48" i="14"/>
  <c r="BV49" i="14"/>
  <c r="B49" i="14"/>
  <c r="BV50" i="14"/>
  <c r="B5" i="14"/>
  <c r="BV6" i="14"/>
  <c r="B50" i="14"/>
  <c r="F50" i="14"/>
  <c r="BV51" i="14"/>
  <c r="B51" i="14"/>
  <c r="F51" i="14"/>
  <c r="BV52" i="14"/>
  <c r="B52" i="14"/>
  <c r="F52" i="14"/>
  <c r="BV53" i="14"/>
  <c r="B53" i="14"/>
  <c r="F53" i="14"/>
  <c r="BV54" i="14"/>
  <c r="B54" i="14"/>
  <c r="F54" i="14"/>
  <c r="BV55" i="14"/>
  <c r="B55" i="14"/>
  <c r="F55" i="14"/>
  <c r="BV56" i="14"/>
  <c r="B56" i="14"/>
  <c r="F56" i="14"/>
  <c r="BV57" i="14"/>
  <c r="B57" i="14"/>
  <c r="F57" i="14"/>
  <c r="BV58" i="14"/>
  <c r="B58" i="14"/>
  <c r="F58" i="14"/>
  <c r="BV59" i="14"/>
  <c r="B59" i="14"/>
  <c r="F59" i="14"/>
  <c r="BV60" i="14"/>
  <c r="BV5" i="14"/>
  <c r="B60" i="14"/>
  <c r="B61" i="14"/>
  <c r="B62" i="14"/>
  <c r="B63" i="14"/>
  <c r="B64" i="14"/>
  <c r="B65" i="14"/>
  <c r="B66" i="14"/>
  <c r="B67" i="14"/>
  <c r="B68" i="14"/>
  <c r="B69" i="14"/>
  <c r="B70" i="14"/>
  <c r="BV119" i="14"/>
  <c r="BV118" i="14"/>
  <c r="BV117" i="14"/>
  <c r="BV116" i="14"/>
  <c r="BV115" i="14"/>
  <c r="BV114" i="14"/>
  <c r="BV113" i="14"/>
  <c r="BV112" i="14"/>
  <c r="BV111" i="14"/>
  <c r="BV110" i="14"/>
  <c r="BV109" i="14"/>
  <c r="BV108" i="14"/>
  <c r="BV107" i="14"/>
  <c r="BV106" i="14"/>
  <c r="BV105" i="14"/>
  <c r="BV104" i="14"/>
  <c r="BV103" i="14"/>
  <c r="BV102" i="14"/>
  <c r="BV101" i="14"/>
  <c r="BV100" i="14"/>
  <c r="BV99" i="14"/>
  <c r="BV98" i="14"/>
  <c r="BV97" i="14"/>
  <c r="BV96" i="14"/>
  <c r="BV95" i="14"/>
  <c r="BV94" i="14"/>
  <c r="BV93" i="14"/>
  <c r="BV92" i="14"/>
  <c r="BV91" i="14"/>
  <c r="BV90" i="14"/>
  <c r="BV89" i="14"/>
  <c r="BV88" i="14"/>
  <c r="BV87" i="14"/>
  <c r="BV86" i="14"/>
  <c r="BV85" i="14"/>
  <c r="BV84" i="14"/>
  <c r="BV83" i="14"/>
  <c r="BV82" i="14"/>
  <c r="BV81" i="14"/>
  <c r="BV80" i="14"/>
  <c r="BV79" i="14"/>
  <c r="BV78" i="14"/>
  <c r="BV77" i="14"/>
  <c r="BV76" i="14"/>
  <c r="BV75" i="14"/>
  <c r="BV74" i="14"/>
  <c r="BV73" i="14"/>
  <c r="BV72" i="14"/>
  <c r="F70" i="14"/>
  <c r="BV71" i="14"/>
  <c r="F69" i="14"/>
  <c r="BV70" i="14"/>
  <c r="F68" i="14"/>
  <c r="BV69" i="14"/>
  <c r="F67" i="14"/>
  <c r="BV68" i="14"/>
  <c r="F66" i="14"/>
  <c r="BV67" i="14"/>
  <c r="F65" i="14"/>
  <c r="BV66" i="14"/>
  <c r="F64" i="14"/>
  <c r="BV65" i="14"/>
  <c r="F63" i="14"/>
  <c r="BV64" i="14"/>
  <c r="F62" i="14"/>
  <c r="BV63" i="14"/>
  <c r="F61" i="14"/>
  <c r="BV62" i="14"/>
  <c r="F60" i="14"/>
  <c r="BV61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BU7" i="14"/>
  <c r="BU8" i="14"/>
  <c r="BU9" i="14"/>
  <c r="BU10" i="14"/>
  <c r="BU11" i="14"/>
  <c r="BU12" i="14"/>
  <c r="BU13" i="14"/>
  <c r="BU14" i="14"/>
  <c r="BU15" i="14"/>
  <c r="BU16" i="14"/>
  <c r="BU17" i="14"/>
  <c r="BU18" i="14"/>
  <c r="BU19" i="14"/>
  <c r="BU20" i="14"/>
  <c r="BU21" i="14"/>
  <c r="BU22" i="14"/>
  <c r="BU23" i="14"/>
  <c r="BU24" i="14"/>
  <c r="BU25" i="14"/>
  <c r="BU26" i="14"/>
  <c r="BU27" i="14"/>
  <c r="BU28" i="14"/>
  <c r="BU29" i="14"/>
  <c r="BU30" i="14"/>
  <c r="BU31" i="14"/>
  <c r="BU32" i="14"/>
  <c r="BU33" i="14"/>
  <c r="BU34" i="14"/>
  <c r="BU35" i="14"/>
  <c r="BU36" i="14"/>
  <c r="BU37" i="14"/>
  <c r="BU38" i="14"/>
  <c r="BU39" i="14"/>
  <c r="BU40" i="14"/>
  <c r="BU41" i="14"/>
  <c r="BU42" i="14"/>
  <c r="BU43" i="14"/>
  <c r="BU44" i="14"/>
  <c r="BU45" i="14"/>
  <c r="BU46" i="14"/>
  <c r="BU47" i="14"/>
  <c r="BU48" i="14"/>
  <c r="BU49" i="14"/>
  <c r="BU50" i="14"/>
  <c r="BU51" i="14"/>
  <c r="BU52" i="14"/>
  <c r="BU53" i="14"/>
  <c r="BU54" i="14"/>
  <c r="BU55" i="14"/>
  <c r="BU56" i="14"/>
  <c r="BU57" i="14"/>
  <c r="BU58" i="14"/>
  <c r="BU59" i="14"/>
  <c r="BU60" i="14"/>
  <c r="BU61" i="14"/>
  <c r="BU62" i="14"/>
  <c r="BU63" i="14"/>
  <c r="BU64" i="14"/>
  <c r="BU65" i="14"/>
  <c r="BU66" i="14"/>
  <c r="BU67" i="14"/>
  <c r="BU68" i="14"/>
  <c r="BU69" i="14"/>
  <c r="BU70" i="14"/>
  <c r="BU71" i="14"/>
  <c r="BU72" i="14"/>
  <c r="BU73" i="14"/>
  <c r="BU74" i="14"/>
  <c r="BU75" i="14"/>
  <c r="BU76" i="14"/>
  <c r="BU77" i="14"/>
  <c r="BU78" i="14"/>
  <c r="BU79" i="14"/>
  <c r="BU80" i="14"/>
  <c r="BU81" i="14"/>
  <c r="BU82" i="14"/>
  <c r="BU6" i="14"/>
  <c r="BU5" i="14"/>
  <c r="BT6" i="14"/>
  <c r="BT7" i="14"/>
  <c r="BT8" i="14"/>
  <c r="BT9" i="14"/>
  <c r="BT10" i="14"/>
  <c r="BT11" i="14"/>
  <c r="BT12" i="14"/>
  <c r="BT13" i="14"/>
  <c r="BT14" i="14"/>
  <c r="BT15" i="14"/>
  <c r="BT16" i="14"/>
  <c r="BT17" i="14"/>
  <c r="BT18" i="14"/>
  <c r="BT19" i="14"/>
  <c r="BT20" i="14"/>
  <c r="BT21" i="14"/>
  <c r="BT22" i="14"/>
  <c r="BT23" i="14"/>
  <c r="BT24" i="14"/>
  <c r="BT25" i="14"/>
  <c r="BT26" i="14"/>
  <c r="BT27" i="14"/>
  <c r="BT28" i="14"/>
  <c r="BT29" i="14"/>
  <c r="BT30" i="14"/>
  <c r="BT31" i="14"/>
  <c r="BT32" i="14"/>
  <c r="BT33" i="14"/>
  <c r="BT34" i="14"/>
  <c r="BT35" i="14"/>
  <c r="BT36" i="14"/>
  <c r="BT37" i="14"/>
  <c r="BT38" i="14"/>
  <c r="BT39" i="14"/>
  <c r="BT40" i="14"/>
  <c r="BT41" i="14"/>
  <c r="BT42" i="14"/>
  <c r="BT43" i="14"/>
  <c r="BT44" i="14"/>
  <c r="BT45" i="14"/>
  <c r="BT46" i="14"/>
  <c r="BT47" i="14"/>
  <c r="BT48" i="14"/>
  <c r="BT49" i="14"/>
  <c r="BT50" i="14"/>
  <c r="BT51" i="14"/>
  <c r="BT52" i="14"/>
  <c r="BT53" i="14"/>
  <c r="BT54" i="14"/>
  <c r="BT5" i="14"/>
  <c r="BS7" i="14"/>
  <c r="BS8" i="14"/>
  <c r="BS9" i="14"/>
  <c r="BS10" i="14"/>
  <c r="BS11" i="14"/>
  <c r="BS12" i="14"/>
  <c r="BS13" i="14"/>
  <c r="BS14" i="14"/>
  <c r="BS15" i="14"/>
  <c r="BS16" i="14"/>
  <c r="BS17" i="14"/>
  <c r="BS18" i="14"/>
  <c r="BS19" i="14"/>
  <c r="BS20" i="14"/>
  <c r="BS21" i="14"/>
  <c r="BS22" i="14"/>
  <c r="BS23" i="14"/>
  <c r="BS24" i="14"/>
  <c r="BS25" i="14"/>
  <c r="BS26" i="14"/>
  <c r="BS27" i="14"/>
  <c r="BS28" i="14"/>
  <c r="BS29" i="14"/>
  <c r="BS30" i="14"/>
  <c r="BS31" i="14"/>
  <c r="BS32" i="14"/>
  <c r="BS33" i="14"/>
  <c r="BS34" i="14"/>
  <c r="BS35" i="14"/>
  <c r="BS36" i="14"/>
  <c r="BS37" i="14"/>
  <c r="BS38" i="14"/>
  <c r="BS39" i="14"/>
  <c r="BS40" i="14"/>
  <c r="BS41" i="14"/>
  <c r="BS42" i="14"/>
  <c r="BS43" i="14"/>
  <c r="BS44" i="14"/>
  <c r="BS45" i="14"/>
  <c r="BS46" i="14"/>
  <c r="BS47" i="14"/>
  <c r="BS48" i="14"/>
  <c r="BS49" i="14"/>
  <c r="BS50" i="14"/>
  <c r="BS51" i="14"/>
  <c r="BS52" i="14"/>
  <c r="BS53" i="14"/>
  <c r="BS54" i="14"/>
  <c r="BS55" i="14"/>
  <c r="BS56" i="14"/>
  <c r="BS6" i="14"/>
  <c r="BS5" i="14"/>
  <c r="BR6" i="14"/>
  <c r="BR7" i="14"/>
  <c r="BR8" i="14"/>
  <c r="BR9" i="14"/>
  <c r="BR10" i="14"/>
  <c r="BR11" i="14"/>
  <c r="BR12" i="14"/>
  <c r="BR13" i="14"/>
  <c r="BR14" i="14"/>
  <c r="BR15" i="14"/>
  <c r="BR16" i="14"/>
  <c r="BR17" i="14"/>
  <c r="BR18" i="14"/>
  <c r="BR19" i="14"/>
  <c r="BR20" i="14"/>
  <c r="BR21" i="14"/>
  <c r="BR22" i="14"/>
  <c r="BR23" i="14"/>
  <c r="BR24" i="14"/>
  <c r="BR25" i="14"/>
  <c r="BR26" i="14"/>
  <c r="BR27" i="14"/>
  <c r="BR28" i="14"/>
  <c r="BR29" i="14"/>
  <c r="BR30" i="14"/>
  <c r="BR31" i="14"/>
  <c r="BR32" i="14"/>
  <c r="BR33" i="14"/>
  <c r="BR34" i="14"/>
  <c r="BR35" i="14"/>
  <c r="BR36" i="14"/>
  <c r="BR37" i="14"/>
  <c r="BR38" i="14"/>
  <c r="BR39" i="14"/>
  <c r="BR40" i="14"/>
  <c r="BR41" i="14"/>
  <c r="BR42" i="14"/>
  <c r="BR43" i="14"/>
  <c r="BR44" i="14"/>
  <c r="BR45" i="14"/>
  <c r="BR46" i="14"/>
  <c r="BR47" i="14"/>
  <c r="BR48" i="14"/>
  <c r="BR49" i="14"/>
  <c r="BR50" i="14"/>
  <c r="BR51" i="14"/>
  <c r="BR52" i="14"/>
  <c r="BR53" i="14"/>
  <c r="BR54" i="14"/>
  <c r="BR55" i="14"/>
  <c r="BR56" i="14"/>
  <c r="BR57" i="14"/>
  <c r="BR58" i="14"/>
  <c r="BR59" i="14"/>
  <c r="BR60" i="14"/>
  <c r="BR5" i="14"/>
  <c r="BR61" i="14"/>
  <c r="BR62" i="14"/>
  <c r="BR63" i="14"/>
  <c r="BQ7" i="14"/>
  <c r="BQ8" i="14"/>
  <c r="BQ9" i="14"/>
  <c r="BQ10" i="14"/>
  <c r="BQ11" i="14"/>
  <c r="BQ12" i="14"/>
  <c r="BQ13" i="14"/>
  <c r="BQ14" i="14"/>
  <c r="BQ15" i="14"/>
  <c r="BQ16" i="14"/>
  <c r="BQ17" i="14"/>
  <c r="BQ18" i="14"/>
  <c r="BQ19" i="14"/>
  <c r="BQ20" i="14"/>
  <c r="BQ21" i="14"/>
  <c r="BQ22" i="14"/>
  <c r="BQ23" i="14"/>
  <c r="BQ24" i="14"/>
  <c r="BQ25" i="14"/>
  <c r="BQ26" i="14"/>
  <c r="BQ27" i="14"/>
  <c r="BQ28" i="14"/>
  <c r="BQ29" i="14"/>
  <c r="BQ30" i="14"/>
  <c r="BQ31" i="14"/>
  <c r="BQ32" i="14"/>
  <c r="BQ33" i="14"/>
  <c r="BQ34" i="14"/>
  <c r="BQ35" i="14"/>
  <c r="BQ36" i="14"/>
  <c r="BQ37" i="14"/>
  <c r="BQ38" i="14"/>
  <c r="BQ39" i="14"/>
  <c r="BQ40" i="14"/>
  <c r="BQ41" i="14"/>
  <c r="BQ42" i="14"/>
  <c r="BQ43" i="14"/>
  <c r="BQ44" i="14"/>
  <c r="BQ45" i="14"/>
  <c r="BQ46" i="14"/>
  <c r="BQ47" i="14"/>
  <c r="BQ48" i="14"/>
  <c r="BQ49" i="14"/>
  <c r="BQ50" i="14"/>
  <c r="BQ51" i="14"/>
  <c r="BQ52" i="14"/>
  <c r="BQ53" i="14"/>
  <c r="BQ54" i="14"/>
  <c r="BQ55" i="14"/>
  <c r="BQ56" i="14"/>
  <c r="BQ57" i="14"/>
  <c r="BQ58" i="14"/>
  <c r="BQ59" i="14"/>
  <c r="BQ60" i="14"/>
  <c r="BQ61" i="14"/>
  <c r="BQ62" i="14"/>
  <c r="BQ63" i="14"/>
  <c r="BQ64" i="14"/>
  <c r="BQ65" i="14"/>
  <c r="BQ66" i="14"/>
  <c r="BQ67" i="14"/>
  <c r="BQ68" i="14"/>
  <c r="BQ69" i="14"/>
  <c r="BQ70" i="14"/>
  <c r="BQ71" i="14"/>
  <c r="BQ72" i="14"/>
  <c r="BQ73" i="14"/>
  <c r="BQ74" i="14"/>
  <c r="BQ75" i="14"/>
  <c r="BQ76" i="14"/>
  <c r="BQ77" i="14"/>
  <c r="BQ78" i="14"/>
  <c r="BQ79" i="14"/>
  <c r="BQ80" i="14"/>
  <c r="BQ81" i="14"/>
  <c r="BQ82" i="14"/>
  <c r="BQ83" i="14"/>
  <c r="BQ84" i="14"/>
  <c r="BQ85" i="14"/>
  <c r="BQ86" i="14"/>
  <c r="BQ87" i="14"/>
  <c r="BQ88" i="14"/>
  <c r="BQ89" i="14"/>
  <c r="BQ90" i="14"/>
  <c r="BQ91" i="14"/>
  <c r="BQ92" i="14"/>
  <c r="BQ93" i="14"/>
  <c r="BQ94" i="14"/>
  <c r="BQ95" i="14"/>
  <c r="BQ96" i="14"/>
  <c r="BQ97" i="14"/>
  <c r="BQ98" i="14"/>
  <c r="BQ99" i="14"/>
  <c r="BQ100" i="14"/>
  <c r="BQ101" i="14"/>
  <c r="BQ102" i="14"/>
  <c r="BQ103" i="14"/>
  <c r="BQ104" i="14"/>
  <c r="BQ105" i="14"/>
  <c r="BQ6" i="14"/>
  <c r="BQ106" i="14"/>
  <c r="BQ107" i="14"/>
  <c r="BQ108" i="14"/>
  <c r="BQ109" i="14"/>
  <c r="BQ110" i="14"/>
  <c r="BQ111" i="14"/>
  <c r="BQ112" i="14"/>
  <c r="BQ113" i="14"/>
  <c r="BQ114" i="14"/>
  <c r="BQ115" i="14"/>
  <c r="BQ116" i="14"/>
  <c r="BQ117" i="14"/>
  <c r="BQ118" i="14"/>
  <c r="BQ5" i="14"/>
  <c r="BP7" i="14"/>
  <c r="BP8" i="14"/>
  <c r="BP9" i="14"/>
  <c r="BP10" i="14"/>
  <c r="BP11" i="14"/>
  <c r="BP12" i="14"/>
  <c r="BP13" i="14"/>
  <c r="BP14" i="14"/>
  <c r="BP15" i="14"/>
  <c r="BP16" i="14"/>
  <c r="BP17" i="14"/>
  <c r="BP18" i="14"/>
  <c r="BP19" i="14"/>
  <c r="BP20" i="14"/>
  <c r="BP21" i="14"/>
  <c r="BP22" i="14"/>
  <c r="BP23" i="14"/>
  <c r="BP24" i="14"/>
  <c r="BP25" i="14"/>
  <c r="BP26" i="14"/>
  <c r="BP27" i="14"/>
  <c r="BP28" i="14"/>
  <c r="BP29" i="14"/>
  <c r="BP30" i="14"/>
  <c r="BP31" i="14"/>
  <c r="BP32" i="14"/>
  <c r="BP33" i="14"/>
  <c r="BP34" i="14"/>
  <c r="BP35" i="14"/>
  <c r="BP36" i="14"/>
  <c r="BP37" i="14"/>
  <c r="BP38" i="14"/>
  <c r="BP39" i="14"/>
  <c r="BP40" i="14"/>
  <c r="BP41" i="14"/>
  <c r="BP42" i="14"/>
  <c r="BP43" i="14"/>
  <c r="BP44" i="14"/>
  <c r="BP45" i="14"/>
  <c r="BP46" i="14"/>
  <c r="BP47" i="14"/>
  <c r="BP48" i="14"/>
  <c r="BP49" i="14"/>
  <c r="BP50" i="14"/>
  <c r="BP51" i="14"/>
  <c r="BP52" i="14"/>
  <c r="BP53" i="14"/>
  <c r="BP54" i="14"/>
  <c r="BP55" i="14"/>
  <c r="BP56" i="14"/>
  <c r="BP57" i="14"/>
  <c r="BP58" i="14"/>
  <c r="BP59" i="14"/>
  <c r="BP60" i="14"/>
  <c r="BP61" i="14"/>
  <c r="BP62" i="14"/>
  <c r="BP63" i="14"/>
  <c r="BP64" i="14"/>
  <c r="BP65" i="14"/>
  <c r="BP66" i="14"/>
  <c r="BP67" i="14"/>
  <c r="BP68" i="14"/>
  <c r="BP69" i="14"/>
  <c r="BP70" i="14"/>
  <c r="BP71" i="14"/>
  <c r="BP72" i="14"/>
  <c r="BP73" i="14"/>
  <c r="BP74" i="14"/>
  <c r="BP75" i="14"/>
  <c r="BP76" i="14"/>
  <c r="BP77" i="14"/>
  <c r="BP78" i="14"/>
  <c r="BP79" i="14"/>
  <c r="BP80" i="14"/>
  <c r="BP6" i="14"/>
  <c r="BP81" i="14"/>
  <c r="BP82" i="14"/>
  <c r="BP83" i="14"/>
  <c r="BP84" i="14"/>
  <c r="BP85" i="14"/>
  <c r="BP86" i="14"/>
  <c r="BP87" i="14"/>
  <c r="BP88" i="14"/>
  <c r="BP89" i="14"/>
  <c r="BP90" i="14"/>
  <c r="BP91" i="14"/>
  <c r="BP92" i="14"/>
  <c r="BP93" i="14"/>
  <c r="BP94" i="14"/>
  <c r="BP95" i="14"/>
  <c r="BP96" i="14"/>
  <c r="BP97" i="14"/>
  <c r="BP98" i="14"/>
  <c r="BP99" i="14"/>
  <c r="BP100" i="14"/>
  <c r="BP101" i="14"/>
  <c r="BP102" i="14"/>
  <c r="BP103" i="14"/>
  <c r="BP104" i="14"/>
  <c r="BP105" i="14"/>
  <c r="BP106" i="14"/>
  <c r="BP107" i="14"/>
  <c r="BP108" i="14"/>
  <c r="BP109" i="14"/>
  <c r="BP110" i="14"/>
  <c r="BP111" i="14"/>
  <c r="BP112" i="14"/>
  <c r="BP113" i="14"/>
  <c r="BP114" i="14"/>
  <c r="BP115" i="14"/>
  <c r="BP116" i="14"/>
  <c r="BP117" i="14"/>
  <c r="BP118" i="14"/>
  <c r="BP119" i="14"/>
  <c r="BP120" i="14"/>
  <c r="BP121" i="14"/>
  <c r="BP122" i="14"/>
  <c r="BP123" i="14"/>
  <c r="BP124" i="14"/>
  <c r="BP125" i="14"/>
  <c r="BP126" i="14"/>
  <c r="BP127" i="14"/>
  <c r="BP128" i="14"/>
  <c r="BP129" i="14"/>
  <c r="BP130" i="14"/>
  <c r="BP131" i="14"/>
  <c r="BP132" i="14"/>
  <c r="BP133" i="14"/>
  <c r="BP134" i="14"/>
  <c r="BP135" i="14"/>
  <c r="BP136" i="14"/>
  <c r="BP137" i="14"/>
  <c r="BP138" i="14"/>
  <c r="BP139" i="14"/>
  <c r="BP140" i="14"/>
  <c r="BP141" i="14"/>
  <c r="BP142" i="14"/>
  <c r="BP143" i="14"/>
  <c r="BP144" i="14"/>
  <c r="BP145" i="14"/>
  <c r="BP146" i="14"/>
  <c r="BP147" i="14"/>
  <c r="BP148" i="14"/>
  <c r="BP149" i="14"/>
  <c r="BP5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AO8" i="14"/>
  <c r="E10" i="14"/>
  <c r="E12" i="14"/>
  <c r="E16" i="14"/>
  <c r="E5" i="14"/>
  <c r="E6" i="14"/>
  <c r="E7" i="14"/>
  <c r="E8" i="14"/>
  <c r="E9" i="14"/>
  <c r="E11" i="14"/>
  <c r="E13" i="14"/>
  <c r="E14" i="14"/>
  <c r="E15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AP8" i="14"/>
  <c r="AQ8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AO7" i="14"/>
  <c r="AP7" i="14"/>
  <c r="AQ7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AQ6" i="14"/>
  <c r="AP6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AO9" i="14"/>
  <c r="AO6" i="14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R44" i="14"/>
  <c r="R45" i="14"/>
  <c r="R46" i="14"/>
  <c r="R47" i="14"/>
  <c r="R48" i="14"/>
  <c r="R49" i="14"/>
  <c r="U44" i="14"/>
  <c r="U45" i="14"/>
  <c r="U46" i="14"/>
  <c r="U47" i="14"/>
  <c r="U48" i="14"/>
  <c r="U49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U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U43" i="14"/>
  <c r="U5" i="14"/>
  <c r="U6" i="14"/>
  <c r="U7" i="14"/>
  <c r="U8" i="14"/>
  <c r="U9" i="14"/>
  <c r="U10" i="14"/>
  <c r="U11" i="14"/>
  <c r="U12" i="14"/>
  <c r="U13" i="14"/>
  <c r="U14" i="14"/>
  <c r="U15" i="14"/>
  <c r="U16" i="14"/>
  <c r="U17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U31" i="14"/>
  <c r="U32" i="14"/>
  <c r="U33" i="14"/>
  <c r="U34" i="14"/>
  <c r="U35" i="14"/>
  <c r="U36" i="14"/>
  <c r="U37" i="14"/>
  <c r="U38" i="14"/>
  <c r="U39" i="14"/>
  <c r="U40" i="14"/>
  <c r="U41" i="14"/>
  <c r="U42" i="14"/>
  <c r="R5" i="14"/>
  <c r="BN6" i="14"/>
  <c r="BM6" i="14"/>
  <c r="AH6" i="14"/>
  <c r="AH5" i="14"/>
  <c r="AG6" i="14"/>
  <c r="AG5" i="14"/>
  <c r="AF6" i="14"/>
  <c r="AF5" i="14"/>
  <c r="AE6" i="14"/>
  <c r="AE5" i="14"/>
  <c r="N46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4" i="14"/>
  <c r="M46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4" i="14"/>
  <c r="C6" i="14"/>
  <c r="D6" i="14"/>
  <c r="G6" i="14"/>
  <c r="H6" i="14"/>
  <c r="C7" i="14"/>
  <c r="D7" i="14"/>
  <c r="G7" i="14"/>
  <c r="H7" i="14"/>
  <c r="C8" i="14"/>
  <c r="D8" i="14"/>
  <c r="G8" i="14"/>
  <c r="H8" i="14"/>
  <c r="C9" i="14"/>
  <c r="D9" i="14"/>
  <c r="G9" i="14"/>
  <c r="H9" i="14"/>
  <c r="C10" i="14"/>
  <c r="D10" i="14"/>
  <c r="G10" i="14"/>
  <c r="H10" i="14"/>
  <c r="C11" i="14"/>
  <c r="D11" i="14"/>
  <c r="G11" i="14"/>
  <c r="H11" i="14"/>
  <c r="C12" i="14"/>
  <c r="D12" i="14"/>
  <c r="G12" i="14"/>
  <c r="H12" i="14"/>
  <c r="C13" i="14"/>
  <c r="D13" i="14"/>
  <c r="G13" i="14"/>
  <c r="H13" i="14"/>
  <c r="C14" i="14"/>
  <c r="D14" i="14"/>
  <c r="G14" i="14"/>
  <c r="H14" i="14"/>
  <c r="C15" i="14"/>
  <c r="D15" i="14"/>
  <c r="G15" i="14"/>
  <c r="H15" i="14"/>
  <c r="C16" i="14"/>
  <c r="D16" i="14"/>
  <c r="G16" i="14"/>
  <c r="H16" i="14"/>
  <c r="C17" i="14"/>
  <c r="D17" i="14"/>
  <c r="G17" i="14"/>
  <c r="H17" i="14"/>
  <c r="C18" i="14"/>
  <c r="D18" i="14"/>
  <c r="G18" i="14"/>
  <c r="H18" i="14"/>
  <c r="C19" i="14"/>
  <c r="D19" i="14"/>
  <c r="G19" i="14"/>
  <c r="H19" i="14"/>
  <c r="C20" i="14"/>
  <c r="D20" i="14"/>
  <c r="G20" i="14"/>
  <c r="H20" i="14"/>
  <c r="C21" i="14"/>
  <c r="D21" i="14"/>
  <c r="G21" i="14"/>
  <c r="H21" i="14"/>
  <c r="C22" i="14"/>
  <c r="D22" i="14"/>
  <c r="G22" i="14"/>
  <c r="H22" i="14"/>
  <c r="C23" i="14"/>
  <c r="D23" i="14"/>
  <c r="G23" i="14"/>
  <c r="H23" i="14"/>
  <c r="C24" i="14"/>
  <c r="D24" i="14"/>
  <c r="G24" i="14"/>
  <c r="H24" i="14"/>
  <c r="C25" i="14"/>
  <c r="D25" i="14"/>
  <c r="G25" i="14"/>
  <c r="H25" i="14"/>
  <c r="C26" i="14"/>
  <c r="D26" i="14"/>
  <c r="G26" i="14"/>
  <c r="H26" i="14"/>
  <c r="C27" i="14"/>
  <c r="D27" i="14"/>
  <c r="G27" i="14"/>
  <c r="H27" i="14"/>
  <c r="C28" i="14"/>
  <c r="D28" i="14"/>
  <c r="G28" i="14"/>
  <c r="H28" i="14"/>
  <c r="C29" i="14"/>
  <c r="D29" i="14"/>
  <c r="G29" i="14"/>
  <c r="H29" i="14"/>
  <c r="C30" i="14"/>
  <c r="D30" i="14"/>
  <c r="G30" i="14"/>
  <c r="H30" i="14"/>
  <c r="C31" i="14"/>
  <c r="D31" i="14"/>
  <c r="G31" i="14"/>
  <c r="H31" i="14"/>
  <c r="C32" i="14"/>
  <c r="D32" i="14"/>
  <c r="G32" i="14"/>
  <c r="H32" i="14"/>
  <c r="C33" i="14"/>
  <c r="D33" i="14"/>
  <c r="G33" i="14"/>
  <c r="H33" i="14"/>
  <c r="C34" i="14"/>
  <c r="D34" i="14"/>
  <c r="G34" i="14"/>
  <c r="H34" i="14"/>
  <c r="C35" i="14"/>
  <c r="D35" i="14"/>
  <c r="G35" i="14"/>
  <c r="H35" i="14"/>
  <c r="C36" i="14"/>
  <c r="D36" i="14"/>
  <c r="G36" i="14"/>
  <c r="H36" i="14"/>
  <c r="C37" i="14"/>
  <c r="D37" i="14"/>
  <c r="G37" i="14"/>
  <c r="H37" i="14"/>
  <c r="C38" i="14"/>
  <c r="D38" i="14"/>
  <c r="G38" i="14"/>
  <c r="H38" i="14"/>
  <c r="C39" i="14"/>
  <c r="D39" i="14"/>
  <c r="G39" i="14"/>
  <c r="H39" i="14"/>
  <c r="C40" i="14"/>
  <c r="D40" i="14"/>
  <c r="G40" i="14"/>
  <c r="H40" i="14"/>
  <c r="C41" i="14"/>
  <c r="D41" i="14"/>
  <c r="G41" i="14"/>
  <c r="H41" i="14"/>
  <c r="C42" i="14"/>
  <c r="D42" i="14"/>
  <c r="G42" i="14"/>
  <c r="H42" i="14"/>
  <c r="C43" i="14"/>
  <c r="D43" i="14"/>
  <c r="G43" i="14"/>
  <c r="H43" i="14"/>
  <c r="C44" i="14"/>
  <c r="D44" i="14"/>
  <c r="G44" i="14"/>
  <c r="H44" i="14"/>
  <c r="C45" i="14"/>
  <c r="D45" i="14"/>
  <c r="G45" i="14"/>
  <c r="H45" i="14"/>
  <c r="C46" i="14"/>
  <c r="D46" i="14"/>
  <c r="G46" i="14"/>
  <c r="H46" i="14"/>
  <c r="C47" i="14"/>
  <c r="D47" i="14"/>
  <c r="G47" i="14"/>
  <c r="H47" i="14"/>
  <c r="C48" i="14"/>
  <c r="D48" i="14"/>
  <c r="G48" i="14"/>
  <c r="H48" i="14"/>
  <c r="C49" i="14"/>
  <c r="D49" i="14"/>
  <c r="G49" i="14"/>
  <c r="H49" i="14"/>
  <c r="C50" i="14"/>
  <c r="D50" i="14"/>
  <c r="G50" i="14"/>
  <c r="H50" i="14"/>
  <c r="C51" i="14"/>
  <c r="D51" i="14"/>
  <c r="G51" i="14"/>
  <c r="H51" i="14"/>
  <c r="C52" i="14"/>
  <c r="D52" i="14"/>
  <c r="G52" i="14"/>
  <c r="H52" i="14"/>
  <c r="C53" i="14"/>
  <c r="D53" i="14"/>
  <c r="G53" i="14"/>
  <c r="H53" i="14"/>
  <c r="C54" i="14"/>
  <c r="D54" i="14"/>
  <c r="G54" i="14"/>
  <c r="H54" i="14"/>
  <c r="C55" i="14"/>
  <c r="D55" i="14"/>
  <c r="G55" i="14"/>
  <c r="H55" i="14"/>
  <c r="C56" i="14"/>
  <c r="D56" i="14"/>
  <c r="G56" i="14"/>
  <c r="H56" i="14"/>
  <c r="C57" i="14"/>
  <c r="D57" i="14"/>
  <c r="G57" i="14"/>
  <c r="H57" i="14"/>
  <c r="C58" i="14"/>
  <c r="D58" i="14"/>
  <c r="G58" i="14"/>
  <c r="H58" i="14"/>
  <c r="C59" i="14"/>
  <c r="D59" i="14"/>
  <c r="G59" i="14"/>
  <c r="H59" i="14"/>
  <c r="C60" i="14"/>
  <c r="D60" i="14"/>
  <c r="G60" i="14"/>
  <c r="H60" i="14"/>
  <c r="C61" i="14"/>
  <c r="D61" i="14"/>
  <c r="G61" i="14"/>
  <c r="H61" i="14"/>
  <c r="C62" i="14"/>
  <c r="D62" i="14"/>
  <c r="G62" i="14"/>
  <c r="H62" i="14"/>
  <c r="C63" i="14"/>
  <c r="D63" i="14"/>
  <c r="G63" i="14"/>
  <c r="H63" i="14"/>
  <c r="C64" i="14"/>
  <c r="D64" i="14"/>
  <c r="G64" i="14"/>
  <c r="H64" i="14"/>
  <c r="C65" i="14"/>
  <c r="D65" i="14"/>
  <c r="G65" i="14"/>
  <c r="H65" i="14"/>
  <c r="C66" i="14"/>
  <c r="D66" i="14"/>
  <c r="G66" i="14"/>
  <c r="H66" i="14"/>
  <c r="C67" i="14"/>
  <c r="D67" i="14"/>
  <c r="G67" i="14"/>
  <c r="H67" i="14"/>
  <c r="C68" i="14"/>
  <c r="D68" i="14"/>
  <c r="G68" i="14"/>
  <c r="H68" i="14"/>
  <c r="C69" i="14"/>
  <c r="D69" i="14"/>
  <c r="G69" i="14"/>
  <c r="H69" i="14"/>
  <c r="C70" i="14"/>
  <c r="D70" i="14"/>
  <c r="G70" i="14"/>
  <c r="H70" i="14"/>
  <c r="C5" i="14"/>
  <c r="D5" i="14"/>
  <c r="G5" i="14"/>
  <c r="H5" i="14"/>
  <c r="F6" i="15"/>
  <c r="H6" i="15"/>
  <c r="J6" i="15"/>
  <c r="K6" i="15"/>
  <c r="L6" i="15"/>
  <c r="F7" i="15"/>
  <c r="H7" i="15"/>
  <c r="J7" i="15"/>
  <c r="K7" i="15"/>
  <c r="L7" i="15"/>
  <c r="F8" i="15"/>
  <c r="H8" i="15"/>
  <c r="J8" i="15"/>
  <c r="K8" i="15"/>
  <c r="L8" i="15"/>
  <c r="F9" i="15"/>
  <c r="H9" i="15"/>
  <c r="J9" i="15"/>
  <c r="K9" i="15"/>
  <c r="L9" i="15"/>
  <c r="F10" i="15"/>
  <c r="H10" i="15"/>
  <c r="J10" i="15"/>
  <c r="K10" i="15"/>
  <c r="L10" i="15"/>
  <c r="F11" i="15"/>
  <c r="H11" i="15"/>
  <c r="J11" i="15"/>
  <c r="K11" i="15"/>
  <c r="L11" i="15"/>
  <c r="F12" i="15"/>
  <c r="H12" i="15"/>
  <c r="J12" i="15"/>
  <c r="K12" i="15"/>
  <c r="L12" i="15"/>
  <c r="F13" i="15"/>
  <c r="H13" i="15"/>
  <c r="J13" i="15"/>
  <c r="K13" i="15"/>
  <c r="L13" i="15"/>
  <c r="F14" i="15"/>
  <c r="H14" i="15"/>
  <c r="J14" i="15"/>
  <c r="K14" i="15"/>
  <c r="L14" i="15"/>
  <c r="F15" i="15"/>
  <c r="H15" i="15"/>
  <c r="J15" i="15"/>
  <c r="K15" i="15"/>
  <c r="L15" i="15"/>
  <c r="F16" i="15"/>
  <c r="H16" i="15"/>
  <c r="J16" i="15"/>
  <c r="K16" i="15"/>
  <c r="L16" i="15"/>
  <c r="F17" i="15"/>
  <c r="H17" i="15"/>
  <c r="J17" i="15"/>
  <c r="K17" i="15"/>
  <c r="L17" i="15"/>
  <c r="F18" i="15"/>
  <c r="H18" i="15"/>
  <c r="J18" i="15"/>
  <c r="K18" i="15"/>
  <c r="L18" i="15"/>
  <c r="F19" i="15"/>
  <c r="H19" i="15"/>
  <c r="J19" i="15"/>
  <c r="K19" i="15"/>
  <c r="L19" i="15"/>
  <c r="F20" i="15"/>
  <c r="H20" i="15"/>
  <c r="J20" i="15"/>
  <c r="K20" i="15"/>
  <c r="L20" i="15"/>
  <c r="F21" i="15"/>
  <c r="H21" i="15"/>
  <c r="J21" i="15"/>
  <c r="K21" i="15"/>
  <c r="L21" i="15"/>
  <c r="F22" i="15"/>
  <c r="H22" i="15"/>
  <c r="J22" i="15"/>
  <c r="K22" i="15"/>
  <c r="L22" i="15"/>
  <c r="F23" i="15"/>
  <c r="H23" i="15"/>
  <c r="J23" i="15"/>
  <c r="K23" i="15"/>
  <c r="L23" i="15"/>
  <c r="F24" i="15"/>
  <c r="H24" i="15"/>
  <c r="J24" i="15"/>
  <c r="K24" i="15"/>
  <c r="L24" i="15"/>
  <c r="BL6" i="14"/>
  <c r="BK6" i="14"/>
  <c r="K5" i="15"/>
  <c r="F5" i="15"/>
  <c r="H5" i="15"/>
  <c r="J5" i="15"/>
  <c r="L5" i="15"/>
  <c r="AW26" i="4"/>
  <c r="AR6" i="4"/>
  <c r="AT6" i="4"/>
  <c r="AV6" i="4"/>
  <c r="AX6" i="4"/>
  <c r="AR7" i="4"/>
  <c r="AT7" i="4"/>
  <c r="AV7" i="4"/>
  <c r="AX7" i="4"/>
  <c r="AR8" i="4"/>
  <c r="AT8" i="4"/>
  <c r="AV8" i="4"/>
  <c r="AX8" i="4"/>
  <c r="AR9" i="4"/>
  <c r="AT9" i="4"/>
  <c r="AV9" i="4"/>
  <c r="AX9" i="4"/>
  <c r="AR10" i="4"/>
  <c r="AT10" i="4"/>
  <c r="AV10" i="4"/>
  <c r="AX10" i="4"/>
  <c r="AR11" i="4"/>
  <c r="AT11" i="4"/>
  <c r="AV11" i="4"/>
  <c r="AX11" i="4"/>
  <c r="AR12" i="4"/>
  <c r="AT12" i="4"/>
  <c r="AV12" i="4"/>
  <c r="AX12" i="4"/>
  <c r="AR13" i="4"/>
  <c r="AT13" i="4"/>
  <c r="AV13" i="4"/>
  <c r="AX13" i="4"/>
  <c r="AR14" i="4"/>
  <c r="AT14" i="4"/>
  <c r="AV14" i="4"/>
  <c r="AX14" i="4"/>
  <c r="AR15" i="4"/>
  <c r="AT15" i="4"/>
  <c r="AV15" i="4"/>
  <c r="AX15" i="4"/>
  <c r="AR16" i="4"/>
  <c r="AT16" i="4"/>
  <c r="AV16" i="4"/>
  <c r="AX16" i="4"/>
  <c r="AR17" i="4"/>
  <c r="AT17" i="4"/>
  <c r="AV17" i="4"/>
  <c r="AX17" i="4"/>
  <c r="AR18" i="4"/>
  <c r="AT18" i="4"/>
  <c r="AV18" i="4"/>
  <c r="AX18" i="4"/>
  <c r="AR19" i="4"/>
  <c r="AT19" i="4"/>
  <c r="AV19" i="4"/>
  <c r="AX19" i="4"/>
  <c r="AR20" i="4"/>
  <c r="AT20" i="4"/>
  <c r="AV20" i="4"/>
  <c r="AX20" i="4"/>
  <c r="AR21" i="4"/>
  <c r="AT21" i="4"/>
  <c r="AV21" i="4"/>
  <c r="AX21" i="4"/>
  <c r="AR22" i="4"/>
  <c r="AT22" i="4"/>
  <c r="AV22" i="4"/>
  <c r="AX22" i="4"/>
  <c r="AR23" i="4"/>
  <c r="AT23" i="4"/>
  <c r="AV23" i="4"/>
  <c r="AX23" i="4"/>
  <c r="AR24" i="4"/>
  <c r="AT24" i="4"/>
  <c r="AV24" i="4"/>
  <c r="AX24" i="4"/>
  <c r="AR25" i="4"/>
  <c r="AT25" i="4"/>
  <c r="AV25" i="4"/>
  <c r="AX25" i="4"/>
  <c r="AX26" i="4"/>
  <c r="AV26" i="4"/>
  <c r="BI6" i="14" a="1"/>
  <c r="BI6" i="14"/>
  <c r="BJ6" i="14"/>
  <c r="BI7" i="14" a="1"/>
  <c r="BI7" i="14"/>
  <c r="BJ7" i="14"/>
  <c r="BI8" i="14" a="1"/>
  <c r="BI8" i="14"/>
  <c r="BJ8" i="14"/>
  <c r="BI9" i="14" a="1"/>
  <c r="BI9" i="14"/>
  <c r="BJ9" i="14"/>
  <c r="BI10" i="14" a="1"/>
  <c r="BI10" i="14"/>
  <c r="BJ10" i="14"/>
  <c r="BI11" i="14" a="1"/>
  <c r="BI11" i="14"/>
  <c r="BJ11" i="14"/>
  <c r="BI12" i="14" a="1"/>
  <c r="BI12" i="14"/>
  <c r="BJ12" i="14"/>
  <c r="BI13" i="14" a="1"/>
  <c r="BI13" i="14"/>
  <c r="BJ13" i="14"/>
  <c r="BI14" i="14" a="1"/>
  <c r="BI14" i="14"/>
  <c r="BJ14" i="14"/>
  <c r="BI15" i="14" a="1"/>
  <c r="BI15" i="14"/>
  <c r="BJ15" i="14"/>
  <c r="BI16" i="14" a="1"/>
  <c r="BI16" i="14"/>
  <c r="BJ16" i="14"/>
  <c r="BI17" i="14" a="1"/>
  <c r="BI17" i="14"/>
  <c r="BJ17" i="14"/>
  <c r="BI18" i="14" a="1"/>
  <c r="BI18" i="14"/>
  <c r="BJ18" i="14"/>
  <c r="BI19" i="14" a="1"/>
  <c r="BI19" i="14"/>
  <c r="BJ19" i="14"/>
  <c r="BI20" i="14" a="1"/>
  <c r="BI20" i="14"/>
  <c r="BJ20" i="14"/>
  <c r="BI21" i="14" a="1"/>
  <c r="BI21" i="14"/>
  <c r="BJ21" i="14"/>
  <c r="BI22" i="14" a="1"/>
  <c r="BI22" i="14"/>
  <c r="BJ22" i="14"/>
  <c r="BI23" i="14" a="1"/>
  <c r="BI23" i="14"/>
  <c r="BJ23" i="14"/>
  <c r="BI24" i="14" a="1"/>
  <c r="BI24" i="14"/>
  <c r="BJ24" i="14"/>
  <c r="BI25" i="14" a="1"/>
  <c r="BI25" i="14"/>
  <c r="BJ25" i="14"/>
  <c r="BI26" i="14" a="1"/>
  <c r="BI26" i="14"/>
  <c r="BJ26" i="14"/>
  <c r="BI27" i="14" a="1"/>
  <c r="BI27" i="14"/>
  <c r="BJ27" i="14"/>
  <c r="BI28" i="14" a="1"/>
  <c r="BI28" i="14"/>
  <c r="BJ28" i="14"/>
  <c r="BI29" i="14" a="1"/>
  <c r="BI29" i="14"/>
  <c r="BJ29" i="14"/>
  <c r="BI30" i="14" a="1"/>
  <c r="BI30" i="14"/>
  <c r="BJ30" i="14"/>
  <c r="BI31" i="14" a="1"/>
  <c r="BI31" i="14"/>
  <c r="BJ31" i="14"/>
  <c r="BI32" i="14" a="1"/>
  <c r="BI32" i="14"/>
  <c r="BJ32" i="14"/>
  <c r="BI33" i="14" a="1"/>
  <c r="BI33" i="14"/>
  <c r="BJ33" i="14"/>
  <c r="BI34" i="14" a="1"/>
  <c r="BI34" i="14"/>
  <c r="BJ34" i="14"/>
  <c r="BI35" i="14" a="1"/>
  <c r="BI35" i="14"/>
  <c r="BJ35" i="14"/>
  <c r="BI36" i="14" a="1"/>
  <c r="BI36" i="14"/>
  <c r="BJ36" i="14"/>
  <c r="BI37" i="14" a="1"/>
  <c r="BI37" i="14"/>
  <c r="BJ37" i="14"/>
  <c r="BI38" i="14" a="1"/>
  <c r="BI38" i="14"/>
  <c r="BJ38" i="14"/>
  <c r="BI39" i="14" a="1"/>
  <c r="BI39" i="14"/>
  <c r="BJ39" i="14"/>
  <c r="BI40" i="14" a="1"/>
  <c r="BI40" i="14"/>
  <c r="BJ40" i="14"/>
  <c r="BI41" i="14" a="1"/>
  <c r="BI41" i="14"/>
  <c r="BJ41" i="14"/>
  <c r="BI42" i="14" a="1"/>
  <c r="BI42" i="14"/>
  <c r="BJ42" i="14"/>
  <c r="BI43" i="14" a="1"/>
  <c r="BI43" i="14"/>
  <c r="BJ43" i="14"/>
  <c r="BI44" i="14" a="1"/>
  <c r="BI44" i="14"/>
  <c r="BJ44" i="14"/>
  <c r="BI45" i="14" a="1"/>
  <c r="BI45" i="14"/>
  <c r="BJ45" i="14"/>
  <c r="BI46" i="14" a="1"/>
  <c r="BI46" i="14"/>
  <c r="BJ46" i="14"/>
  <c r="BI47" i="14" a="1"/>
  <c r="BI47" i="14"/>
  <c r="BJ47" i="14"/>
  <c r="BI48" i="14" a="1"/>
  <c r="BI48" i="14"/>
  <c r="BJ48" i="14"/>
  <c r="BI49" i="14" a="1"/>
  <c r="BI49" i="14"/>
  <c r="BJ49" i="14"/>
  <c r="BJ5" i="14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44" i="17"/>
  <c r="BF5" i="14"/>
  <c r="BC5" i="14"/>
  <c r="AZ5" i="14"/>
  <c r="AW5" i="14"/>
  <c r="AT5" i="14"/>
  <c r="BE44" i="14"/>
  <c r="BE45" i="14"/>
  <c r="BE46" i="14"/>
  <c r="BE47" i="14"/>
  <c r="BE48" i="14"/>
  <c r="BE49" i="14"/>
  <c r="BB44" i="14"/>
  <c r="BB45" i="14"/>
  <c r="BB46" i="14"/>
  <c r="BB47" i="14"/>
  <c r="BB48" i="14"/>
  <c r="BB49" i="14"/>
  <c r="AY44" i="14"/>
  <c r="AY45" i="14"/>
  <c r="AY46" i="14"/>
  <c r="AY47" i="14"/>
  <c r="AY48" i="14"/>
  <c r="AY49" i="14"/>
  <c r="AV44" i="14"/>
  <c r="AV45" i="14"/>
  <c r="AV46" i="14"/>
  <c r="AV47" i="14"/>
  <c r="AV48" i="14"/>
  <c r="AV49" i="14"/>
  <c r="BF7" i="14" a="1"/>
  <c r="BF7" i="14"/>
  <c r="BG7" i="14"/>
  <c r="AS46" i="14"/>
  <c r="AS47" i="14"/>
  <c r="AS48" i="14"/>
  <c r="AS49" i="14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5" i="15"/>
  <c r="AQ6" i="4"/>
  <c r="AK26" i="4"/>
  <c r="E1" i="17"/>
  <c r="AI43" i="14"/>
  <c r="AI44" i="14"/>
  <c r="AI45" i="14"/>
  <c r="AI46" i="14"/>
  <c r="AI47" i="14"/>
  <c r="AI48" i="14"/>
  <c r="AI49" i="14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L26" i="15"/>
  <c r="AX28" i="4"/>
  <c r="L27" i="15"/>
  <c r="AU7" i="4"/>
  <c r="AU8" i="4"/>
  <c r="AU9" i="4"/>
  <c r="AU10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6" i="4"/>
  <c r="AS7" i="4"/>
  <c r="AS8" i="4"/>
  <c r="AS9" i="4"/>
  <c r="AS10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6" i="4"/>
  <c r="AQ7" i="4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L25" i="15"/>
  <c r="J25" i="15"/>
  <c r="I25" i="15"/>
  <c r="H25" i="15"/>
  <c r="G25" i="15"/>
  <c r="F25" i="15"/>
  <c r="E25" i="15"/>
  <c r="AI6" i="14"/>
  <c r="AI7" i="14"/>
  <c r="AI8" i="14"/>
  <c r="AI9" i="14"/>
  <c r="AI10" i="14"/>
  <c r="AI11" i="14"/>
  <c r="AI12" i="14"/>
  <c r="AI13" i="14"/>
  <c r="AI14" i="14"/>
  <c r="AI15" i="14"/>
  <c r="AI16" i="14"/>
  <c r="AI17" i="14"/>
  <c r="AI18" i="14"/>
  <c r="AI19" i="14"/>
  <c r="AI20" i="14"/>
  <c r="AI21" i="14"/>
  <c r="AI22" i="14"/>
  <c r="AI23" i="14"/>
  <c r="AI24" i="14"/>
  <c r="AI25" i="14"/>
  <c r="AI26" i="14"/>
  <c r="AI27" i="14"/>
  <c r="AI28" i="14"/>
  <c r="AI29" i="14"/>
  <c r="AI30" i="14"/>
  <c r="AI31" i="14"/>
  <c r="AI32" i="14"/>
  <c r="AI33" i="14"/>
  <c r="AI34" i="14"/>
  <c r="AI35" i="14"/>
  <c r="AI36" i="14"/>
  <c r="AI37" i="14"/>
  <c r="AI38" i="14"/>
  <c r="AI39" i="14"/>
  <c r="AI40" i="14"/>
  <c r="AI41" i="14"/>
  <c r="AI42" i="14"/>
  <c r="Q26" i="4"/>
  <c r="U26" i="4"/>
  <c r="Y26" i="4"/>
  <c r="AC26" i="4"/>
  <c r="AG26" i="4"/>
  <c r="K26" i="4"/>
  <c r="M26" i="4"/>
  <c r="I26" i="4"/>
  <c r="E26" i="4"/>
  <c r="AU26" i="4"/>
  <c r="AT26" i="4"/>
  <c r="AS26" i="4"/>
  <c r="AR26" i="4"/>
  <c r="AQ26" i="4"/>
  <c r="BE6" i="14"/>
  <c r="BE7" i="14"/>
  <c r="BE8" i="14"/>
  <c r="BE9" i="14"/>
  <c r="BE10" i="14"/>
  <c r="BE11" i="14"/>
  <c r="BE12" i="14"/>
  <c r="BE13" i="14"/>
  <c r="BE14" i="14"/>
  <c r="BE15" i="14"/>
  <c r="BE16" i="14"/>
  <c r="BE17" i="14"/>
  <c r="BE18" i="14"/>
  <c r="BE19" i="14"/>
  <c r="BE20" i="14"/>
  <c r="BE21" i="14"/>
  <c r="BE22" i="14"/>
  <c r="BE23" i="14"/>
  <c r="BE24" i="14"/>
  <c r="BE25" i="14"/>
  <c r="BE26" i="14"/>
  <c r="BE27" i="14"/>
  <c r="BE28" i="14"/>
  <c r="BE29" i="14"/>
  <c r="BE30" i="14"/>
  <c r="BE31" i="14"/>
  <c r="BE32" i="14"/>
  <c r="BE33" i="14"/>
  <c r="BE34" i="14"/>
  <c r="BE35" i="14"/>
  <c r="BE36" i="14"/>
  <c r="BE37" i="14"/>
  <c r="BE38" i="14"/>
  <c r="BE39" i="14"/>
  <c r="BE40" i="14"/>
  <c r="BE41" i="14"/>
  <c r="BE42" i="14"/>
  <c r="BE43" i="14"/>
  <c r="BF8" i="14" a="1"/>
  <c r="BF8" i="14"/>
  <c r="BG8" i="14"/>
  <c r="BF9" i="14" a="1"/>
  <c r="BF9" i="14"/>
  <c r="BG9" i="14"/>
  <c r="BF10" i="14" a="1"/>
  <c r="BF10" i="14"/>
  <c r="BG10" i="14"/>
  <c r="BF11" i="14" a="1"/>
  <c r="BF11" i="14"/>
  <c r="BG11" i="14"/>
  <c r="BF12" i="14" a="1"/>
  <c r="BF12" i="14"/>
  <c r="BG12" i="14"/>
  <c r="BF13" i="14" a="1"/>
  <c r="BF13" i="14"/>
  <c r="BG13" i="14"/>
  <c r="BF14" i="14" a="1"/>
  <c r="BF14" i="14"/>
  <c r="BG14" i="14"/>
  <c r="BF15" i="14" a="1"/>
  <c r="BF15" i="14"/>
  <c r="BG15" i="14"/>
  <c r="BF16" i="14" a="1"/>
  <c r="BF16" i="14"/>
  <c r="BG16" i="14"/>
  <c r="BF17" i="14" a="1"/>
  <c r="BF17" i="14"/>
  <c r="BG17" i="14"/>
  <c r="BF18" i="14" a="1"/>
  <c r="BF18" i="14"/>
  <c r="BG18" i="14"/>
  <c r="BF19" i="14" a="1"/>
  <c r="BF19" i="14"/>
  <c r="BG19" i="14"/>
  <c r="BF20" i="14" a="1"/>
  <c r="BF20" i="14"/>
  <c r="BG20" i="14"/>
  <c r="BF21" i="14" a="1"/>
  <c r="BF21" i="14"/>
  <c r="BG21" i="14"/>
  <c r="BF22" i="14" a="1"/>
  <c r="BF22" i="14"/>
  <c r="BG22" i="14"/>
  <c r="BF23" i="14" a="1"/>
  <c r="BF23" i="14"/>
  <c r="BG23" i="14"/>
  <c r="BF24" i="14" a="1"/>
  <c r="BF24" i="14"/>
  <c r="BG24" i="14"/>
  <c r="BF25" i="14" a="1"/>
  <c r="BF25" i="14"/>
  <c r="BG25" i="14"/>
  <c r="BF26" i="14" a="1"/>
  <c r="BF26" i="14"/>
  <c r="BG26" i="14"/>
  <c r="BF27" i="14" a="1"/>
  <c r="BF27" i="14"/>
  <c r="BG27" i="14"/>
  <c r="BF28" i="14" a="1"/>
  <c r="BF28" i="14"/>
  <c r="BG28" i="14"/>
  <c r="BF29" i="14" a="1"/>
  <c r="BF29" i="14"/>
  <c r="BG29" i="14"/>
  <c r="BF30" i="14" a="1"/>
  <c r="BF30" i="14"/>
  <c r="BG30" i="14"/>
  <c r="BF31" i="14" a="1"/>
  <c r="BF31" i="14"/>
  <c r="BG31" i="14"/>
  <c r="BF32" i="14" a="1"/>
  <c r="BF32" i="14"/>
  <c r="BG32" i="14"/>
  <c r="BF33" i="14" a="1"/>
  <c r="BF33" i="14"/>
  <c r="BG33" i="14"/>
  <c r="BF34" i="14" a="1"/>
  <c r="BF34" i="14"/>
  <c r="BG34" i="14"/>
  <c r="BF35" i="14" a="1"/>
  <c r="BF35" i="14"/>
  <c r="BG35" i="14"/>
  <c r="BF36" i="14" a="1"/>
  <c r="BF36" i="14"/>
  <c r="BG36" i="14"/>
  <c r="BF37" i="14" a="1"/>
  <c r="BF37" i="14"/>
  <c r="BG37" i="14"/>
  <c r="BF38" i="14" a="1"/>
  <c r="BF38" i="14"/>
  <c r="BG38" i="14"/>
  <c r="BF39" i="14" a="1"/>
  <c r="BF39" i="14"/>
  <c r="BG39" i="14"/>
  <c r="BF40" i="14" a="1"/>
  <c r="BF40" i="14"/>
  <c r="BG40" i="14"/>
  <c r="BF41" i="14" a="1"/>
  <c r="BF41" i="14"/>
  <c r="BG41" i="14"/>
  <c r="BF42" i="14" a="1"/>
  <c r="BF42" i="14"/>
  <c r="BG42" i="14"/>
  <c r="BG6" i="14"/>
  <c r="BB6" i="14"/>
  <c r="BB7" i="14"/>
  <c r="BB8" i="14"/>
  <c r="BB9" i="14"/>
  <c r="BB10" i="14"/>
  <c r="BB11" i="14"/>
  <c r="BB12" i="14"/>
  <c r="BB13" i="14"/>
  <c r="BB14" i="14"/>
  <c r="BB15" i="14"/>
  <c r="BB16" i="14"/>
  <c r="BB17" i="14"/>
  <c r="BB18" i="14"/>
  <c r="BB19" i="14"/>
  <c r="BB20" i="14"/>
  <c r="BB21" i="14"/>
  <c r="BB22" i="14"/>
  <c r="BB23" i="14"/>
  <c r="BB24" i="14"/>
  <c r="BB25" i="14"/>
  <c r="BB26" i="14"/>
  <c r="BB27" i="14"/>
  <c r="BB28" i="14"/>
  <c r="BB29" i="14"/>
  <c r="BB30" i="14"/>
  <c r="BB31" i="14"/>
  <c r="BB32" i="14"/>
  <c r="BB33" i="14"/>
  <c r="BB34" i="14"/>
  <c r="BB35" i="14"/>
  <c r="BB36" i="14"/>
  <c r="BB37" i="14"/>
  <c r="BB38" i="14"/>
  <c r="BB39" i="14"/>
  <c r="BB40" i="14"/>
  <c r="BB41" i="14"/>
  <c r="BB42" i="14"/>
  <c r="BB43" i="14"/>
  <c r="BC7" i="14" a="1"/>
  <c r="BC7" i="14"/>
  <c r="BD7" i="14"/>
  <c r="BC8" i="14" a="1"/>
  <c r="BC8" i="14"/>
  <c r="BD8" i="14"/>
  <c r="BC9" i="14" a="1"/>
  <c r="BC9" i="14"/>
  <c r="BD9" i="14"/>
  <c r="BC10" i="14" a="1"/>
  <c r="BC10" i="14"/>
  <c r="BD10" i="14"/>
  <c r="BC11" i="14" a="1"/>
  <c r="BC11" i="14"/>
  <c r="BD11" i="14"/>
  <c r="BC12" i="14" a="1"/>
  <c r="BC12" i="14"/>
  <c r="BD12" i="14"/>
  <c r="BC13" i="14" a="1"/>
  <c r="BC13" i="14"/>
  <c r="BD13" i="14"/>
  <c r="BC14" i="14" a="1"/>
  <c r="BC14" i="14"/>
  <c r="BD14" i="14"/>
  <c r="BC15" i="14" a="1"/>
  <c r="BC15" i="14"/>
  <c r="BD15" i="14"/>
  <c r="BC16" i="14" a="1"/>
  <c r="BC16" i="14"/>
  <c r="BD16" i="14"/>
  <c r="BC17" i="14" a="1"/>
  <c r="BC17" i="14"/>
  <c r="BD17" i="14"/>
  <c r="BC18" i="14" a="1"/>
  <c r="BC18" i="14"/>
  <c r="BD18" i="14"/>
  <c r="BC19" i="14" a="1"/>
  <c r="BC19" i="14"/>
  <c r="BD19" i="14"/>
  <c r="BC20" i="14" a="1"/>
  <c r="BC20" i="14"/>
  <c r="BD20" i="14"/>
  <c r="BC21" i="14" a="1"/>
  <c r="BC21" i="14"/>
  <c r="BD21" i="14"/>
  <c r="BC22" i="14" a="1"/>
  <c r="BC22" i="14"/>
  <c r="BD22" i="14"/>
  <c r="BC23" i="14" a="1"/>
  <c r="BC23" i="14"/>
  <c r="BD23" i="14"/>
  <c r="BC24" i="14" a="1"/>
  <c r="BC24" i="14"/>
  <c r="BD24" i="14"/>
  <c r="BC25" i="14" a="1"/>
  <c r="BC25" i="14"/>
  <c r="BD25" i="14"/>
  <c r="BC26" i="14" a="1"/>
  <c r="BC26" i="14"/>
  <c r="BD26" i="14"/>
  <c r="BC27" i="14" a="1"/>
  <c r="BC27" i="14"/>
  <c r="BD27" i="14"/>
  <c r="BC28" i="14" a="1"/>
  <c r="BC28" i="14"/>
  <c r="BD28" i="14"/>
  <c r="BC29" i="14" a="1"/>
  <c r="BC29" i="14"/>
  <c r="BD29" i="14"/>
  <c r="BC30" i="14" a="1"/>
  <c r="BC30" i="14"/>
  <c r="BD30" i="14"/>
  <c r="BC31" i="14" a="1"/>
  <c r="BC31" i="14"/>
  <c r="BD31" i="14"/>
  <c r="BC32" i="14" a="1"/>
  <c r="BC32" i="14"/>
  <c r="BD32" i="14"/>
  <c r="BC33" i="14" a="1"/>
  <c r="BC33" i="14"/>
  <c r="BD33" i="14"/>
  <c r="BC34" i="14" a="1"/>
  <c r="BC34" i="14"/>
  <c r="BD34" i="14"/>
  <c r="BC35" i="14" a="1"/>
  <c r="BC35" i="14"/>
  <c r="BD35" i="14"/>
  <c r="BC36" i="14" a="1"/>
  <c r="BC36" i="14"/>
  <c r="BD36" i="14"/>
  <c r="BC37" i="14" a="1"/>
  <c r="BC37" i="14"/>
  <c r="BD37" i="14"/>
  <c r="BC38" i="14" a="1"/>
  <c r="BC38" i="14"/>
  <c r="BD38" i="14"/>
  <c r="BC39" i="14" a="1"/>
  <c r="BC39" i="14"/>
  <c r="BD39" i="14"/>
  <c r="BC40" i="14" a="1"/>
  <c r="BC40" i="14"/>
  <c r="BD40" i="14"/>
  <c r="BC41" i="14" a="1"/>
  <c r="BC41" i="14"/>
  <c r="BD41" i="14"/>
  <c r="BC42" i="14" a="1"/>
  <c r="BC42" i="14"/>
  <c r="BD42" i="14"/>
  <c r="BD6" i="14"/>
  <c r="AS5" i="14"/>
  <c r="AS6" i="14"/>
  <c r="AS7" i="14"/>
  <c r="AS8" i="14"/>
  <c r="AS9" i="14"/>
  <c r="AS10" i="14"/>
  <c r="AS11" i="14"/>
  <c r="AS12" i="14"/>
  <c r="AS13" i="14"/>
  <c r="AS14" i="14"/>
  <c r="AS15" i="14"/>
  <c r="AS16" i="14"/>
  <c r="AS17" i="14"/>
  <c r="AS18" i="14"/>
  <c r="AS19" i="14"/>
  <c r="AS20" i="14"/>
  <c r="AS21" i="14"/>
  <c r="AS22" i="14"/>
  <c r="AS23" i="14"/>
  <c r="AS24" i="14"/>
  <c r="AS25" i="14"/>
  <c r="AS26" i="14"/>
  <c r="AS27" i="14"/>
  <c r="AS28" i="14"/>
  <c r="AS29" i="14"/>
  <c r="AS30" i="14"/>
  <c r="AS31" i="14"/>
  <c r="AS32" i="14"/>
  <c r="AS33" i="14"/>
  <c r="AS34" i="14"/>
  <c r="AS35" i="14"/>
  <c r="AS36" i="14"/>
  <c r="AS37" i="14"/>
  <c r="AS38" i="14"/>
  <c r="AS39" i="14"/>
  <c r="AS40" i="14"/>
  <c r="AS41" i="14"/>
  <c r="AS42" i="14"/>
  <c r="AS43" i="14"/>
  <c r="AS44" i="14"/>
  <c r="AS45" i="14"/>
  <c r="AT7" i="14" a="1"/>
  <c r="AT7" i="14"/>
  <c r="AU7" i="14"/>
  <c r="AT8" i="14" a="1"/>
  <c r="AT8" i="14"/>
  <c r="AU8" i="14"/>
  <c r="AT9" i="14" a="1"/>
  <c r="AT9" i="14"/>
  <c r="AU9" i="14"/>
  <c r="AT10" i="14" a="1"/>
  <c r="AT10" i="14"/>
  <c r="AU10" i="14"/>
  <c r="AU6" i="14"/>
  <c r="O5" i="14" a="1"/>
  <c r="O5" i="14"/>
  <c r="S5" i="14" a="1"/>
  <c r="S5" i="14"/>
  <c r="T5" i="14"/>
  <c r="AI5" i="14"/>
  <c r="AJ5" i="14" a="1"/>
  <c r="AJ5" i="14"/>
  <c r="AK5" i="14"/>
  <c r="AP9" i="14"/>
  <c r="AQ9" i="14"/>
  <c r="AR9" i="14"/>
  <c r="AR8" i="14"/>
  <c r="AR7" i="14"/>
  <c r="AR6" i="14"/>
  <c r="B6" i="17"/>
  <c r="AL5" i="14" a="1"/>
  <c r="AL5" i="14"/>
  <c r="AM5" i="14"/>
  <c r="AV5" i="14"/>
  <c r="AV6" i="14"/>
  <c r="AV7" i="14"/>
  <c r="AV8" i="14"/>
  <c r="AV9" i="14"/>
  <c r="AV10" i="14"/>
  <c r="AV11" i="14"/>
  <c r="AV12" i="14"/>
  <c r="AV13" i="14"/>
  <c r="AV14" i="14"/>
  <c r="AV15" i="14"/>
  <c r="AV16" i="14"/>
  <c r="AV17" i="14"/>
  <c r="AV18" i="14"/>
  <c r="AV19" i="14"/>
  <c r="AV20" i="14"/>
  <c r="AV21" i="14"/>
  <c r="AV22" i="14"/>
  <c r="AV23" i="14"/>
  <c r="AV24" i="14"/>
  <c r="AV25" i="14"/>
  <c r="AV26" i="14"/>
  <c r="AV27" i="14"/>
  <c r="AV28" i="14"/>
  <c r="AV29" i="14"/>
  <c r="AV30" i="14"/>
  <c r="AV31" i="14"/>
  <c r="AV32" i="14"/>
  <c r="AV33" i="14"/>
  <c r="AV34" i="14"/>
  <c r="AV35" i="14"/>
  <c r="AV36" i="14"/>
  <c r="AV37" i="14"/>
  <c r="AV38" i="14"/>
  <c r="AV39" i="14"/>
  <c r="AV40" i="14"/>
  <c r="AV41" i="14"/>
  <c r="AV42" i="14"/>
  <c r="AV43" i="14"/>
  <c r="AW7" i="14" a="1"/>
  <c r="AW7" i="14"/>
  <c r="AX7" i="14"/>
  <c r="AW8" i="14" a="1"/>
  <c r="AW8" i="14"/>
  <c r="AX8" i="14"/>
  <c r="AW9" i="14" a="1"/>
  <c r="AW9" i="14"/>
  <c r="AX9" i="14"/>
  <c r="AW10" i="14" a="1"/>
  <c r="AW10" i="14"/>
  <c r="AX10" i="14"/>
  <c r="AW11" i="14" a="1"/>
  <c r="AW11" i="14"/>
  <c r="AX11" i="14"/>
  <c r="AW12" i="14" a="1"/>
  <c r="AW12" i="14"/>
  <c r="AX12" i="14"/>
  <c r="AW13" i="14" a="1"/>
  <c r="AW13" i="14"/>
  <c r="AX13" i="14"/>
  <c r="AW14" i="14" a="1"/>
  <c r="AW14" i="14"/>
  <c r="AX14" i="14"/>
  <c r="AW15" i="14" a="1"/>
  <c r="AW15" i="14"/>
  <c r="AX15" i="14"/>
  <c r="AW16" i="14" a="1"/>
  <c r="AW16" i="14"/>
  <c r="AX16" i="14"/>
  <c r="AW17" i="14" a="1"/>
  <c r="AW17" i="14"/>
  <c r="AX17" i="14"/>
  <c r="AW18" i="14" a="1"/>
  <c r="AW18" i="14"/>
  <c r="AX18" i="14"/>
  <c r="AW19" i="14" a="1"/>
  <c r="AW19" i="14"/>
  <c r="AX19" i="14"/>
  <c r="AW20" i="14" a="1"/>
  <c r="AW20" i="14"/>
  <c r="AX20" i="14"/>
  <c r="AW21" i="14" a="1"/>
  <c r="AW21" i="14"/>
  <c r="AX21" i="14"/>
  <c r="AW22" i="14" a="1"/>
  <c r="AW22" i="14"/>
  <c r="AX22" i="14"/>
  <c r="AW23" i="14" a="1"/>
  <c r="AW23" i="14"/>
  <c r="AX23" i="14"/>
  <c r="AW24" i="14" a="1"/>
  <c r="AW24" i="14"/>
  <c r="AX24" i="14"/>
  <c r="AW25" i="14" a="1"/>
  <c r="AW25" i="14"/>
  <c r="AX25" i="14"/>
  <c r="AW26" i="14" a="1"/>
  <c r="AW26" i="14"/>
  <c r="AX26" i="14"/>
  <c r="AW27" i="14" a="1"/>
  <c r="AW27" i="14"/>
  <c r="AX27" i="14"/>
  <c r="AW28" i="14" a="1"/>
  <c r="AW28" i="14"/>
  <c r="AX28" i="14"/>
  <c r="AW29" i="14" a="1"/>
  <c r="AW29" i="14"/>
  <c r="AX29" i="14"/>
  <c r="AW30" i="14" a="1"/>
  <c r="AW30" i="14"/>
  <c r="AX30" i="14"/>
  <c r="AW31" i="14" a="1"/>
  <c r="AW31" i="14"/>
  <c r="AX31" i="14"/>
  <c r="AW32" i="14" a="1"/>
  <c r="AW32" i="14"/>
  <c r="AX32" i="14"/>
  <c r="AW33" i="14" a="1"/>
  <c r="AW33" i="14"/>
  <c r="AX33" i="14"/>
  <c r="AW34" i="14" a="1"/>
  <c r="AW34" i="14"/>
  <c r="AX34" i="14"/>
  <c r="AW35" i="14" a="1"/>
  <c r="AW35" i="14"/>
  <c r="AX35" i="14"/>
  <c r="AW36" i="14" a="1"/>
  <c r="AW36" i="14"/>
  <c r="AX36" i="14"/>
  <c r="AW37" i="14" a="1"/>
  <c r="AW37" i="14"/>
  <c r="AX37" i="14"/>
  <c r="AW38" i="14" a="1"/>
  <c r="AW38" i="14"/>
  <c r="AX38" i="14"/>
  <c r="AW39" i="14" a="1"/>
  <c r="AW39" i="14"/>
  <c r="AX39" i="14"/>
  <c r="AW40" i="14" a="1"/>
  <c r="AW40" i="14"/>
  <c r="AX40" i="14"/>
  <c r="AW41" i="14" a="1"/>
  <c r="AW41" i="14"/>
  <c r="AX41" i="14"/>
  <c r="AW42" i="14" a="1"/>
  <c r="AW42" i="14"/>
  <c r="AX42" i="14"/>
  <c r="AX6" i="14"/>
  <c r="AY5" i="14"/>
  <c r="AY6" i="14"/>
  <c r="AY7" i="14"/>
  <c r="AY8" i="14"/>
  <c r="AY9" i="14"/>
  <c r="AY10" i="14"/>
  <c r="AY11" i="14"/>
  <c r="AY12" i="14"/>
  <c r="AY13" i="14"/>
  <c r="AY14" i="14"/>
  <c r="AY15" i="14"/>
  <c r="AY16" i="14"/>
  <c r="AY17" i="14"/>
  <c r="AY18" i="14"/>
  <c r="AY19" i="14"/>
  <c r="AY20" i="14"/>
  <c r="AY21" i="14"/>
  <c r="AY22" i="14"/>
  <c r="AY23" i="14"/>
  <c r="AY24" i="14"/>
  <c r="AY25" i="14"/>
  <c r="AY26" i="14"/>
  <c r="AY27" i="14"/>
  <c r="AY28" i="14"/>
  <c r="AY29" i="14"/>
  <c r="AY30" i="14"/>
  <c r="AY31" i="14"/>
  <c r="AY32" i="14"/>
  <c r="AY33" i="14"/>
  <c r="AY34" i="14"/>
  <c r="AY35" i="14"/>
  <c r="AY36" i="14"/>
  <c r="AY37" i="14"/>
  <c r="AY38" i="14"/>
  <c r="AY39" i="14"/>
  <c r="AY40" i="14"/>
  <c r="AY41" i="14"/>
  <c r="AY42" i="14"/>
  <c r="AY43" i="14"/>
  <c r="AZ7" i="14" a="1"/>
  <c r="AZ7" i="14"/>
  <c r="BA7" i="14"/>
  <c r="AZ8" i="14" a="1"/>
  <c r="AZ8" i="14"/>
  <c r="BA8" i="14"/>
  <c r="AZ9" i="14" a="1"/>
  <c r="AZ9" i="14"/>
  <c r="BA9" i="14"/>
  <c r="AZ10" i="14" a="1"/>
  <c r="AZ10" i="14"/>
  <c r="BA10" i="14"/>
  <c r="AZ11" i="14" a="1"/>
  <c r="AZ11" i="14"/>
  <c r="BA11" i="14"/>
  <c r="AZ12" i="14" a="1"/>
  <c r="AZ12" i="14"/>
  <c r="BA12" i="14"/>
  <c r="AZ13" i="14" a="1"/>
  <c r="AZ13" i="14"/>
  <c r="BA13" i="14"/>
  <c r="AZ14" i="14" a="1"/>
  <c r="AZ14" i="14"/>
  <c r="BA14" i="14"/>
  <c r="AZ15" i="14" a="1"/>
  <c r="AZ15" i="14"/>
  <c r="BA15" i="14"/>
  <c r="AZ16" i="14" a="1"/>
  <c r="AZ16" i="14"/>
  <c r="BA16" i="14"/>
  <c r="AZ17" i="14" a="1"/>
  <c r="AZ17" i="14"/>
  <c r="BA17" i="14"/>
  <c r="AZ18" i="14" a="1"/>
  <c r="AZ18" i="14"/>
  <c r="BA18" i="14"/>
  <c r="AZ19" i="14" a="1"/>
  <c r="AZ19" i="14"/>
  <c r="BA19" i="14"/>
  <c r="AZ20" i="14" a="1"/>
  <c r="AZ20" i="14"/>
  <c r="BA20" i="14"/>
  <c r="AZ21" i="14" a="1"/>
  <c r="AZ21" i="14"/>
  <c r="BA21" i="14"/>
  <c r="AZ22" i="14" a="1"/>
  <c r="AZ22" i="14"/>
  <c r="BA22" i="14"/>
  <c r="AZ23" i="14" a="1"/>
  <c r="AZ23" i="14"/>
  <c r="BA23" i="14"/>
  <c r="AZ24" i="14" a="1"/>
  <c r="AZ24" i="14"/>
  <c r="BA24" i="14"/>
  <c r="AZ25" i="14" a="1"/>
  <c r="AZ25" i="14"/>
  <c r="BA25" i="14"/>
  <c r="AZ26" i="14" a="1"/>
  <c r="AZ26" i="14"/>
  <c r="BA26" i="14"/>
  <c r="AZ27" i="14" a="1"/>
  <c r="AZ27" i="14"/>
  <c r="BA27" i="14"/>
  <c r="AZ28" i="14" a="1"/>
  <c r="AZ28" i="14"/>
  <c r="BA28" i="14"/>
  <c r="AZ29" i="14" a="1"/>
  <c r="AZ29" i="14"/>
  <c r="BA29" i="14"/>
  <c r="AZ30" i="14" a="1"/>
  <c r="AZ30" i="14"/>
  <c r="BA30" i="14"/>
  <c r="AZ31" i="14" a="1"/>
  <c r="AZ31" i="14"/>
  <c r="BA31" i="14"/>
  <c r="AZ32" i="14" a="1"/>
  <c r="AZ32" i="14"/>
  <c r="BA32" i="14"/>
  <c r="AZ33" i="14" a="1"/>
  <c r="AZ33" i="14"/>
  <c r="BA33" i="14"/>
  <c r="AZ34" i="14" a="1"/>
  <c r="AZ34" i="14"/>
  <c r="BA34" i="14"/>
  <c r="AZ35" i="14" a="1"/>
  <c r="AZ35" i="14"/>
  <c r="BA35" i="14"/>
  <c r="AZ36" i="14" a="1"/>
  <c r="AZ36" i="14"/>
  <c r="BA36" i="14"/>
  <c r="AZ37" i="14" a="1"/>
  <c r="AZ37" i="14"/>
  <c r="BA37" i="14"/>
  <c r="AZ38" i="14" a="1"/>
  <c r="AZ38" i="14"/>
  <c r="BA38" i="14"/>
  <c r="AZ39" i="14" a="1"/>
  <c r="AZ39" i="14"/>
  <c r="BA39" i="14"/>
  <c r="AZ40" i="14" a="1"/>
  <c r="AZ40" i="14"/>
  <c r="BA40" i="14"/>
  <c r="AZ41" i="14" a="1"/>
  <c r="AZ41" i="14"/>
  <c r="BA41" i="14"/>
  <c r="AZ42" i="14" a="1"/>
  <c r="AZ42" i="14"/>
  <c r="BA42" i="14"/>
  <c r="BA6" i="14"/>
  <c r="S6" i="14" a="1"/>
  <c r="S6" i="14"/>
  <c r="T6" i="14"/>
  <c r="S7" i="14" a="1"/>
  <c r="S7" i="14"/>
  <c r="T7" i="14"/>
  <c r="AJ6" i="14" a="1"/>
  <c r="AJ6" i="14"/>
  <c r="AK6" i="14"/>
  <c r="AL6" i="14" a="1"/>
  <c r="AL6" i="14"/>
  <c r="AM6" i="14"/>
  <c r="AL7" i="14" a="1"/>
  <c r="AL7" i="14"/>
  <c r="AM7" i="14"/>
  <c r="AL8" i="14" a="1"/>
  <c r="AL8" i="14"/>
  <c r="AM8" i="14"/>
  <c r="AL9" i="14" a="1"/>
  <c r="AL9" i="14"/>
  <c r="AM9" i="14"/>
  <c r="AL10" i="14" a="1"/>
  <c r="AL10" i="14"/>
  <c r="AM10" i="14"/>
  <c r="AL11" i="14" a="1"/>
  <c r="AL11" i="14"/>
  <c r="AM11" i="14"/>
  <c r="AL12" i="14" a="1"/>
  <c r="AL12" i="14"/>
  <c r="AM12" i="14"/>
  <c r="AL13" i="14" a="1"/>
  <c r="AL13" i="14"/>
  <c r="AM13" i="14"/>
  <c r="AL14" i="14" a="1"/>
  <c r="AL14" i="14"/>
  <c r="AM14" i="14"/>
  <c r="AL15" i="14" a="1"/>
  <c r="AL15" i="14"/>
  <c r="AM15" i="14"/>
  <c r="AL16" i="14" a="1"/>
  <c r="AL16" i="14"/>
  <c r="AM16" i="14"/>
  <c r="AL17" i="14" a="1"/>
  <c r="AL17" i="14"/>
  <c r="AM17" i="14"/>
  <c r="AL18" i="14" a="1"/>
  <c r="AL18" i="14"/>
  <c r="AM18" i="14"/>
  <c r="AL19" i="14" a="1"/>
  <c r="AL19" i="14"/>
  <c r="AM19" i="14"/>
  <c r="AL20" i="14" a="1"/>
  <c r="AL20" i="14"/>
  <c r="AM20" i="14"/>
  <c r="AL21" i="14" a="1"/>
  <c r="AL21" i="14"/>
  <c r="AM21" i="14"/>
  <c r="AL22" i="14" a="1"/>
  <c r="AL22" i="14"/>
  <c r="AM22" i="14"/>
  <c r="AL23" i="14" a="1"/>
  <c r="AL23" i="14"/>
  <c r="AM23" i="14"/>
  <c r="AL24" i="14" a="1"/>
  <c r="AL24" i="14"/>
  <c r="AM24" i="14"/>
  <c r="AL25" i="14" a="1"/>
  <c r="AL25" i="14"/>
  <c r="AM25" i="14"/>
  <c r="AL26" i="14" a="1"/>
  <c r="AL26" i="14"/>
  <c r="AM26" i="14"/>
  <c r="AL27" i="14" a="1"/>
  <c r="AL27" i="14"/>
  <c r="AM27" i="14"/>
  <c r="AL28" i="14" a="1"/>
  <c r="AL28" i="14"/>
  <c r="AM28" i="14"/>
  <c r="AL29" i="14" a="1"/>
  <c r="AL29" i="14"/>
  <c r="AM29" i="14"/>
  <c r="AL30" i="14" a="1"/>
  <c r="AL30" i="14"/>
  <c r="AM30" i="14"/>
  <c r="AL31" i="14" a="1"/>
  <c r="AL31" i="14"/>
  <c r="AM31" i="14"/>
  <c r="AL32" i="14" a="1"/>
  <c r="AL32" i="14"/>
  <c r="AM32" i="14"/>
  <c r="AL33" i="14" a="1"/>
  <c r="AL33" i="14"/>
  <c r="AM33" i="14"/>
  <c r="AL34" i="14" a="1"/>
  <c r="AL34" i="14"/>
  <c r="AM34" i="14"/>
  <c r="AL35" i="14" a="1"/>
  <c r="AL35" i="14"/>
  <c r="AM35" i="14"/>
  <c r="AL36" i="14" a="1"/>
  <c r="AL36" i="14"/>
  <c r="AM36" i="14"/>
  <c r="AL37" i="14" a="1"/>
  <c r="AL37" i="14"/>
  <c r="AM37" i="14"/>
  <c r="AL38" i="14" a="1"/>
  <c r="AL38" i="14"/>
  <c r="AM38" i="14"/>
  <c r="AL39" i="14" a="1"/>
  <c r="AL39" i="14"/>
  <c r="AM39" i="14"/>
  <c r="AL40" i="14" a="1"/>
  <c r="AL40" i="14"/>
  <c r="AM40" i="14"/>
  <c r="AL41" i="14" a="1"/>
  <c r="AL41" i="14"/>
  <c r="AM41" i="14"/>
  <c r="AL42" i="14" a="1"/>
  <c r="AL42" i="14"/>
  <c r="AM42" i="14"/>
  <c r="AJ7" i="14" a="1"/>
  <c r="AJ7" i="14"/>
  <c r="AK7" i="14"/>
  <c r="AJ8" i="14" a="1"/>
  <c r="AJ8" i="14"/>
  <c r="AK8" i="14"/>
  <c r="AJ9" i="14" a="1"/>
  <c r="AJ9" i="14"/>
  <c r="AK9" i="14"/>
  <c r="AJ10" i="14" a="1"/>
  <c r="AJ10" i="14"/>
  <c r="AK10" i="14"/>
  <c r="AJ11" i="14" a="1"/>
  <c r="AJ11" i="14"/>
  <c r="AK11" i="14"/>
  <c r="AJ12" i="14" a="1"/>
  <c r="AJ12" i="14"/>
  <c r="AK12" i="14"/>
  <c r="AJ13" i="14" a="1"/>
  <c r="AJ13" i="14"/>
  <c r="AK13" i="14"/>
  <c r="AJ14" i="14" a="1"/>
  <c r="AJ14" i="14"/>
  <c r="AK14" i="14"/>
  <c r="AJ15" i="14" a="1"/>
  <c r="AJ15" i="14"/>
  <c r="AK15" i="14"/>
  <c r="AJ16" i="14" a="1"/>
  <c r="AJ16" i="14"/>
  <c r="AK16" i="14"/>
  <c r="AJ17" i="14" a="1"/>
  <c r="AJ17" i="14"/>
  <c r="AK17" i="14"/>
  <c r="AJ18" i="14" a="1"/>
  <c r="AJ18" i="14"/>
  <c r="AK18" i="14"/>
  <c r="AJ19" i="14" a="1"/>
  <c r="AJ19" i="14"/>
  <c r="AK19" i="14"/>
  <c r="AJ20" i="14" a="1"/>
  <c r="AJ20" i="14"/>
  <c r="AK20" i="14"/>
  <c r="AJ21" i="14" a="1"/>
  <c r="AJ21" i="14"/>
  <c r="AK21" i="14"/>
  <c r="AJ22" i="14" a="1"/>
  <c r="AJ22" i="14"/>
  <c r="AK22" i="14"/>
  <c r="AJ23" i="14" a="1"/>
  <c r="AJ23" i="14"/>
  <c r="AK23" i="14"/>
  <c r="AJ24" i="14" a="1"/>
  <c r="AJ24" i="14"/>
  <c r="AK24" i="14"/>
  <c r="AJ25" i="14" a="1"/>
  <c r="AJ25" i="14"/>
  <c r="AK25" i="14"/>
  <c r="AJ26" i="14" a="1"/>
  <c r="AJ26" i="14"/>
  <c r="AK26" i="14"/>
  <c r="AJ27" i="14" a="1"/>
  <c r="AJ27" i="14"/>
  <c r="AK27" i="14"/>
  <c r="AJ28" i="14" a="1"/>
  <c r="AJ28" i="14"/>
  <c r="AK28" i="14"/>
  <c r="AJ29" i="14" a="1"/>
  <c r="AJ29" i="14"/>
  <c r="AK29" i="14"/>
  <c r="AJ30" i="14" a="1"/>
  <c r="AJ30" i="14"/>
  <c r="AK30" i="14"/>
  <c r="AJ31" i="14" a="1"/>
  <c r="AJ31" i="14"/>
  <c r="AK31" i="14"/>
  <c r="AJ32" i="14" a="1"/>
  <c r="AJ32" i="14"/>
  <c r="AK32" i="14"/>
  <c r="AJ33" i="14" a="1"/>
  <c r="AJ33" i="14"/>
  <c r="AK33" i="14"/>
  <c r="AJ34" i="14" a="1"/>
  <c r="AJ34" i="14"/>
  <c r="AK34" i="14"/>
  <c r="AJ35" i="14" a="1"/>
  <c r="AJ35" i="14"/>
  <c r="AK35" i="14"/>
  <c r="AJ36" i="14" a="1"/>
  <c r="AJ36" i="14"/>
  <c r="AK36" i="14"/>
  <c r="AJ37" i="14" a="1"/>
  <c r="AJ37" i="14"/>
  <c r="AK37" i="14"/>
  <c r="AJ38" i="14" a="1"/>
  <c r="AJ38" i="14"/>
  <c r="AK38" i="14"/>
  <c r="AJ39" i="14" a="1"/>
  <c r="AJ39" i="14"/>
  <c r="AK39" i="14"/>
  <c r="AJ40" i="14" a="1"/>
  <c r="AJ40" i="14"/>
  <c r="AK40" i="14"/>
  <c r="AJ41" i="14" a="1"/>
  <c r="AJ41" i="14"/>
  <c r="AK41" i="14"/>
  <c r="AJ42" i="14" a="1"/>
  <c r="AJ42" i="14"/>
  <c r="AK42" i="14"/>
  <c r="O6" i="14" a="1"/>
  <c r="O6" i="14"/>
  <c r="O7" i="14" a="1"/>
  <c r="O7" i="14"/>
  <c r="O8" i="14" a="1"/>
  <c r="O8" i="14"/>
  <c r="AT11" i="14" a="1"/>
  <c r="AT11" i="14"/>
  <c r="AT12" i="14" a="1"/>
  <c r="AT12" i="14"/>
  <c r="AT13" i="14" a="1"/>
  <c r="AT13" i="14"/>
  <c r="AT14" i="14" a="1"/>
  <c r="AT14" i="14"/>
  <c r="AT15" i="14" a="1"/>
  <c r="AT15" i="14"/>
  <c r="AT16" i="14" a="1"/>
  <c r="AT16" i="14"/>
  <c r="AT17" i="14" a="1"/>
  <c r="AT17" i="14"/>
  <c r="AT18" i="14" a="1"/>
  <c r="AT18" i="14"/>
  <c r="AT19" i="14" a="1"/>
  <c r="AT19" i="14"/>
  <c r="AT20" i="14" a="1"/>
  <c r="AT20" i="14"/>
  <c r="AT21" i="14" a="1"/>
  <c r="AT21" i="14"/>
  <c r="AT22" i="14" a="1"/>
  <c r="AT22" i="14"/>
  <c r="AT23" i="14" a="1"/>
  <c r="AT23" i="14"/>
  <c r="AT24" i="14" a="1"/>
  <c r="AT24" i="14"/>
  <c r="AT25" i="14" a="1"/>
  <c r="AT25" i="14"/>
  <c r="AT26" i="14" a="1"/>
  <c r="AT26" i="14"/>
  <c r="AT27" i="14" a="1"/>
  <c r="AT27" i="14"/>
  <c r="AT28" i="14" a="1"/>
  <c r="AT28" i="14"/>
  <c r="AT29" i="14" a="1"/>
  <c r="AT29" i="14"/>
  <c r="AT30" i="14" a="1"/>
  <c r="AT30" i="14"/>
  <c r="AT31" i="14" a="1"/>
  <c r="AT31" i="14"/>
  <c r="AT32" i="14" a="1"/>
  <c r="AT32" i="14"/>
  <c r="AT33" i="14" a="1"/>
  <c r="AT33" i="14"/>
  <c r="AT34" i="14" a="1"/>
  <c r="AT34" i="14"/>
  <c r="AT35" i="14" a="1"/>
  <c r="AT35" i="14"/>
  <c r="AT36" i="14" a="1"/>
  <c r="AT36" i="14"/>
  <c r="AT37" i="14" a="1"/>
  <c r="AT37" i="14"/>
  <c r="AT38" i="14" a="1"/>
  <c r="AT38" i="14"/>
  <c r="AT39" i="14" a="1"/>
  <c r="AT39" i="14"/>
  <c r="AT40" i="14" a="1"/>
  <c r="AT40" i="14"/>
  <c r="AT41" i="14" a="1"/>
  <c r="AT41" i="14"/>
  <c r="AT42" i="14" a="1"/>
  <c r="AT42" i="14"/>
  <c r="S8" i="14" a="1"/>
  <c r="S8" i="14"/>
  <c r="T8" i="14"/>
  <c r="S9" i="14" a="1"/>
  <c r="S9" i="14"/>
  <c r="T9" i="14"/>
  <c r="S10" i="14" a="1"/>
  <c r="S10" i="14"/>
  <c r="T10" i="14"/>
  <c r="S11" i="14" a="1"/>
  <c r="S11" i="14"/>
  <c r="T11" i="14"/>
  <c r="S12" i="14" a="1"/>
  <c r="S12" i="14"/>
  <c r="T12" i="14"/>
  <c r="S13" i="14" a="1"/>
  <c r="S13" i="14"/>
  <c r="T13" i="14"/>
  <c r="S14" i="14" a="1"/>
  <c r="S14" i="14"/>
  <c r="T14" i="14"/>
  <c r="S15" i="14" a="1"/>
  <c r="S15" i="14"/>
  <c r="T15" i="14"/>
  <c r="S16" i="14" a="1"/>
  <c r="S16" i="14"/>
  <c r="T16" i="14"/>
  <c r="S17" i="14" a="1"/>
  <c r="S17" i="14"/>
  <c r="T17" i="14"/>
  <c r="S18" i="14" a="1"/>
  <c r="S18" i="14"/>
  <c r="T18" i="14"/>
  <c r="S19" i="14" a="1"/>
  <c r="S19" i="14"/>
  <c r="T19" i="14"/>
  <c r="S20" i="14" a="1"/>
  <c r="S20" i="14"/>
  <c r="T20" i="14"/>
  <c r="S21" i="14" a="1"/>
  <c r="S21" i="14"/>
  <c r="T21" i="14"/>
  <c r="S22" i="14" a="1"/>
  <c r="S22" i="14"/>
  <c r="T22" i="14"/>
  <c r="S23" i="14" a="1"/>
  <c r="S23" i="14"/>
  <c r="T23" i="14"/>
  <c r="S24" i="14" a="1"/>
  <c r="S24" i="14"/>
  <c r="T24" i="14"/>
  <c r="S25" i="14" a="1"/>
  <c r="S25" i="14"/>
  <c r="T25" i="14"/>
  <c r="S26" i="14" a="1"/>
  <c r="S26" i="14"/>
  <c r="T26" i="14"/>
  <c r="S27" i="14" a="1"/>
  <c r="S27" i="14"/>
  <c r="T27" i="14"/>
  <c r="S28" i="14" a="1"/>
  <c r="S28" i="14"/>
  <c r="T28" i="14"/>
  <c r="S29" i="14" a="1"/>
  <c r="S29" i="14"/>
  <c r="T29" i="14"/>
  <c r="S30" i="14" a="1"/>
  <c r="S30" i="14"/>
  <c r="T30" i="14"/>
  <c r="S31" i="14" a="1"/>
  <c r="S31" i="14"/>
  <c r="T31" i="14"/>
  <c r="S32" i="14" a="1"/>
  <c r="S32" i="14"/>
  <c r="T32" i="14"/>
  <c r="S33" i="14" a="1"/>
  <c r="S33" i="14"/>
  <c r="T33" i="14"/>
  <c r="S34" i="14" a="1"/>
  <c r="S34" i="14"/>
  <c r="T34" i="14"/>
  <c r="S35" i="14" a="1"/>
  <c r="S35" i="14"/>
  <c r="T35" i="14"/>
  <c r="S36" i="14" a="1"/>
  <c r="S36" i="14"/>
  <c r="T36" i="14"/>
  <c r="S37" i="14" a="1"/>
  <c r="S37" i="14"/>
  <c r="T37" i="14"/>
  <c r="S38" i="14" a="1"/>
  <c r="S38" i="14"/>
  <c r="T38" i="14"/>
  <c r="S39" i="14" a="1"/>
  <c r="S39" i="14"/>
  <c r="T39" i="14"/>
  <c r="S40" i="14" a="1"/>
  <c r="S40" i="14"/>
  <c r="T40" i="14"/>
  <c r="S41" i="14" a="1"/>
  <c r="S41" i="14"/>
  <c r="T41" i="14"/>
  <c r="S42" i="14" a="1"/>
  <c r="S42" i="14"/>
  <c r="T42" i="14"/>
  <c r="S43" i="14" a="1"/>
  <c r="S43" i="14"/>
  <c r="T43" i="14"/>
  <c r="AL43" i="14" a="1"/>
  <c r="AL43" i="14"/>
  <c r="AM43" i="14"/>
  <c r="AJ43" i="14" a="1"/>
  <c r="AJ43" i="14"/>
  <c r="AK43" i="14"/>
  <c r="AT43" i="14" a="1"/>
  <c r="AT43" i="14"/>
  <c r="BC43" i="14" a="1"/>
  <c r="BC43" i="14"/>
  <c r="BD43" i="14"/>
  <c r="AZ43" i="14" a="1"/>
  <c r="AZ43" i="14"/>
  <c r="BA43" i="14"/>
  <c r="AW44" i="14" a="1"/>
  <c r="AW44" i="14"/>
  <c r="AX44" i="14"/>
  <c r="AW43" i="14" a="1"/>
  <c r="AW43" i="14"/>
  <c r="AX43" i="14"/>
  <c r="BF43" i="14" a="1"/>
  <c r="BF43" i="14"/>
  <c r="BG43" i="14"/>
  <c r="BF44" i="14" a="1"/>
  <c r="BF44" i="14"/>
  <c r="BG44" i="14"/>
  <c r="BF45" i="14" a="1"/>
  <c r="BF45" i="14"/>
  <c r="BG45" i="14"/>
  <c r="BF46" i="14" a="1"/>
  <c r="BF46" i="14"/>
  <c r="BG46" i="14"/>
  <c r="BF47" i="14" a="1"/>
  <c r="BF47" i="14"/>
  <c r="BG47" i="14"/>
  <c r="BF48" i="14" a="1"/>
  <c r="BF48" i="14"/>
  <c r="BG48" i="14"/>
  <c r="AW45" i="14" a="1"/>
  <c r="AW45" i="14"/>
  <c r="AX45" i="14"/>
  <c r="AW46" i="14" a="1"/>
  <c r="AW46" i="14"/>
  <c r="AX46" i="14"/>
  <c r="AW47" i="14" a="1"/>
  <c r="AW47" i="14"/>
  <c r="AX47" i="14"/>
  <c r="AW48" i="14" a="1"/>
  <c r="AW48" i="14"/>
  <c r="AX48" i="14"/>
  <c r="AW49" i="14" a="1"/>
  <c r="AW49" i="14"/>
  <c r="AX49" i="14"/>
  <c r="AZ44" i="14" a="1"/>
  <c r="AZ44" i="14"/>
  <c r="BA44" i="14"/>
  <c r="AZ45" i="14" a="1"/>
  <c r="AZ45" i="14"/>
  <c r="BA45" i="14"/>
  <c r="AZ46" i="14" a="1"/>
  <c r="AZ46" i="14"/>
  <c r="BA46" i="14"/>
  <c r="AZ47" i="14" a="1"/>
  <c r="AZ47" i="14"/>
  <c r="BA47" i="14"/>
  <c r="AZ48" i="14" a="1"/>
  <c r="AZ48" i="14"/>
  <c r="BA48" i="14"/>
  <c r="AZ49" i="14" a="1"/>
  <c r="AZ49" i="14"/>
  <c r="BA49" i="14"/>
  <c r="BC44" i="14" a="1"/>
  <c r="BC44" i="14"/>
  <c r="BD44" i="14"/>
  <c r="BC45" i="14" a="1"/>
  <c r="BC45" i="14"/>
  <c r="BD45" i="14"/>
  <c r="BC46" i="14" a="1"/>
  <c r="BC46" i="14"/>
  <c r="BD46" i="14"/>
  <c r="BC47" i="14" a="1"/>
  <c r="BC47" i="14"/>
  <c r="BD47" i="14"/>
  <c r="BC48" i="14" a="1"/>
  <c r="BC48" i="14"/>
  <c r="BD48" i="14"/>
  <c r="BC49" i="14" a="1"/>
  <c r="BC49" i="14"/>
  <c r="BD49" i="14"/>
  <c r="AT44" i="14" a="1"/>
  <c r="AT44" i="14"/>
  <c r="AT45" i="14" a="1"/>
  <c r="AT45" i="14"/>
  <c r="AT46" i="14" a="1"/>
  <c r="AT46" i="14"/>
  <c r="AT47" i="14" a="1"/>
  <c r="AT47" i="14"/>
  <c r="AT48" i="14" a="1"/>
  <c r="AT48" i="14"/>
  <c r="AT49" i="14" a="1"/>
  <c r="AT49" i="14"/>
  <c r="AJ44" i="14" a="1"/>
  <c r="AJ44" i="14"/>
  <c r="AK44" i="14"/>
  <c r="AL44" i="14" a="1"/>
  <c r="AL44" i="14"/>
  <c r="AM44" i="14"/>
  <c r="AJ45" i="14" a="1"/>
  <c r="AJ45" i="14"/>
  <c r="AK45" i="14"/>
  <c r="AL45" i="14" a="1"/>
  <c r="AL45" i="14"/>
  <c r="AM45" i="14"/>
  <c r="AJ46" i="14" a="1"/>
  <c r="AJ46" i="14"/>
  <c r="AK46" i="14"/>
  <c r="AL46" i="14" a="1"/>
  <c r="AL46" i="14"/>
  <c r="AM46" i="14"/>
  <c r="AJ47" i="14" a="1"/>
  <c r="AJ47" i="14"/>
  <c r="AK47" i="14"/>
  <c r="AL47" i="14" a="1"/>
  <c r="AL47" i="14"/>
  <c r="AM47" i="14"/>
  <c r="AJ48" i="14" a="1"/>
  <c r="AJ48" i="14"/>
  <c r="AK48" i="14"/>
  <c r="AL48" i="14" a="1"/>
  <c r="AL48" i="14"/>
  <c r="AM48" i="14"/>
  <c r="AJ49" i="14" a="1"/>
  <c r="AJ49" i="14"/>
  <c r="AK49" i="14"/>
  <c r="AL49" i="14" a="1"/>
  <c r="AL49" i="14"/>
  <c r="AM49" i="14"/>
  <c r="S44" i="14" a="1"/>
  <c r="S44" i="14"/>
  <c r="T44" i="14"/>
  <c r="S45" i="14" a="1"/>
  <c r="S45" i="14"/>
  <c r="T45" i="14"/>
  <c r="S46" i="14" a="1"/>
  <c r="S46" i="14"/>
  <c r="T46" i="14"/>
  <c r="S47" i="14" a="1"/>
  <c r="S47" i="14"/>
  <c r="T47" i="14"/>
  <c r="S48" i="14" a="1"/>
  <c r="S48" i="14"/>
  <c r="T48" i="14"/>
  <c r="S49" i="14" a="1"/>
  <c r="S49" i="14"/>
  <c r="T49" i="14"/>
  <c r="BF49" i="14" a="1"/>
  <c r="BF49" i="14"/>
  <c r="BG49" i="14"/>
  <c r="O9" i="14" a="1"/>
  <c r="O9" i="14"/>
  <c r="O10" i="14" a="1"/>
  <c r="O10" i="14"/>
  <c r="O11" i="14" a="1"/>
  <c r="O11" i="14"/>
  <c r="O12" i="14" a="1"/>
  <c r="O12" i="14"/>
  <c r="V6" i="14" a="1"/>
  <c r="V6" i="14"/>
  <c r="W6" i="14"/>
  <c r="V7" i="14" a="1"/>
  <c r="V7" i="14"/>
  <c r="D13" i="20"/>
  <c r="V8" i="14" a="1"/>
  <c r="V8" i="14"/>
  <c r="D14" i="20"/>
  <c r="D12" i="20"/>
  <c r="W8" i="14"/>
  <c r="X8" i="14"/>
  <c r="Y8" i="14"/>
  <c r="Z8" i="14"/>
  <c r="AA8" i="14"/>
  <c r="AB8" i="14"/>
  <c r="W7" i="14"/>
  <c r="X7" i="14"/>
  <c r="Y7" i="14"/>
  <c r="Z7" i="14"/>
  <c r="AA7" i="14"/>
  <c r="AB7" i="14"/>
  <c r="X6" i="14"/>
  <c r="Y6" i="14"/>
  <c r="Z6" i="14"/>
  <c r="AA6" i="14"/>
  <c r="AB6" i="14"/>
  <c r="V9" i="14" a="1"/>
  <c r="V9" i="14"/>
  <c r="D16" i="20"/>
  <c r="W9" i="14"/>
  <c r="X9" i="14"/>
  <c r="Y9" i="14"/>
  <c r="Z9" i="14"/>
  <c r="AA9" i="14"/>
  <c r="AB9" i="14"/>
  <c r="V10" i="14" a="1"/>
  <c r="V10" i="14"/>
  <c r="W10" i="14"/>
  <c r="X10" i="14"/>
  <c r="Y10" i="14"/>
  <c r="Z10" i="14"/>
  <c r="AA10" i="14"/>
  <c r="AB10" i="14"/>
  <c r="D17" i="20"/>
  <c r="V11" i="14" a="1"/>
  <c r="V11" i="14"/>
  <c r="D19" i="20"/>
  <c r="W11" i="14"/>
  <c r="X11" i="14"/>
  <c r="Y11" i="14"/>
  <c r="Z11" i="14"/>
  <c r="AA11" i="14"/>
  <c r="AB11" i="14"/>
  <c r="V12" i="14" a="1"/>
  <c r="V12" i="14"/>
  <c r="W12" i="14"/>
  <c r="X12" i="14"/>
  <c r="Y12" i="14"/>
  <c r="Z12" i="14"/>
  <c r="AA12" i="14"/>
  <c r="AB12" i="14"/>
  <c r="D22" i="20"/>
  <c r="V13" i="14" a="1"/>
  <c r="V13" i="14"/>
  <c r="D23" i="20"/>
  <c r="W13" i="14"/>
  <c r="X13" i="14"/>
  <c r="Y13" i="14"/>
  <c r="Z13" i="14"/>
  <c r="AA13" i="14"/>
  <c r="AB13" i="14"/>
  <c r="V14" i="14" a="1"/>
  <c r="V14" i="14"/>
  <c r="W14" i="14"/>
  <c r="X14" i="14"/>
  <c r="Y14" i="14"/>
  <c r="Z14" i="14"/>
  <c r="AA14" i="14"/>
  <c r="AB14" i="14"/>
  <c r="D24" i="20"/>
  <c r="V15" i="14" a="1"/>
  <c r="V15" i="14"/>
  <c r="D26" i="20"/>
  <c r="W15" i="14"/>
  <c r="X15" i="14"/>
  <c r="Y15" i="14"/>
  <c r="Z15" i="14"/>
  <c r="AA15" i="14"/>
  <c r="AB15" i="14"/>
  <c r="V16" i="14" a="1"/>
  <c r="V16" i="14"/>
  <c r="W16" i="14"/>
  <c r="X16" i="14"/>
  <c r="Y16" i="14"/>
  <c r="Z16" i="14"/>
  <c r="AA16" i="14"/>
  <c r="AB16" i="14"/>
  <c r="D27" i="20"/>
  <c r="V17" i="14" a="1"/>
  <c r="V17" i="14"/>
  <c r="D28" i="20"/>
  <c r="W17" i="14"/>
  <c r="X17" i="14"/>
  <c r="Y17" i="14"/>
  <c r="Z17" i="14"/>
  <c r="AA17" i="14"/>
  <c r="AB17" i="14"/>
  <c r="V18" i="14" a="1"/>
  <c r="V18" i="14"/>
  <c r="W18" i="14"/>
  <c r="X18" i="14"/>
  <c r="Y18" i="14"/>
  <c r="Z18" i="14"/>
  <c r="AA18" i="14"/>
  <c r="AB18" i="14"/>
  <c r="D29" i="20"/>
  <c r="V19" i="14" a="1"/>
  <c r="V19" i="14"/>
  <c r="D30" i="20"/>
  <c r="W19" i="14"/>
  <c r="X19" i="14"/>
  <c r="Y19" i="14"/>
  <c r="Z19" i="14"/>
  <c r="AA19" i="14"/>
  <c r="AB19" i="14"/>
  <c r="V20" i="14" a="1"/>
  <c r="V20" i="14"/>
  <c r="W20" i="14"/>
  <c r="X20" i="14"/>
  <c r="Y20" i="14"/>
  <c r="Z20" i="14"/>
  <c r="AA20" i="14"/>
  <c r="AB20" i="14"/>
  <c r="D31" i="20"/>
  <c r="V21" i="14" a="1"/>
  <c r="V21" i="14"/>
  <c r="D32" i="20"/>
  <c r="W21" i="14"/>
  <c r="X21" i="14"/>
  <c r="Y21" i="14"/>
  <c r="Z21" i="14"/>
  <c r="AA21" i="14"/>
  <c r="AB21" i="14"/>
  <c r="V22" i="14" a="1"/>
  <c r="V22" i="14"/>
  <c r="W22" i="14"/>
  <c r="X22" i="14"/>
  <c r="Y22" i="14"/>
  <c r="Z22" i="14"/>
  <c r="AA22" i="14"/>
  <c r="AB22" i="14"/>
  <c r="D33" i="20"/>
  <c r="V23" i="14" a="1"/>
  <c r="V23" i="14"/>
  <c r="D35" i="20"/>
  <c r="W23" i="14"/>
  <c r="X23" i="14"/>
  <c r="Y23" i="14"/>
  <c r="Z23" i="14"/>
  <c r="AA23" i="14"/>
  <c r="AB23" i="14"/>
  <c r="V24" i="14" a="1"/>
  <c r="V24" i="14"/>
  <c r="W24" i="14"/>
  <c r="X24" i="14"/>
  <c r="Y24" i="14"/>
  <c r="Z24" i="14"/>
  <c r="AA24" i="14"/>
  <c r="AB24" i="14"/>
  <c r="D36" i="20"/>
  <c r="V25" i="14" a="1"/>
  <c r="V25" i="14"/>
  <c r="D37" i="20"/>
  <c r="W25" i="14"/>
  <c r="X25" i="14"/>
  <c r="Y25" i="14"/>
  <c r="Z25" i="14"/>
  <c r="AA25" i="14"/>
  <c r="AB25" i="14"/>
  <c r="V26" i="14" a="1"/>
  <c r="V26" i="14"/>
  <c r="V27" i="14" a="1"/>
  <c r="V27" i="14"/>
  <c r="V28" i="14" a="1"/>
  <c r="V28" i="14"/>
  <c r="V29" i="14" a="1"/>
  <c r="V29" i="14"/>
  <c r="W26" i="14"/>
  <c r="W27" i="14"/>
  <c r="W28" i="14"/>
  <c r="W29" i="14"/>
  <c r="V30" i="14" a="1"/>
  <c r="V30" i="14"/>
  <c r="W30" i="14"/>
  <c r="V31" i="14" a="1"/>
  <c r="V31" i="14"/>
  <c r="W31" i="14"/>
  <c r="V32" i="14" a="1"/>
  <c r="V32" i="14"/>
  <c r="W32" i="14"/>
  <c r="V33" i="14" a="1"/>
  <c r="V33" i="14"/>
  <c r="W33" i="14"/>
  <c r="V34" i="14" a="1"/>
  <c r="V34" i="14"/>
  <c r="W34" i="14"/>
  <c r="V35" i="14" a="1"/>
  <c r="V35" i="14"/>
  <c r="W35" i="14"/>
  <c r="V36" i="14" a="1"/>
  <c r="V36" i="14"/>
  <c r="W36" i="14"/>
  <c r="V37" i="14" a="1"/>
  <c r="V37" i="14"/>
  <c r="W37" i="14"/>
  <c r="V38" i="14" a="1"/>
  <c r="V38" i="14"/>
  <c r="W38" i="14"/>
  <c r="V39" i="14" a="1"/>
  <c r="V39" i="14"/>
  <c r="W39" i="14"/>
  <c r="V40" i="14" a="1"/>
  <c r="V40" i="14"/>
  <c r="W40" i="14"/>
  <c r="V41" i="14" a="1"/>
  <c r="V41" i="14"/>
  <c r="W41" i="14"/>
  <c r="V42" i="14" a="1"/>
  <c r="V42" i="14"/>
  <c r="W42" i="14"/>
  <c r="W5" i="14"/>
  <c r="X26" i="14"/>
  <c r="X27" i="14"/>
  <c r="X28" i="14"/>
  <c r="X29" i="14"/>
  <c r="X30" i="14"/>
  <c r="X31" i="14"/>
  <c r="X32" i="14"/>
  <c r="X33" i="14"/>
  <c r="X34" i="14"/>
  <c r="X35" i="14"/>
  <c r="X36" i="14"/>
  <c r="X37" i="14"/>
  <c r="X38" i="14"/>
  <c r="X39" i="14"/>
  <c r="X40" i="14"/>
  <c r="X41" i="14"/>
  <c r="X42" i="14"/>
  <c r="X5" i="14"/>
  <c r="Y26" i="14"/>
  <c r="Y27" i="14"/>
  <c r="Y28" i="14"/>
  <c r="Y29" i="14"/>
  <c r="Y30" i="14"/>
  <c r="Y31" i="14"/>
  <c r="Y32" i="14"/>
  <c r="Y33" i="14"/>
  <c r="Y34" i="14"/>
  <c r="Y35" i="14"/>
  <c r="Y36" i="14"/>
  <c r="Y37" i="14"/>
  <c r="Y38" i="14"/>
  <c r="Y39" i="14"/>
  <c r="Y40" i="14"/>
  <c r="Y41" i="14"/>
  <c r="Y42" i="14"/>
  <c r="Y5" i="14"/>
  <c r="Z26" i="14"/>
  <c r="Z27" i="14"/>
  <c r="Z28" i="14"/>
  <c r="Z29" i="14"/>
  <c r="Z30" i="14"/>
  <c r="Z31" i="14"/>
  <c r="Z32" i="14"/>
  <c r="Z33" i="14"/>
  <c r="Z34" i="14"/>
  <c r="Z35" i="14"/>
  <c r="Z36" i="14"/>
  <c r="Z37" i="14"/>
  <c r="Z38" i="14"/>
  <c r="Z39" i="14"/>
  <c r="Z40" i="14"/>
  <c r="Z41" i="14"/>
  <c r="Z42" i="14"/>
  <c r="Z5" i="14"/>
  <c r="AA26" i="14"/>
  <c r="AA27" i="14"/>
  <c r="AA28" i="14"/>
  <c r="AA29" i="14"/>
  <c r="AA30" i="14"/>
  <c r="AA31" i="14"/>
  <c r="AA32" i="14"/>
  <c r="AA33" i="14"/>
  <c r="AA34" i="14"/>
  <c r="AA35" i="14"/>
  <c r="AA36" i="14"/>
  <c r="AA37" i="14"/>
  <c r="AA38" i="14"/>
  <c r="AA39" i="14"/>
  <c r="AA40" i="14"/>
  <c r="AA41" i="14"/>
  <c r="AA42" i="14"/>
  <c r="AA5" i="14"/>
  <c r="AB5" i="14"/>
  <c r="V43" i="14" a="1"/>
  <c r="V43" i="14"/>
  <c r="AA43" i="14"/>
  <c r="Z43" i="14"/>
  <c r="Y43" i="14"/>
  <c r="X43" i="14"/>
  <c r="W43" i="14"/>
  <c r="V44" i="14" a="1"/>
  <c r="V44" i="14"/>
  <c r="W44" i="14"/>
  <c r="X44" i="14"/>
  <c r="Y44" i="14"/>
  <c r="Z44" i="14"/>
  <c r="AA44" i="14"/>
  <c r="V45" i="14" a="1"/>
  <c r="V45" i="14"/>
  <c r="W45" i="14"/>
  <c r="X45" i="14"/>
  <c r="Y45" i="14"/>
  <c r="Z45" i="14"/>
  <c r="AA45" i="14"/>
  <c r="V46" i="14" a="1"/>
  <c r="V46" i="14"/>
  <c r="W46" i="14"/>
  <c r="X46" i="14"/>
  <c r="Y46" i="14"/>
  <c r="Z46" i="14"/>
  <c r="AA46" i="14"/>
  <c r="V47" i="14" a="1"/>
  <c r="V47" i="14"/>
  <c r="W47" i="14"/>
  <c r="X47" i="14"/>
  <c r="Y47" i="14"/>
  <c r="Z47" i="14"/>
  <c r="AA47" i="14"/>
  <c r="V48" i="14" a="1"/>
  <c r="V48" i="14"/>
  <c r="W48" i="14"/>
  <c r="X48" i="14"/>
  <c r="Y48" i="14"/>
  <c r="Z48" i="14"/>
  <c r="AA48" i="14"/>
  <c r="V49" i="14" a="1"/>
  <c r="V49" i="14"/>
  <c r="W49" i="14"/>
  <c r="X49" i="14"/>
  <c r="Y49" i="14"/>
  <c r="Z49" i="14"/>
  <c r="AA49" i="14"/>
  <c r="O13" i="14" a="1"/>
  <c r="O13" i="14"/>
  <c r="O14" i="14" a="1"/>
  <c r="O14" i="14"/>
  <c r="O15" i="14" a="1"/>
  <c r="O15" i="14"/>
  <c r="P13" i="14"/>
  <c r="Q13" i="14"/>
  <c r="P14" i="14"/>
  <c r="Q14" i="14"/>
  <c r="P15" i="14"/>
  <c r="Q15" i="14"/>
  <c r="O16" i="14" a="1"/>
  <c r="O16" i="14"/>
  <c r="P16" i="14"/>
  <c r="Q16" i="14"/>
  <c r="O17" i="14" a="1"/>
  <c r="O17" i="14"/>
  <c r="O18" i="14" a="1"/>
  <c r="O18" i="14"/>
  <c r="O19" i="14" a="1"/>
  <c r="O19" i="14"/>
  <c r="P19" i="14"/>
  <c r="Q19" i="14"/>
  <c r="P17" i="14"/>
  <c r="Q17" i="14"/>
  <c r="P18" i="14"/>
  <c r="Q18" i="14"/>
  <c r="O20" i="14" a="1"/>
  <c r="O20" i="14"/>
  <c r="P20" i="14"/>
  <c r="Q20" i="14"/>
  <c r="O21" i="14" a="1"/>
  <c r="O21" i="14"/>
  <c r="P21" i="14"/>
  <c r="Q21" i="14"/>
  <c r="O22" i="14" a="1"/>
  <c r="O22" i="14"/>
  <c r="P22" i="14"/>
  <c r="Q22" i="14"/>
  <c r="O23" i="14" a="1"/>
  <c r="O23" i="14"/>
  <c r="O24" i="14" a="1"/>
  <c r="O24" i="14"/>
  <c r="O25" i="14" a="1"/>
  <c r="O25" i="14"/>
  <c r="P25" i="14"/>
  <c r="Q25" i="14"/>
  <c r="P24" i="14"/>
  <c r="Q24" i="14"/>
  <c r="P23" i="14"/>
  <c r="Q23" i="14"/>
  <c r="O26" i="14" a="1"/>
  <c r="O26" i="14"/>
  <c r="P26" i="14"/>
  <c r="Q26" i="14"/>
  <c r="O27" i="14" a="1"/>
  <c r="O27" i="14"/>
  <c r="O28" i="14" a="1"/>
  <c r="O28" i="14"/>
  <c r="O29" i="14" a="1"/>
  <c r="O29" i="14"/>
  <c r="P28" i="14"/>
  <c r="Q28" i="14"/>
  <c r="P29" i="14"/>
  <c r="Q29" i="14"/>
  <c r="P27" i="14"/>
  <c r="Q27" i="14"/>
  <c r="O30" i="14" a="1"/>
  <c r="O30" i="14"/>
  <c r="P30" i="14"/>
  <c r="Q30" i="14"/>
  <c r="O31" i="14" a="1"/>
  <c r="O31" i="14"/>
  <c r="P31" i="14"/>
  <c r="Q31" i="14"/>
  <c r="O32" i="14" a="1"/>
  <c r="O32" i="14"/>
  <c r="O33" i="14" a="1"/>
  <c r="O33" i="14"/>
  <c r="O34" i="14" a="1"/>
  <c r="O34" i="14"/>
  <c r="P34" i="14"/>
  <c r="Q34" i="14"/>
  <c r="P32" i="14"/>
  <c r="Q32" i="14"/>
  <c r="P33" i="14"/>
  <c r="Q33" i="14"/>
  <c r="O35" i="14" a="1"/>
  <c r="O35" i="14"/>
  <c r="P35" i="14"/>
  <c r="Q35" i="14"/>
  <c r="O36" i="14" a="1"/>
  <c r="O36" i="14"/>
  <c r="P36" i="14"/>
  <c r="Q36" i="14"/>
  <c r="O37" i="14" a="1"/>
  <c r="O37" i="14"/>
  <c r="P37" i="14"/>
  <c r="Q37" i="14"/>
  <c r="O38" i="14" a="1"/>
  <c r="O38" i="14"/>
  <c r="O39" i="14" a="1"/>
  <c r="O39" i="14"/>
  <c r="O40" i="14" a="1"/>
  <c r="O40" i="14"/>
  <c r="P40" i="14"/>
  <c r="Q40" i="14"/>
  <c r="P38" i="14"/>
  <c r="Q38" i="14"/>
  <c r="P39" i="14"/>
  <c r="Q39" i="14"/>
  <c r="O41" i="14" a="1"/>
  <c r="O41" i="14"/>
  <c r="O42" i="14" a="1"/>
  <c r="O42" i="14"/>
  <c r="P12" i="14"/>
  <c r="Q12" i="14"/>
  <c r="P6" i="14"/>
  <c r="Q6" i="14"/>
  <c r="P7" i="14"/>
  <c r="Q7" i="14"/>
  <c r="P8" i="14"/>
  <c r="Q8" i="14"/>
  <c r="P9" i="14"/>
  <c r="Q9" i="14"/>
  <c r="P10" i="14"/>
  <c r="Q10" i="14"/>
  <c r="P11" i="14"/>
  <c r="Q11" i="14"/>
  <c r="P42" i="14"/>
  <c r="Q42" i="14"/>
  <c r="P5" i="14"/>
  <c r="Q5" i="14"/>
  <c r="P41" i="14"/>
  <c r="Q41" i="14"/>
  <c r="O43" i="14" a="1"/>
  <c r="O43" i="14"/>
  <c r="P43" i="14"/>
  <c r="Q43" i="14"/>
  <c r="O44" i="14" a="1"/>
  <c r="O44" i="14"/>
  <c r="P44" i="14"/>
  <c r="Q44" i="14"/>
  <c r="O45" i="14" a="1"/>
  <c r="O45" i="14"/>
  <c r="P45" i="14"/>
  <c r="Q45" i="14"/>
  <c r="O46" i="14" a="1"/>
  <c r="O46" i="14"/>
  <c r="P46" i="14"/>
  <c r="Q46" i="14"/>
  <c r="O47" i="14" a="1"/>
  <c r="O47" i="14"/>
  <c r="P47" i="14"/>
  <c r="Q47" i="14"/>
  <c r="O48" i="14" a="1"/>
  <c r="O48" i="14"/>
  <c r="P48" i="14"/>
  <c r="Q48" i="14"/>
  <c r="O49" i="14" a="1"/>
  <c r="O49" i="14"/>
  <c r="P49" i="14"/>
  <c r="Q49" i="14"/>
  <c r="O50" i="14" a="1"/>
  <c r="O50" i="14"/>
  <c r="O51" i="14" a="1"/>
  <c r="O51" i="14"/>
  <c r="O52" i="14" a="1"/>
  <c r="O52" i="14"/>
  <c r="O53" i="14" a="1"/>
  <c r="O53" i="14"/>
  <c r="O54" i="14" a="1"/>
  <c r="O54" i="14"/>
  <c r="O55" i="14" a="1"/>
  <c r="O55" i="14"/>
  <c r="O56" i="14" a="1"/>
  <c r="O56" i="14"/>
  <c r="O57" i="14" a="1"/>
  <c r="O57" i="14"/>
  <c r="O58" i="14" a="1"/>
  <c r="O58" i="14"/>
  <c r="O59" i="14" a="1"/>
  <c r="O59" i="14"/>
  <c r="O60" i="14" a="1"/>
  <c r="O60" i="14"/>
  <c r="O61" i="14" a="1"/>
  <c r="O61" i="14"/>
  <c r="O62" i="14" a="1"/>
  <c r="O62" i="14"/>
  <c r="O63" i="14" a="1"/>
  <c r="O63" i="14"/>
  <c r="O64" i="14" a="1"/>
  <c r="O64" i="14"/>
  <c r="O65" i="14" a="1"/>
  <c r="O65" i="14"/>
  <c r="O66" i="14" a="1"/>
  <c r="O66" i="14"/>
  <c r="O67" i="14" a="1"/>
  <c r="O67" i="14"/>
  <c r="O68" i="14" a="1"/>
  <c r="O68" i="14"/>
  <c r="O69" i="14" a="1"/>
  <c r="O69" i="14"/>
  <c r="O70" i="14" a="1"/>
  <c r="O70" i="14"/>
  <c r="O71" i="14" a="1"/>
  <c r="O71" i="14"/>
  <c r="O72" i="14" a="1"/>
  <c r="O72" i="14"/>
  <c r="O73" i="14" a="1"/>
  <c r="O73" i="14"/>
  <c r="O74" i="14" a="1"/>
  <c r="O74" i="14"/>
  <c r="O75" i="14" a="1"/>
  <c r="O75" i="14"/>
  <c r="O76" i="14" a="1"/>
  <c r="O76" i="14"/>
  <c r="O77" i="14" a="1"/>
  <c r="O77" i="14"/>
  <c r="O78" i="14" a="1"/>
  <c r="O78" i="14"/>
  <c r="O79" i="14" a="1"/>
  <c r="O79" i="14"/>
  <c r="O80" i="14" a="1"/>
  <c r="O80" i="14"/>
  <c r="O81" i="14" a="1"/>
  <c r="O81" i="14"/>
  <c r="O82" i="14" a="1"/>
  <c r="O82" i="14"/>
  <c r="O83" i="14" a="1"/>
  <c r="O83" i="14"/>
  <c r="O84" i="14" a="1"/>
  <c r="O84" i="14"/>
  <c r="O85" i="14" a="1"/>
  <c r="O85" i="14"/>
  <c r="O86" i="14" a="1"/>
  <c r="O86" i="14"/>
  <c r="O87" i="14" a="1"/>
  <c r="O87" i="14"/>
  <c r="O88" i="14" a="1"/>
  <c r="O88" i="14"/>
  <c r="O89" i="14" a="1"/>
  <c r="O89" i="14"/>
  <c r="O90" i="14" a="1"/>
  <c r="O90" i="14"/>
  <c r="O91" i="14" a="1"/>
  <c r="O91" i="14"/>
  <c r="O92" i="14" a="1"/>
  <c r="O92" i="14"/>
  <c r="O93" i="14" a="1"/>
  <c r="O93" i="14"/>
  <c r="O94" i="14" a="1"/>
  <c r="O94" i="14"/>
  <c r="O95" i="14" a="1"/>
  <c r="O95" i="14"/>
  <c r="O96" i="14" a="1"/>
  <c r="O96" i="14"/>
  <c r="O97" i="14" a="1"/>
  <c r="O97" i="14"/>
  <c r="O98" i="14" a="1"/>
  <c r="O98" i="14"/>
  <c r="O99" i="14" a="1"/>
  <c r="O99" i="14"/>
  <c r="O100" i="14" a="1"/>
  <c r="O100" i="14"/>
  <c r="O101" i="14" a="1"/>
  <c r="O101" i="14"/>
  <c r="O102" i="14" a="1"/>
  <c r="O102" i="14"/>
  <c r="O103" i="14" a="1"/>
  <c r="O103" i="14"/>
  <c r="O104" i="14" a="1"/>
  <c r="O104" i="14"/>
  <c r="K6" i="17" a="1"/>
  <c r="K6" i="17"/>
  <c r="M6" i="17" a="1"/>
  <c r="M6" i="17"/>
  <c r="O6" i="17" a="1"/>
  <c r="O6" i="17"/>
  <c r="R6" i="17" a="1"/>
  <c r="R6" i="17"/>
  <c r="T6" i="17" a="1"/>
  <c r="T6" i="17"/>
  <c r="V6" i="17" a="1"/>
  <c r="V6" i="17"/>
  <c r="Y6" i="17" a="1"/>
  <c r="Y6" i="17"/>
  <c r="AA6" i="17" a="1"/>
  <c r="AA6" i="17"/>
  <c r="AC6" i="17" a="1"/>
  <c r="AC6" i="17"/>
  <c r="AF6" i="17" a="1"/>
  <c r="AF6" i="17"/>
  <c r="AH6" i="17" a="1"/>
  <c r="AH6" i="17"/>
  <c r="AJ6" i="17" a="1"/>
  <c r="AJ6" i="17"/>
  <c r="AT6" i="17" a="1"/>
  <c r="AT6" i="17"/>
  <c r="AV6" i="17" a="1"/>
  <c r="AV6" i="17"/>
  <c r="AX6" i="17" a="1"/>
  <c r="AX6" i="17"/>
  <c r="BA6" i="17" a="1"/>
  <c r="BA6" i="17"/>
  <c r="BC6" i="17" a="1"/>
  <c r="BC6" i="17"/>
  <c r="BE6" i="17" a="1"/>
  <c r="BE6" i="17"/>
  <c r="BH6" i="17" a="1"/>
  <c r="BH6" i="17"/>
  <c r="BJ6" i="17" a="1"/>
  <c r="BJ6" i="17"/>
  <c r="BL6" i="17" a="1"/>
  <c r="BL6" i="17"/>
  <c r="AM6" i="17" a="1"/>
  <c r="AM6" i="17"/>
  <c r="AO6" i="17" a="1"/>
  <c r="AO6" i="17"/>
  <c r="AQ6" i="17" a="1"/>
  <c r="AQ6" i="17"/>
  <c r="K7" i="17" a="1"/>
  <c r="K7" i="17"/>
  <c r="M7" i="17" a="1"/>
  <c r="M7" i="17"/>
  <c r="O7" i="17" a="1"/>
  <c r="O7" i="17"/>
  <c r="K8" i="17" a="1"/>
  <c r="K8" i="17"/>
  <c r="M8" i="17" a="1"/>
  <c r="M8" i="17"/>
  <c r="O8" i="17" a="1"/>
  <c r="O8" i="17"/>
  <c r="M9" i="17" a="1"/>
  <c r="M9" i="17"/>
  <c r="O9" i="17" a="1"/>
  <c r="O9" i="17"/>
  <c r="M10" i="17" a="1"/>
  <c r="M10" i="17"/>
  <c r="O10" i="17" a="1"/>
  <c r="O10" i="17"/>
  <c r="M11" i="17" a="1"/>
  <c r="M11" i="17"/>
  <c r="O11" i="17" a="1"/>
  <c r="O11" i="17"/>
  <c r="M12" i="17" a="1"/>
  <c r="M12" i="17"/>
  <c r="O12" i="17" a="1"/>
  <c r="O12" i="17"/>
  <c r="M13" i="17" a="1"/>
  <c r="M13" i="17"/>
  <c r="O13" i="17" a="1"/>
  <c r="O13" i="17"/>
  <c r="M14" i="17" a="1"/>
  <c r="M14" i="17"/>
  <c r="O14" i="17" a="1"/>
  <c r="O14" i="17"/>
  <c r="M15" i="17" a="1"/>
  <c r="M15" i="17"/>
  <c r="O15" i="17" a="1"/>
  <c r="O15" i="17"/>
  <c r="M16" i="17" a="1"/>
  <c r="M16" i="17"/>
  <c r="O16" i="17" a="1"/>
  <c r="O16" i="17"/>
  <c r="M17" i="17" a="1"/>
  <c r="M17" i="17"/>
  <c r="O17" i="17" a="1"/>
  <c r="O17" i="17"/>
  <c r="M18" i="17" a="1"/>
  <c r="M18" i="17"/>
  <c r="O18" i="17" a="1"/>
  <c r="O18" i="17"/>
  <c r="M19" i="17" a="1"/>
  <c r="M19" i="17"/>
  <c r="O19" i="17" a="1"/>
  <c r="O19" i="17"/>
  <c r="M20" i="17" a="1"/>
  <c r="M20" i="17"/>
  <c r="O20" i="17" a="1"/>
  <c r="O20" i="17"/>
  <c r="M21" i="17" a="1"/>
  <c r="M21" i="17"/>
  <c r="O21" i="17" a="1"/>
  <c r="O21" i="17"/>
  <c r="M22" i="17" a="1"/>
  <c r="M22" i="17"/>
  <c r="O22" i="17" a="1"/>
  <c r="O22" i="17"/>
  <c r="R7" i="17" a="1"/>
  <c r="R7" i="17"/>
  <c r="T7" i="17" a="1"/>
  <c r="T7" i="17"/>
  <c r="V7" i="17" a="1"/>
  <c r="V7" i="17"/>
  <c r="R8" i="17" a="1"/>
  <c r="R8" i="17"/>
  <c r="T8" i="17" a="1"/>
  <c r="T8" i="17"/>
  <c r="V8" i="17" a="1"/>
  <c r="V8" i="17"/>
  <c r="T9" i="17" a="1"/>
  <c r="T9" i="17"/>
  <c r="V9" i="17" a="1"/>
  <c r="V9" i="17"/>
  <c r="T10" i="17" a="1"/>
  <c r="T10" i="17"/>
  <c r="V10" i="17" a="1"/>
  <c r="V10" i="17"/>
  <c r="T11" i="17" a="1"/>
  <c r="T11" i="17"/>
  <c r="V11" i="17" a="1"/>
  <c r="V11" i="17"/>
  <c r="T12" i="17" a="1"/>
  <c r="T12" i="17"/>
  <c r="V12" i="17" a="1"/>
  <c r="V12" i="17"/>
  <c r="T13" i="17" a="1"/>
  <c r="T13" i="17"/>
  <c r="V13" i="17" a="1"/>
  <c r="V13" i="17"/>
  <c r="T14" i="17" a="1"/>
  <c r="T14" i="17"/>
  <c r="V14" i="17" a="1"/>
  <c r="V14" i="17"/>
  <c r="T15" i="17" a="1"/>
  <c r="T15" i="17"/>
  <c r="V15" i="17" a="1"/>
  <c r="V15" i="17"/>
  <c r="T16" i="17" a="1"/>
  <c r="T16" i="17"/>
  <c r="V16" i="17" a="1"/>
  <c r="V16" i="17"/>
  <c r="T17" i="17" a="1"/>
  <c r="T17" i="17"/>
  <c r="V17" i="17" a="1"/>
  <c r="V17" i="17"/>
  <c r="T18" i="17" a="1"/>
  <c r="T18" i="17"/>
  <c r="V18" i="17" a="1"/>
  <c r="V18" i="17"/>
  <c r="T19" i="17" a="1"/>
  <c r="T19" i="17"/>
  <c r="V19" i="17" a="1"/>
  <c r="V19" i="17"/>
  <c r="T20" i="17" a="1"/>
  <c r="T20" i="17"/>
  <c r="V20" i="17" a="1"/>
  <c r="V20" i="17"/>
  <c r="T21" i="17" a="1"/>
  <c r="T21" i="17"/>
  <c r="V21" i="17" a="1"/>
  <c r="V21" i="17"/>
  <c r="T22" i="17" a="1"/>
  <c r="T22" i="17"/>
  <c r="V22" i="17" a="1"/>
  <c r="V22" i="17"/>
  <c r="Y7" i="17" a="1"/>
  <c r="Y7" i="17"/>
  <c r="AA7" i="17" a="1"/>
  <c r="AA7" i="17"/>
  <c r="AC7" i="17" a="1"/>
  <c r="AC7" i="17"/>
  <c r="Y8" i="17" a="1"/>
  <c r="Y8" i="17"/>
  <c r="AA8" i="17" a="1"/>
  <c r="AA8" i="17"/>
  <c r="AC8" i="17" a="1"/>
  <c r="AC8" i="17"/>
  <c r="AA9" i="17" a="1"/>
  <c r="AA9" i="17"/>
  <c r="AC9" i="17" a="1"/>
  <c r="AC9" i="17"/>
  <c r="AA10" i="17" a="1"/>
  <c r="AA10" i="17"/>
  <c r="AC10" i="17" a="1"/>
  <c r="AC10" i="17"/>
  <c r="AA11" i="17" a="1"/>
  <c r="AA11" i="17"/>
  <c r="AC11" i="17" a="1"/>
  <c r="AC11" i="17"/>
  <c r="AA12" i="17" a="1"/>
  <c r="AA12" i="17"/>
  <c r="AC12" i="17" a="1"/>
  <c r="AC12" i="17"/>
  <c r="AA13" i="17" a="1"/>
  <c r="AA13" i="17"/>
  <c r="AC13" i="17" a="1"/>
  <c r="AC13" i="17"/>
  <c r="AA14" i="17" a="1"/>
  <c r="AA14" i="17"/>
  <c r="AC14" i="17" a="1"/>
  <c r="AC14" i="17"/>
  <c r="AA15" i="17" a="1"/>
  <c r="AA15" i="17"/>
  <c r="AC15" i="17" a="1"/>
  <c r="AC15" i="17"/>
  <c r="AA16" i="17" a="1"/>
  <c r="AA16" i="17"/>
  <c r="AC16" i="17" a="1"/>
  <c r="AC16" i="17"/>
  <c r="AA17" i="17" a="1"/>
  <c r="AA17" i="17"/>
  <c r="AC17" i="17" a="1"/>
  <c r="AC17" i="17"/>
  <c r="AA18" i="17" a="1"/>
  <c r="AA18" i="17"/>
  <c r="AC18" i="17" a="1"/>
  <c r="AC18" i="17"/>
  <c r="AA19" i="17" a="1"/>
  <c r="AA19" i="17"/>
  <c r="AC19" i="17" a="1"/>
  <c r="AC19" i="17"/>
  <c r="AA20" i="17" a="1"/>
  <c r="AA20" i="17"/>
  <c r="AC20" i="17" a="1"/>
  <c r="AC20" i="17"/>
  <c r="AA21" i="17" a="1"/>
  <c r="AA21" i="17"/>
  <c r="AC21" i="17" a="1"/>
  <c r="AC21" i="17"/>
  <c r="AA22" i="17" a="1"/>
  <c r="AA22" i="17"/>
  <c r="AC22" i="17" a="1"/>
  <c r="AC22" i="17"/>
  <c r="AF7" i="17" a="1"/>
  <c r="AF7" i="17"/>
  <c r="AH7" i="17" a="1"/>
  <c r="AH7" i="17"/>
  <c r="AJ7" i="17" a="1"/>
  <c r="AJ7" i="17"/>
  <c r="AF8" i="17" a="1"/>
  <c r="AF8" i="17"/>
  <c r="AH8" i="17" a="1"/>
  <c r="AH8" i="17"/>
  <c r="AJ8" i="17" a="1"/>
  <c r="AJ8" i="17"/>
  <c r="AH9" i="17" a="1"/>
  <c r="AH9" i="17"/>
  <c r="AJ9" i="17" a="1"/>
  <c r="AJ9" i="17"/>
  <c r="AH10" i="17" a="1"/>
  <c r="AH10" i="17"/>
  <c r="AJ10" i="17" a="1"/>
  <c r="AJ10" i="17"/>
  <c r="AH11" i="17" a="1"/>
  <c r="AH11" i="17"/>
  <c r="AJ11" i="17" a="1"/>
  <c r="AJ11" i="17"/>
  <c r="AH12" i="17" a="1"/>
  <c r="AH12" i="17"/>
  <c r="AJ12" i="17" a="1"/>
  <c r="AJ12" i="17"/>
  <c r="AH13" i="17" a="1"/>
  <c r="AH13" i="17"/>
  <c r="AJ13" i="17" a="1"/>
  <c r="AJ13" i="17"/>
  <c r="AH14" i="17" a="1"/>
  <c r="AH14" i="17"/>
  <c r="AJ14" i="17" a="1"/>
  <c r="AJ14" i="17"/>
  <c r="AH15" i="17" a="1"/>
  <c r="AH15" i="17"/>
  <c r="AJ15" i="17" a="1"/>
  <c r="AJ15" i="17"/>
  <c r="AH16" i="17" a="1"/>
  <c r="AH16" i="17"/>
  <c r="AJ16" i="17" a="1"/>
  <c r="AJ16" i="17"/>
  <c r="AH17" i="17" a="1"/>
  <c r="AH17" i="17"/>
  <c r="AJ17" i="17" a="1"/>
  <c r="AJ17" i="17"/>
  <c r="AH18" i="17" a="1"/>
  <c r="AH18" i="17"/>
  <c r="AJ18" i="17" a="1"/>
  <c r="AJ18" i="17"/>
  <c r="AH19" i="17" a="1"/>
  <c r="AH19" i="17"/>
  <c r="AJ19" i="17" a="1"/>
  <c r="AJ19" i="17"/>
  <c r="AH20" i="17" a="1"/>
  <c r="AH20" i="17"/>
  <c r="AJ20" i="17" a="1"/>
  <c r="AJ20" i="17"/>
  <c r="AH21" i="17" a="1"/>
  <c r="AH21" i="17"/>
  <c r="AJ21" i="17" a="1"/>
  <c r="AJ21" i="17"/>
  <c r="AH22" i="17" a="1"/>
  <c r="AH22" i="17"/>
  <c r="AJ22" i="17" a="1"/>
  <c r="AJ22" i="17"/>
  <c r="AT7" i="17" a="1"/>
  <c r="AT7" i="17"/>
  <c r="AV7" i="17" a="1"/>
  <c r="AV7" i="17"/>
  <c r="AX7" i="17" a="1"/>
  <c r="AX7" i="17"/>
  <c r="AT8" i="17" a="1"/>
  <c r="AT8" i="17"/>
  <c r="AV8" i="17" a="1"/>
  <c r="AV8" i="17"/>
  <c r="AX8" i="17" a="1"/>
  <c r="AX8" i="17"/>
  <c r="AV9" i="17" a="1"/>
  <c r="AV9" i="17"/>
  <c r="AX9" i="17" a="1"/>
  <c r="AX9" i="17"/>
  <c r="AV10" i="17" a="1"/>
  <c r="AV10" i="17"/>
  <c r="AX10" i="17" a="1"/>
  <c r="AX10" i="17"/>
  <c r="AV11" i="17" a="1"/>
  <c r="AV11" i="17"/>
  <c r="AX11" i="17" a="1"/>
  <c r="AX11" i="17"/>
  <c r="AV12" i="17" a="1"/>
  <c r="AV12" i="17"/>
  <c r="AX12" i="17" a="1"/>
  <c r="AX12" i="17"/>
  <c r="AV13" i="17" a="1"/>
  <c r="AV13" i="17"/>
  <c r="AX13" i="17" a="1"/>
  <c r="AX13" i="17"/>
  <c r="AV14" i="17" a="1"/>
  <c r="AV14" i="17"/>
  <c r="AX14" i="17" a="1"/>
  <c r="AX14" i="17"/>
  <c r="AV15" i="17" a="1"/>
  <c r="AV15" i="17"/>
  <c r="AX15" i="17" a="1"/>
  <c r="AX15" i="17"/>
  <c r="AV16" i="17" a="1"/>
  <c r="AV16" i="17"/>
  <c r="AX16" i="17" a="1"/>
  <c r="AX16" i="17"/>
  <c r="AV17" i="17" a="1"/>
  <c r="AV17" i="17"/>
  <c r="AX17" i="17" a="1"/>
  <c r="AX17" i="17"/>
  <c r="AV18" i="17" a="1"/>
  <c r="AV18" i="17"/>
  <c r="AX18" i="17" a="1"/>
  <c r="AX18" i="17"/>
  <c r="AV19" i="17" a="1"/>
  <c r="AV19" i="17"/>
  <c r="AX19" i="17" a="1"/>
  <c r="AX19" i="17"/>
  <c r="AV20" i="17" a="1"/>
  <c r="AV20" i="17"/>
  <c r="AX20" i="17" a="1"/>
  <c r="AX20" i="17"/>
  <c r="AV21" i="17" a="1"/>
  <c r="AV21" i="17"/>
  <c r="AX21" i="17" a="1"/>
  <c r="AX21" i="17"/>
  <c r="AV22" i="17" a="1"/>
  <c r="AV22" i="17"/>
  <c r="AX22" i="17" a="1"/>
  <c r="AX22" i="17"/>
  <c r="BA7" i="17" a="1"/>
  <c r="BA7" i="17"/>
  <c r="BC7" i="17" a="1"/>
  <c r="BC7" i="17"/>
  <c r="BE7" i="17" a="1"/>
  <c r="BE7" i="17"/>
  <c r="BA8" i="17" a="1"/>
  <c r="BA8" i="17"/>
  <c r="BC8" i="17" a="1"/>
  <c r="BC8" i="17"/>
  <c r="BE8" i="17" a="1"/>
  <c r="BE8" i="17"/>
  <c r="BC9" i="17" a="1"/>
  <c r="BC9" i="17"/>
  <c r="BE9" i="17" a="1"/>
  <c r="BE9" i="17"/>
  <c r="BC10" i="17" a="1"/>
  <c r="BC10" i="17"/>
  <c r="BE10" i="17" a="1"/>
  <c r="BE10" i="17"/>
  <c r="BC11" i="17" a="1"/>
  <c r="BC11" i="17"/>
  <c r="BE11" i="17" a="1"/>
  <c r="BE11" i="17"/>
  <c r="BC12" i="17" a="1"/>
  <c r="BC12" i="17"/>
  <c r="BE12" i="17" a="1"/>
  <c r="BE12" i="17"/>
  <c r="BC13" i="17" a="1"/>
  <c r="BC13" i="17"/>
  <c r="BE13" i="17" a="1"/>
  <c r="BE13" i="17"/>
  <c r="BC14" i="17" a="1"/>
  <c r="BC14" i="17"/>
  <c r="BE14" i="17" a="1"/>
  <c r="BE14" i="17"/>
  <c r="BC15" i="17" a="1"/>
  <c r="BC15" i="17"/>
  <c r="BE15" i="17" a="1"/>
  <c r="BE15" i="17"/>
  <c r="BC16" i="17" a="1"/>
  <c r="BC16" i="17"/>
  <c r="BE16" i="17" a="1"/>
  <c r="BE16" i="17"/>
  <c r="BC17" i="17" a="1"/>
  <c r="BC17" i="17"/>
  <c r="BE17" i="17" a="1"/>
  <c r="BE17" i="17"/>
  <c r="BC18" i="17" a="1"/>
  <c r="BC18" i="17"/>
  <c r="BE18" i="17" a="1"/>
  <c r="BE18" i="17"/>
  <c r="BC19" i="17" a="1"/>
  <c r="BC19" i="17"/>
  <c r="BE19" i="17" a="1"/>
  <c r="BE19" i="17"/>
  <c r="BC20" i="17" a="1"/>
  <c r="BC20" i="17"/>
  <c r="BE20" i="17" a="1"/>
  <c r="BE20" i="17"/>
  <c r="BC21" i="17" a="1"/>
  <c r="BC21" i="17"/>
  <c r="BE21" i="17" a="1"/>
  <c r="BE21" i="17"/>
  <c r="BC22" i="17" a="1"/>
  <c r="BC22" i="17"/>
  <c r="BE22" i="17" a="1"/>
  <c r="BE22" i="17"/>
  <c r="BH7" i="17" a="1"/>
  <c r="BH7" i="17"/>
  <c r="BJ7" i="17" a="1"/>
  <c r="BJ7" i="17"/>
  <c r="BL7" i="17" a="1"/>
  <c r="BL7" i="17"/>
  <c r="BH8" i="17" a="1"/>
  <c r="BH8" i="17"/>
  <c r="BJ8" i="17" a="1"/>
  <c r="BJ8" i="17"/>
  <c r="BL8" i="17" a="1"/>
  <c r="BL8" i="17"/>
  <c r="BJ9" i="17" a="1"/>
  <c r="BJ9" i="17"/>
  <c r="BL9" i="17" a="1"/>
  <c r="BL9" i="17"/>
  <c r="BJ10" i="17" a="1"/>
  <c r="BJ10" i="17"/>
  <c r="BL10" i="17" a="1"/>
  <c r="BL10" i="17"/>
  <c r="BJ11" i="17" a="1"/>
  <c r="BJ11" i="17"/>
  <c r="BL11" i="17" a="1"/>
  <c r="BL11" i="17"/>
  <c r="BJ12" i="17" a="1"/>
  <c r="BJ12" i="17"/>
  <c r="BL12" i="17" a="1"/>
  <c r="BL12" i="17"/>
  <c r="BJ13" i="17" a="1"/>
  <c r="BJ13" i="17"/>
  <c r="BL13" i="17" a="1"/>
  <c r="BL13" i="17"/>
  <c r="BJ14" i="17" a="1"/>
  <c r="BJ14" i="17"/>
  <c r="BL14" i="17" a="1"/>
  <c r="BL14" i="17"/>
  <c r="BJ15" i="17" a="1"/>
  <c r="BJ15" i="17"/>
  <c r="BL15" i="17" a="1"/>
  <c r="BL15" i="17"/>
  <c r="BJ16" i="17" a="1"/>
  <c r="BJ16" i="17"/>
  <c r="BL16" i="17" a="1"/>
  <c r="BL16" i="17"/>
  <c r="BJ17" i="17" a="1"/>
  <c r="BJ17" i="17"/>
  <c r="BL17" i="17" a="1"/>
  <c r="BL17" i="17"/>
  <c r="BJ18" i="17" a="1"/>
  <c r="BJ18" i="17"/>
  <c r="BL18" i="17" a="1"/>
  <c r="BL18" i="17"/>
  <c r="BJ19" i="17" a="1"/>
  <c r="BJ19" i="17"/>
  <c r="BL19" i="17" a="1"/>
  <c r="BL19" i="17"/>
  <c r="BJ20" i="17" a="1"/>
  <c r="BJ20" i="17"/>
  <c r="BL20" i="17" a="1"/>
  <c r="BL20" i="17"/>
  <c r="BJ21" i="17" a="1"/>
  <c r="BJ21" i="17"/>
  <c r="BL21" i="17" a="1"/>
  <c r="BL21" i="17"/>
  <c r="BJ22" i="17" a="1"/>
  <c r="BJ22" i="17"/>
  <c r="BL22" i="17" a="1"/>
  <c r="BL22" i="17"/>
  <c r="AM7" i="17" a="1"/>
  <c r="AM7" i="17"/>
  <c r="AO7" i="17" a="1"/>
  <c r="AO7" i="17"/>
  <c r="AQ7" i="17" a="1"/>
  <c r="AQ7" i="17"/>
  <c r="AM8" i="17" a="1"/>
  <c r="AM8" i="17"/>
  <c r="AO8" i="17" a="1"/>
  <c r="AO8" i="17"/>
  <c r="AQ8" i="17" a="1"/>
  <c r="AQ8" i="17"/>
  <c r="AO9" i="17" a="1"/>
  <c r="AO9" i="17"/>
  <c r="AQ9" i="17" a="1"/>
  <c r="AQ9" i="17"/>
  <c r="AO10" i="17" a="1"/>
  <c r="AO10" i="17"/>
  <c r="AQ10" i="17" a="1"/>
  <c r="AQ10" i="17"/>
  <c r="AO11" i="17" a="1"/>
  <c r="AO11" i="17"/>
  <c r="AQ11" i="17" a="1"/>
  <c r="AQ11" i="17"/>
  <c r="AO12" i="17" a="1"/>
  <c r="AO12" i="17"/>
  <c r="AQ12" i="17" a="1"/>
  <c r="AQ12" i="17"/>
  <c r="AO13" i="17" a="1"/>
  <c r="AO13" i="17"/>
  <c r="AQ13" i="17" a="1"/>
  <c r="AQ13" i="17"/>
  <c r="AO14" i="17" a="1"/>
  <c r="AO14" i="17"/>
  <c r="AQ14" i="17" a="1"/>
  <c r="AQ14" i="17"/>
  <c r="AO15" i="17" a="1"/>
  <c r="AO15" i="17"/>
  <c r="AQ15" i="17" a="1"/>
  <c r="AQ15" i="17"/>
  <c r="AO16" i="17" a="1"/>
  <c r="AO16" i="17"/>
  <c r="AQ16" i="17" a="1"/>
  <c r="AQ16" i="17"/>
  <c r="AO17" i="17" a="1"/>
  <c r="AO17" i="17"/>
  <c r="AQ17" i="17" a="1"/>
  <c r="AQ17" i="17"/>
  <c r="AO18" i="17" a="1"/>
  <c r="AO18" i="17"/>
  <c r="AQ18" i="17" a="1"/>
  <c r="AQ18" i="17"/>
  <c r="AO19" i="17" a="1"/>
  <c r="AO19" i="17"/>
  <c r="AQ19" i="17" a="1"/>
  <c r="AQ19" i="17"/>
  <c r="AO20" i="17" a="1"/>
  <c r="AO20" i="17"/>
  <c r="AQ20" i="17" a="1"/>
  <c r="AQ20" i="17"/>
  <c r="AO21" i="17" a="1"/>
  <c r="AO21" i="17"/>
  <c r="AQ21" i="17" a="1"/>
  <c r="AQ21" i="17"/>
  <c r="AO22" i="17" a="1"/>
  <c r="AO22" i="17"/>
  <c r="AQ22" i="17" a="1"/>
  <c r="AQ22" i="17"/>
  <c r="BV6" i="17" a="1"/>
  <c r="BV6" i="17"/>
  <c r="BX6" i="17" a="1"/>
  <c r="BX6" i="17"/>
  <c r="BZ6" i="17" a="1"/>
  <c r="BZ6" i="17"/>
  <c r="BV7" i="17" a="1"/>
  <c r="BV7" i="17"/>
  <c r="BX7" i="17" a="1"/>
  <c r="BX7" i="17"/>
  <c r="BZ7" i="17" a="1"/>
  <c r="BZ7" i="17"/>
  <c r="BV8" i="17" a="1"/>
  <c r="BV8" i="17"/>
  <c r="BX8" i="17" a="1"/>
  <c r="BX8" i="17"/>
  <c r="BZ8" i="17" a="1"/>
  <c r="BZ8" i="17"/>
  <c r="BX9" i="17" a="1"/>
  <c r="BX9" i="17"/>
  <c r="BZ9" i="17" a="1"/>
  <c r="BZ9" i="17"/>
  <c r="BX10" i="17" a="1"/>
  <c r="BX10" i="17"/>
  <c r="BZ10" i="17" a="1"/>
  <c r="BZ10" i="17"/>
  <c r="BX11" i="17" a="1"/>
  <c r="BX11" i="17"/>
  <c r="BZ11" i="17" a="1"/>
  <c r="BZ11" i="17"/>
  <c r="BX12" i="17" a="1"/>
  <c r="BX12" i="17"/>
  <c r="BZ12" i="17" a="1"/>
  <c r="BZ12" i="17"/>
  <c r="BX13" i="17" a="1"/>
  <c r="BX13" i="17"/>
  <c r="BZ13" i="17" a="1"/>
  <c r="BZ13" i="17"/>
  <c r="BX14" i="17" a="1"/>
  <c r="BX14" i="17"/>
  <c r="BZ14" i="17" a="1"/>
  <c r="BZ14" i="17"/>
  <c r="BX15" i="17" a="1"/>
  <c r="BX15" i="17"/>
  <c r="BZ15" i="17" a="1"/>
  <c r="BZ15" i="17"/>
  <c r="BX16" i="17" a="1"/>
  <c r="BX16" i="17"/>
  <c r="BZ16" i="17" a="1"/>
  <c r="BZ16" i="17"/>
  <c r="BX17" i="17" a="1"/>
  <c r="BX17" i="17"/>
  <c r="BZ17" i="17" a="1"/>
  <c r="BZ17" i="17"/>
  <c r="BX18" i="17" a="1"/>
  <c r="BX18" i="17"/>
  <c r="BZ18" i="17" a="1"/>
  <c r="BZ18" i="17"/>
  <c r="BX19" i="17" a="1"/>
  <c r="BX19" i="17"/>
  <c r="BZ19" i="17" a="1"/>
  <c r="BZ19" i="17"/>
  <c r="BX20" i="17" a="1"/>
  <c r="BX20" i="17"/>
  <c r="BZ20" i="17" a="1"/>
  <c r="BZ20" i="17"/>
  <c r="BX21" i="17" a="1"/>
  <c r="BX21" i="17"/>
  <c r="BZ21" i="17" a="1"/>
  <c r="BZ21" i="17"/>
  <c r="BX22" i="17" a="1"/>
  <c r="BX22" i="17"/>
  <c r="BZ22" i="17" a="1"/>
  <c r="BZ22" i="17"/>
  <c r="CC6" i="17" a="1"/>
  <c r="CC6" i="17"/>
  <c r="CE6" i="17" a="1"/>
  <c r="CE6" i="17"/>
  <c r="CG6" i="17" a="1"/>
  <c r="CG6" i="17"/>
  <c r="CC7" i="17" a="1"/>
  <c r="CC7" i="17"/>
  <c r="CE7" i="17" a="1"/>
  <c r="CE7" i="17"/>
  <c r="CG7" i="17" a="1"/>
  <c r="CG7" i="17"/>
  <c r="CC8" i="17" a="1"/>
  <c r="CC8" i="17"/>
  <c r="CE8" i="17" a="1"/>
  <c r="CE8" i="17"/>
  <c r="CG8" i="17" a="1"/>
  <c r="CG8" i="17"/>
  <c r="CE9" i="17" a="1"/>
  <c r="CE9" i="17"/>
  <c r="CG9" i="17" a="1"/>
  <c r="CG9" i="17"/>
  <c r="CE10" i="17" a="1"/>
  <c r="CE10" i="17"/>
  <c r="CG10" i="17" a="1"/>
  <c r="CG10" i="17"/>
  <c r="CE11" i="17" a="1"/>
  <c r="CE11" i="17"/>
  <c r="CG11" i="17" a="1"/>
  <c r="CG11" i="17"/>
  <c r="CE12" i="17" a="1"/>
  <c r="CE12" i="17"/>
  <c r="CG12" i="17" a="1"/>
  <c r="CG12" i="17"/>
  <c r="CE13" i="17" a="1"/>
  <c r="CE13" i="17"/>
  <c r="CG13" i="17" a="1"/>
  <c r="CG13" i="17"/>
  <c r="CE14" i="17" a="1"/>
  <c r="CE14" i="17"/>
  <c r="CG14" i="17" a="1"/>
  <c r="CG14" i="17"/>
  <c r="CE15" i="17" a="1"/>
  <c r="CE15" i="17"/>
  <c r="CG15" i="17" a="1"/>
  <c r="CG15" i="17"/>
  <c r="CE16" i="17" a="1"/>
  <c r="CE16" i="17"/>
  <c r="CG16" i="17" a="1"/>
  <c r="CG16" i="17"/>
  <c r="CE17" i="17" a="1"/>
  <c r="CE17" i="17"/>
  <c r="CG17" i="17" a="1"/>
  <c r="CG17" i="17"/>
  <c r="CE18" i="17" a="1"/>
  <c r="CE18" i="17"/>
  <c r="CG18" i="17" a="1"/>
  <c r="CG18" i="17"/>
  <c r="CE19" i="17" a="1"/>
  <c r="CE19" i="17"/>
  <c r="CG19" i="17" a="1"/>
  <c r="CG19" i="17"/>
  <c r="CE20" i="17" a="1"/>
  <c r="CE20" i="17"/>
  <c r="CG20" i="17" a="1"/>
  <c r="CG20" i="17"/>
  <c r="CE21" i="17" a="1"/>
  <c r="CE21" i="17"/>
  <c r="CG21" i="17" a="1"/>
  <c r="CG21" i="17"/>
  <c r="CE22" i="17" a="1"/>
  <c r="CE22" i="17"/>
  <c r="CG22" i="17" a="1"/>
  <c r="CG22" i="17"/>
  <c r="CJ6" i="17" a="1"/>
  <c r="CJ6" i="17"/>
  <c r="CL6" i="17" a="1"/>
  <c r="CL6" i="17"/>
  <c r="CN6" i="17" a="1"/>
  <c r="CN6" i="17"/>
  <c r="CJ7" i="17" a="1"/>
  <c r="CJ7" i="17"/>
  <c r="CL7" i="17" a="1"/>
  <c r="CL7" i="17"/>
  <c r="CN7" i="17" a="1"/>
  <c r="CN7" i="17"/>
  <c r="CJ8" i="17" a="1"/>
  <c r="CJ8" i="17"/>
  <c r="CL8" i="17" a="1"/>
  <c r="CL8" i="17"/>
  <c r="CN8" i="17" a="1"/>
  <c r="CN8" i="17"/>
  <c r="CL9" i="17" a="1"/>
  <c r="CL9" i="17"/>
  <c r="CN9" i="17" a="1"/>
  <c r="CN9" i="17"/>
  <c r="CL10" i="17" a="1"/>
  <c r="CL10" i="17"/>
  <c r="CN10" i="17" a="1"/>
  <c r="CN10" i="17"/>
  <c r="CL11" i="17" a="1"/>
  <c r="CL11" i="17"/>
  <c r="CN11" i="17" a="1"/>
  <c r="CN11" i="17"/>
  <c r="CL12" i="17" a="1"/>
  <c r="CL12" i="17"/>
  <c r="CN12" i="17" a="1"/>
  <c r="CN12" i="17"/>
  <c r="CL13" i="17" a="1"/>
  <c r="CL13" i="17"/>
  <c r="CN13" i="17" a="1"/>
  <c r="CN13" i="17"/>
  <c r="CL14" i="17" a="1"/>
  <c r="CL14" i="17"/>
  <c r="CN14" i="17" a="1"/>
  <c r="CN14" i="17"/>
  <c r="CL15" i="17" a="1"/>
  <c r="CL15" i="17"/>
  <c r="CN15" i="17" a="1"/>
  <c r="CN15" i="17"/>
  <c r="CL16" i="17" a="1"/>
  <c r="CL16" i="17"/>
  <c r="CN16" i="17" a="1"/>
  <c r="CN16" i="17"/>
  <c r="CL17" i="17" a="1"/>
  <c r="CL17" i="17"/>
  <c r="CN17" i="17" a="1"/>
  <c r="CN17" i="17"/>
  <c r="CL18" i="17" a="1"/>
  <c r="CL18" i="17"/>
  <c r="CN18" i="17" a="1"/>
  <c r="CN18" i="17"/>
  <c r="CL19" i="17" a="1"/>
  <c r="CL19" i="17"/>
  <c r="CN19" i="17" a="1"/>
  <c r="CN19" i="17"/>
  <c r="CL20" i="17" a="1"/>
  <c r="CL20" i="17"/>
  <c r="CN20" i="17" a="1"/>
  <c r="CN20" i="17"/>
  <c r="CL21" i="17" a="1"/>
  <c r="CL21" i="17"/>
  <c r="CN21" i="17" a="1"/>
  <c r="CN21" i="17"/>
  <c r="CL22" i="17" a="1"/>
  <c r="CL22" i="17"/>
  <c r="CN22" i="17" a="1"/>
  <c r="CN22" i="17"/>
  <c r="CQ6" i="17" a="1"/>
  <c r="CQ6" i="17"/>
  <c r="CS6" i="17" a="1"/>
  <c r="CS6" i="17"/>
  <c r="CU6" i="17" a="1"/>
  <c r="CU6" i="17"/>
  <c r="CQ7" i="17" a="1"/>
  <c r="CQ7" i="17"/>
  <c r="CS7" i="17" a="1"/>
  <c r="CS7" i="17"/>
  <c r="CU7" i="17" a="1"/>
  <c r="CU7" i="17"/>
  <c r="CQ8" i="17" a="1"/>
  <c r="CQ8" i="17"/>
  <c r="CS8" i="17" a="1"/>
  <c r="CS8" i="17"/>
  <c r="CU8" i="17" a="1"/>
  <c r="CU8" i="17"/>
  <c r="CS9" i="17" a="1"/>
  <c r="CS9" i="17"/>
  <c r="CU9" i="17" a="1"/>
  <c r="CU9" i="17"/>
  <c r="CS10" i="17" a="1"/>
  <c r="CS10" i="17"/>
  <c r="CU10" i="17" a="1"/>
  <c r="CU10" i="17"/>
  <c r="CS11" i="17" a="1"/>
  <c r="CS11" i="17"/>
  <c r="CU11" i="17" a="1"/>
  <c r="CU11" i="17"/>
  <c r="CS12" i="17" a="1"/>
  <c r="CS12" i="17"/>
  <c r="CU12" i="17" a="1"/>
  <c r="CU12" i="17"/>
  <c r="CS13" i="17" a="1"/>
  <c r="CS13" i="17"/>
  <c r="CU13" i="17" a="1"/>
  <c r="CU13" i="17"/>
  <c r="CS14" i="17" a="1"/>
  <c r="CS14" i="17"/>
  <c r="CU14" i="17" a="1"/>
  <c r="CU14" i="17"/>
  <c r="CS15" i="17" a="1"/>
  <c r="CS15" i="17"/>
  <c r="CU15" i="17" a="1"/>
  <c r="CU15" i="17"/>
  <c r="CS16" i="17" a="1"/>
  <c r="CS16" i="17"/>
  <c r="CU16" i="17" a="1"/>
  <c r="CU16" i="17"/>
  <c r="CS17" i="17" a="1"/>
  <c r="CS17" i="17"/>
  <c r="CU17" i="17" a="1"/>
  <c r="CU17" i="17"/>
  <c r="CS18" i="17" a="1"/>
  <c r="CS18" i="17"/>
  <c r="CU18" i="17" a="1"/>
  <c r="CU18" i="17"/>
  <c r="CS19" i="17" a="1"/>
  <c r="CS19" i="17"/>
  <c r="CU19" i="17" a="1"/>
  <c r="CU19" i="17"/>
  <c r="CS20" i="17" a="1"/>
  <c r="CS20" i="17"/>
  <c r="CU20" i="17" a="1"/>
  <c r="CU20" i="17"/>
  <c r="CS21" i="17" a="1"/>
  <c r="CS21" i="17"/>
  <c r="CU21" i="17" a="1"/>
  <c r="CU21" i="17"/>
  <c r="CS22" i="17" a="1"/>
  <c r="CS22" i="17"/>
  <c r="CU22" i="17" a="1"/>
  <c r="CU22" i="17"/>
  <c r="CX6" i="17" a="1"/>
  <c r="CX6" i="17"/>
  <c r="CZ6" i="17" a="1"/>
  <c r="CZ6" i="17"/>
  <c r="DB6" i="17" a="1"/>
  <c r="DB6" i="17"/>
  <c r="CX7" i="17" a="1"/>
  <c r="CX7" i="17"/>
  <c r="CZ7" i="17" a="1"/>
  <c r="CZ7" i="17"/>
  <c r="DB7" i="17" a="1"/>
  <c r="DB7" i="17"/>
  <c r="CX8" i="17" a="1"/>
  <c r="CX8" i="17"/>
  <c r="CZ8" i="17" a="1"/>
  <c r="CZ8" i="17"/>
  <c r="DB8" i="17" a="1"/>
  <c r="DB8" i="17"/>
  <c r="CZ9" i="17" a="1"/>
  <c r="CZ9" i="17"/>
  <c r="DB9" i="17" a="1"/>
  <c r="DB9" i="17"/>
  <c r="CZ10" i="17" a="1"/>
  <c r="CZ10" i="17"/>
  <c r="DB10" i="17" a="1"/>
  <c r="DB10" i="17"/>
  <c r="CZ11" i="17" a="1"/>
  <c r="CZ11" i="17"/>
  <c r="DB11" i="17" a="1"/>
  <c r="DB11" i="17"/>
  <c r="CZ12" i="17" a="1"/>
  <c r="CZ12" i="17"/>
  <c r="DB12" i="17" a="1"/>
  <c r="DB12" i="17"/>
  <c r="CZ13" i="17" a="1"/>
  <c r="CZ13" i="17"/>
  <c r="DB13" i="17" a="1"/>
  <c r="DB13" i="17"/>
  <c r="CZ14" i="17" a="1"/>
  <c r="CZ14" i="17"/>
  <c r="DB14" i="17" a="1"/>
  <c r="DB14" i="17"/>
  <c r="CZ15" i="17" a="1"/>
  <c r="CZ15" i="17"/>
  <c r="DB15" i="17" a="1"/>
  <c r="DB15" i="17"/>
  <c r="CZ16" i="17" a="1"/>
  <c r="CZ16" i="17"/>
  <c r="DB16" i="17" a="1"/>
  <c r="DB16" i="17"/>
  <c r="CZ17" i="17" a="1"/>
  <c r="CZ17" i="17"/>
  <c r="DB17" i="17" a="1"/>
  <c r="DB17" i="17"/>
  <c r="CZ18" i="17" a="1"/>
  <c r="CZ18" i="17"/>
  <c r="DB18" i="17" a="1"/>
  <c r="DB18" i="17"/>
  <c r="CZ19" i="17" a="1"/>
  <c r="CZ19" i="17"/>
  <c r="DB19" i="17" a="1"/>
  <c r="DB19" i="17"/>
  <c r="CZ20" i="17" a="1"/>
  <c r="CZ20" i="17"/>
  <c r="DB20" i="17" a="1"/>
  <c r="DB20" i="17"/>
  <c r="CZ21" i="17" a="1"/>
  <c r="CZ21" i="17"/>
  <c r="DB21" i="17" a="1"/>
  <c r="DB21" i="17"/>
  <c r="CZ22" i="17" a="1"/>
  <c r="CZ22" i="17"/>
  <c r="DB22" i="17" a="1"/>
  <c r="DB22" i="17"/>
  <c r="DE6" i="17" a="1"/>
  <c r="DE6" i="17"/>
  <c r="DG6" i="17" a="1"/>
  <c r="DG6" i="17"/>
  <c r="DI6" i="17" a="1"/>
  <c r="DI6" i="17"/>
  <c r="DE7" i="17" a="1"/>
  <c r="DE7" i="17"/>
  <c r="DG7" i="17" a="1"/>
  <c r="DG7" i="17"/>
  <c r="DI7" i="17" a="1"/>
  <c r="DI7" i="17"/>
  <c r="DE8" i="17" a="1"/>
  <c r="DE8" i="17"/>
  <c r="DG8" i="17" a="1"/>
  <c r="DG8" i="17"/>
  <c r="DI8" i="17" a="1"/>
  <c r="DI8" i="17"/>
  <c r="DG9" i="17" a="1"/>
  <c r="DG9" i="17"/>
  <c r="DI9" i="17" a="1"/>
  <c r="DI9" i="17"/>
  <c r="DG10" i="17" a="1"/>
  <c r="DG10" i="17"/>
  <c r="DI10" i="17" a="1"/>
  <c r="DI10" i="17"/>
  <c r="DG11" i="17" a="1"/>
  <c r="DG11" i="17"/>
  <c r="DI11" i="17" a="1"/>
  <c r="DI11" i="17"/>
  <c r="DG12" i="17" a="1"/>
  <c r="DG12" i="17"/>
  <c r="DI12" i="17" a="1"/>
  <c r="DI12" i="17"/>
  <c r="DG13" i="17" a="1"/>
  <c r="DG13" i="17"/>
  <c r="DI13" i="17" a="1"/>
  <c r="DI13" i="17"/>
  <c r="DG14" i="17" a="1"/>
  <c r="DG14" i="17"/>
  <c r="DI14" i="17" a="1"/>
  <c r="DI14" i="17"/>
  <c r="DG15" i="17" a="1"/>
  <c r="DG15" i="17"/>
  <c r="DI15" i="17" a="1"/>
  <c r="DI15" i="17"/>
  <c r="DG16" i="17" a="1"/>
  <c r="DG16" i="17"/>
  <c r="DI16" i="17" a="1"/>
  <c r="DI16" i="17"/>
  <c r="DG17" i="17" a="1"/>
  <c r="DG17" i="17"/>
  <c r="DI17" i="17" a="1"/>
  <c r="DI17" i="17"/>
  <c r="DG18" i="17" a="1"/>
  <c r="DG18" i="17"/>
  <c r="DI18" i="17" a="1"/>
  <c r="DI18" i="17"/>
  <c r="DG19" i="17" a="1"/>
  <c r="DG19" i="17"/>
  <c r="DI19" i="17" a="1"/>
  <c r="DI19" i="17"/>
  <c r="DG20" i="17" a="1"/>
  <c r="DG20" i="17"/>
  <c r="DI20" i="17" a="1"/>
  <c r="DI20" i="17"/>
  <c r="DG21" i="17" a="1"/>
  <c r="DG21" i="17"/>
  <c r="DI21" i="17" a="1"/>
  <c r="DI21" i="17"/>
  <c r="DG22" i="17" a="1"/>
  <c r="DG22" i="17"/>
  <c r="DI22" i="17" a="1"/>
  <c r="DI22" i="17"/>
  <c r="DL6" i="17" a="1"/>
  <c r="DL6" i="17"/>
  <c r="DN6" i="17" a="1"/>
  <c r="DN6" i="17"/>
  <c r="DP6" i="17" a="1"/>
  <c r="DP6" i="17"/>
  <c r="DL7" i="17" a="1"/>
  <c r="DL7" i="17"/>
  <c r="DN7" i="17" a="1"/>
  <c r="DN7" i="17"/>
  <c r="DP7" i="17" a="1"/>
  <c r="DP7" i="17"/>
  <c r="DL8" i="17" a="1"/>
  <c r="DL8" i="17"/>
  <c r="DN8" i="17" a="1"/>
  <c r="DN8" i="17"/>
  <c r="DP8" i="17" a="1"/>
  <c r="DP8" i="17"/>
  <c r="DN9" i="17" a="1"/>
  <c r="DN9" i="17"/>
  <c r="DP9" i="17" a="1"/>
  <c r="DP9" i="17"/>
  <c r="DN10" i="17" a="1"/>
  <c r="DN10" i="17"/>
  <c r="DP10" i="17" a="1"/>
  <c r="DP10" i="17"/>
  <c r="DN11" i="17" a="1"/>
  <c r="DN11" i="17"/>
  <c r="DP11" i="17" a="1"/>
  <c r="DP11" i="17"/>
  <c r="DN12" i="17" a="1"/>
  <c r="DN12" i="17"/>
  <c r="DP12" i="17" a="1"/>
  <c r="DP12" i="17"/>
  <c r="DN13" i="17" a="1"/>
  <c r="DN13" i="17"/>
  <c r="DP13" i="17" a="1"/>
  <c r="DP13" i="17"/>
  <c r="DN14" i="17" a="1"/>
  <c r="DN14" i="17"/>
  <c r="DP14" i="17" a="1"/>
  <c r="DP14" i="17"/>
  <c r="DN15" i="17" a="1"/>
  <c r="DN15" i="17"/>
  <c r="DP15" i="17" a="1"/>
  <c r="DP15" i="17"/>
  <c r="DN16" i="17" a="1"/>
  <c r="DN16" i="17"/>
  <c r="DP16" i="17" a="1"/>
  <c r="DP16" i="17"/>
  <c r="DN17" i="17" a="1"/>
  <c r="DN17" i="17"/>
  <c r="DP17" i="17" a="1"/>
  <c r="DP17" i="17"/>
  <c r="DN18" i="17" a="1"/>
  <c r="DN18" i="17"/>
  <c r="DP18" i="17" a="1"/>
  <c r="DP18" i="17"/>
  <c r="DN19" i="17" a="1"/>
  <c r="DN19" i="17"/>
  <c r="DP19" i="17" a="1"/>
  <c r="DP19" i="17"/>
  <c r="DN20" i="17" a="1"/>
  <c r="DN20" i="17"/>
  <c r="DP20" i="17" a="1"/>
  <c r="DP20" i="17"/>
  <c r="DN21" i="17" a="1"/>
  <c r="DN21" i="17"/>
  <c r="DP21" i="17" a="1"/>
  <c r="DP21" i="17"/>
  <c r="DN22" i="17" a="1"/>
  <c r="DN22" i="17"/>
  <c r="DP22" i="17" a="1"/>
  <c r="DP22" i="17"/>
  <c r="DS6" i="17" a="1"/>
  <c r="DS6" i="17"/>
  <c r="DU6" i="17" a="1"/>
  <c r="DU6" i="17"/>
  <c r="DW6" i="17" a="1"/>
  <c r="DW6" i="17"/>
  <c r="DS7" i="17" a="1"/>
  <c r="DS7" i="17"/>
  <c r="DU7" i="17" a="1"/>
  <c r="DU7" i="17"/>
  <c r="DW7" i="17" a="1"/>
  <c r="DW7" i="17"/>
  <c r="DS8" i="17" a="1"/>
  <c r="DS8" i="17"/>
  <c r="DU8" i="17" a="1"/>
  <c r="DU8" i="17"/>
  <c r="DW8" i="17" a="1"/>
  <c r="DW8" i="17"/>
  <c r="DU9" i="17" a="1"/>
  <c r="DU9" i="17"/>
  <c r="DW9" i="17" a="1"/>
  <c r="DW9" i="17"/>
  <c r="DU10" i="17" a="1"/>
  <c r="DU10" i="17"/>
  <c r="DW10" i="17" a="1"/>
  <c r="DW10" i="17"/>
  <c r="DU11" i="17" a="1"/>
  <c r="DU11" i="17"/>
  <c r="DW11" i="17" a="1"/>
  <c r="DW11" i="17"/>
  <c r="DU12" i="17" a="1"/>
  <c r="DU12" i="17"/>
  <c r="DW12" i="17" a="1"/>
  <c r="DW12" i="17"/>
  <c r="DU13" i="17" a="1"/>
  <c r="DU13" i="17"/>
  <c r="DW13" i="17" a="1"/>
  <c r="DW13" i="17"/>
  <c r="DU14" i="17" a="1"/>
  <c r="DU14" i="17"/>
  <c r="DW14" i="17" a="1"/>
  <c r="DW14" i="17"/>
  <c r="DU15" i="17" a="1"/>
  <c r="DU15" i="17"/>
  <c r="DW15" i="17" a="1"/>
  <c r="DW15" i="17"/>
  <c r="DU16" i="17" a="1"/>
  <c r="DU16" i="17"/>
  <c r="DW16" i="17" a="1"/>
  <c r="DW16" i="17"/>
  <c r="DU17" i="17" a="1"/>
  <c r="DU17" i="17"/>
  <c r="DW17" i="17" a="1"/>
  <c r="DW17" i="17"/>
  <c r="DU18" i="17" a="1"/>
  <c r="DU18" i="17"/>
  <c r="DW18" i="17" a="1"/>
  <c r="DW18" i="17"/>
  <c r="DU19" i="17" a="1"/>
  <c r="DU19" i="17"/>
  <c r="DW19" i="17" a="1"/>
  <c r="DW19" i="17"/>
  <c r="DU20" i="17" a="1"/>
  <c r="DU20" i="17"/>
  <c r="DW20" i="17" a="1"/>
  <c r="DW20" i="17"/>
  <c r="DU21" i="17" a="1"/>
  <c r="DU21" i="17"/>
  <c r="DW21" i="17" a="1"/>
  <c r="DW21" i="17"/>
  <c r="DU22" i="17" a="1"/>
  <c r="DU22" i="17"/>
  <c r="DW22" i="17" a="1"/>
  <c r="DW22" i="17"/>
  <c r="DZ6" i="17" a="1"/>
  <c r="DZ6" i="17"/>
  <c r="EB6" i="17" a="1"/>
  <c r="EB6" i="17"/>
  <c r="ED6" i="17" a="1"/>
  <c r="ED6" i="17"/>
  <c r="DZ7" i="17" a="1"/>
  <c r="DZ7" i="17"/>
  <c r="EB7" i="17" a="1"/>
  <c r="EB7" i="17"/>
  <c r="ED7" i="17" a="1"/>
  <c r="ED7" i="17"/>
  <c r="DZ8" i="17" a="1"/>
  <c r="DZ8" i="17"/>
  <c r="EB8" i="17" a="1"/>
  <c r="EB8" i="17"/>
  <c r="ED8" i="17" a="1"/>
  <c r="ED8" i="17"/>
  <c r="EB9" i="17" a="1"/>
  <c r="EB9" i="17"/>
  <c r="ED9" i="17" a="1"/>
  <c r="ED9" i="17"/>
  <c r="EB10" i="17" a="1"/>
  <c r="EB10" i="17"/>
  <c r="ED10" i="17" a="1"/>
  <c r="ED10" i="17"/>
  <c r="EB11" i="17" a="1"/>
  <c r="EB11" i="17"/>
  <c r="ED11" i="17" a="1"/>
  <c r="ED11" i="17"/>
  <c r="EB12" i="17" a="1"/>
  <c r="EB12" i="17"/>
  <c r="ED12" i="17" a="1"/>
  <c r="ED12" i="17"/>
  <c r="EB13" i="17" a="1"/>
  <c r="EB13" i="17"/>
  <c r="ED13" i="17" a="1"/>
  <c r="ED13" i="17"/>
  <c r="EB14" i="17" a="1"/>
  <c r="EB14" i="17"/>
  <c r="ED14" i="17" a="1"/>
  <c r="ED14" i="17"/>
  <c r="EB15" i="17" a="1"/>
  <c r="EB15" i="17"/>
  <c r="ED15" i="17" a="1"/>
  <c r="ED15" i="17"/>
  <c r="EB16" i="17" a="1"/>
  <c r="EB16" i="17"/>
  <c r="ED16" i="17" a="1"/>
  <c r="ED16" i="17"/>
  <c r="EB17" i="17" a="1"/>
  <c r="EB17" i="17"/>
  <c r="ED17" i="17" a="1"/>
  <c r="ED17" i="17"/>
  <c r="EB18" i="17" a="1"/>
  <c r="EB18" i="17"/>
  <c r="ED18" i="17" a="1"/>
  <c r="ED18" i="17"/>
  <c r="EB19" i="17" a="1"/>
  <c r="EB19" i="17"/>
  <c r="ED19" i="17" a="1"/>
  <c r="ED19" i="17"/>
  <c r="EB20" i="17" a="1"/>
  <c r="EB20" i="17"/>
  <c r="ED20" i="17" a="1"/>
  <c r="ED20" i="17"/>
  <c r="EB21" i="17" a="1"/>
  <c r="EB21" i="17"/>
  <c r="ED21" i="17" a="1"/>
  <c r="ED21" i="17"/>
  <c r="EB22" i="17" a="1"/>
  <c r="EB22" i="17"/>
  <c r="ED22" i="17" a="1"/>
  <c r="ED22" i="17"/>
  <c r="EG6" i="17" a="1"/>
  <c r="EG6" i="17"/>
  <c r="EI6" i="17" a="1"/>
  <c r="EI6" i="17"/>
  <c r="EK6" i="17" a="1"/>
  <c r="EK6" i="17"/>
  <c r="EG7" i="17" a="1"/>
  <c r="EG7" i="17"/>
  <c r="EI7" i="17" a="1"/>
  <c r="EI7" i="17"/>
  <c r="EK7" i="17" a="1"/>
  <c r="EK7" i="17"/>
  <c r="EG8" i="17" a="1"/>
  <c r="EG8" i="17"/>
  <c r="EI8" i="17" a="1"/>
  <c r="EI8" i="17"/>
  <c r="EK8" i="17" a="1"/>
  <c r="EK8" i="17"/>
  <c r="EI9" i="17" a="1"/>
  <c r="EI9" i="17"/>
  <c r="EK9" i="17" a="1"/>
  <c r="EK9" i="17"/>
  <c r="EI10" i="17" a="1"/>
  <c r="EI10" i="17"/>
  <c r="EK10" i="17" a="1"/>
  <c r="EK10" i="17"/>
  <c r="EI11" i="17" a="1"/>
  <c r="EI11" i="17"/>
  <c r="EK11" i="17" a="1"/>
  <c r="EK11" i="17"/>
  <c r="EI12" i="17" a="1"/>
  <c r="EI12" i="17"/>
  <c r="EK12" i="17" a="1"/>
  <c r="EK12" i="17"/>
  <c r="EI13" i="17" a="1"/>
  <c r="EI13" i="17"/>
  <c r="EK13" i="17" a="1"/>
  <c r="EK13" i="17"/>
  <c r="EI14" i="17" a="1"/>
  <c r="EI14" i="17"/>
  <c r="EK14" i="17" a="1"/>
  <c r="EK14" i="17"/>
  <c r="EI15" i="17" a="1"/>
  <c r="EI15" i="17"/>
  <c r="EK15" i="17" a="1"/>
  <c r="EK15" i="17"/>
  <c r="EI16" i="17" a="1"/>
  <c r="EI16" i="17"/>
  <c r="EK16" i="17" a="1"/>
  <c r="EK16" i="17"/>
  <c r="EI17" i="17" a="1"/>
  <c r="EI17" i="17"/>
  <c r="EK17" i="17" a="1"/>
  <c r="EK17" i="17"/>
  <c r="EI18" i="17" a="1"/>
  <c r="EI18" i="17"/>
  <c r="EK18" i="17" a="1"/>
  <c r="EK18" i="17"/>
  <c r="EI19" i="17" a="1"/>
  <c r="EI19" i="17"/>
  <c r="EK19" i="17" a="1"/>
  <c r="EK19" i="17"/>
  <c r="EI20" i="17" a="1"/>
  <c r="EI20" i="17"/>
  <c r="EK20" i="17" a="1"/>
  <c r="EK20" i="17"/>
  <c r="EI21" i="17" a="1"/>
  <c r="EI21" i="17"/>
  <c r="EK21" i="17" a="1"/>
  <c r="EK21" i="17"/>
  <c r="EI22" i="17" a="1"/>
  <c r="EI22" i="17"/>
  <c r="EK22" i="17" a="1"/>
  <c r="EK22" i="17"/>
  <c r="BO6" i="17" a="1"/>
  <c r="BO6" i="17"/>
  <c r="BQ6" i="17" a="1"/>
  <c r="BQ6" i="17"/>
  <c r="BS6" i="17" a="1"/>
  <c r="BS6" i="17"/>
  <c r="BO7" i="17" a="1"/>
  <c r="BO7" i="17"/>
  <c r="BQ7" i="17" a="1"/>
  <c r="BQ7" i="17"/>
  <c r="BS7" i="17" a="1"/>
  <c r="BS7" i="17"/>
  <c r="BO8" i="17" a="1"/>
  <c r="BO8" i="17"/>
  <c r="BQ8" i="17" a="1"/>
  <c r="BQ8" i="17"/>
  <c r="BS8" i="17" a="1"/>
  <c r="BS8" i="17"/>
  <c r="BQ9" i="17" a="1"/>
  <c r="BQ9" i="17"/>
  <c r="BS9" i="17" a="1"/>
  <c r="BS9" i="17"/>
  <c r="BQ10" i="17" a="1"/>
  <c r="BQ10" i="17"/>
  <c r="BS10" i="17" a="1"/>
  <c r="BS10" i="17"/>
  <c r="BQ11" i="17" a="1"/>
  <c r="BQ11" i="17"/>
  <c r="BS11" i="17" a="1"/>
  <c r="BS11" i="17"/>
  <c r="BQ12" i="17" a="1"/>
  <c r="BQ12" i="17"/>
  <c r="BS12" i="17" a="1"/>
  <c r="BS12" i="17"/>
  <c r="BQ13" i="17" a="1"/>
  <c r="BQ13" i="17"/>
  <c r="BS13" i="17" a="1"/>
  <c r="BS13" i="17"/>
  <c r="BQ14" i="17" a="1"/>
  <c r="BQ14" i="17"/>
  <c r="BS14" i="17" a="1"/>
  <c r="BS14" i="17"/>
  <c r="BQ15" i="17" a="1"/>
  <c r="BQ15" i="17"/>
  <c r="BS15" i="17" a="1"/>
  <c r="BS15" i="17"/>
  <c r="BQ16" i="17" a="1"/>
  <c r="BQ16" i="17"/>
  <c r="BS16" i="17" a="1"/>
  <c r="BS16" i="17"/>
  <c r="BQ17" i="17" a="1"/>
  <c r="BQ17" i="17"/>
  <c r="BS17" i="17" a="1"/>
  <c r="BS17" i="17"/>
  <c r="BQ18" i="17" a="1"/>
  <c r="BQ18" i="17"/>
  <c r="BS18" i="17" a="1"/>
  <c r="BS18" i="17"/>
  <c r="BQ19" i="17" a="1"/>
  <c r="BQ19" i="17"/>
  <c r="BS19" i="17" a="1"/>
  <c r="BS19" i="17"/>
  <c r="BQ20" i="17" a="1"/>
  <c r="BQ20" i="17"/>
  <c r="BS20" i="17" a="1"/>
  <c r="BS20" i="17"/>
  <c r="BQ21" i="17" a="1"/>
  <c r="BQ21" i="17"/>
  <c r="BS21" i="17" a="1"/>
  <c r="BS21" i="17"/>
  <c r="BQ22" i="17" a="1"/>
  <c r="BQ22" i="17"/>
  <c r="BS22" i="17" a="1"/>
  <c r="BS22" i="17"/>
  <c r="EK23" i="17" a="1"/>
  <c r="EK23" i="17"/>
  <c r="EI23" i="17" a="1"/>
  <c r="EI23" i="17"/>
  <c r="ED23" i="17" a="1"/>
  <c r="ED23" i="17"/>
  <c r="EB23" i="17" a="1"/>
  <c r="EB23" i="17"/>
  <c r="DW23" i="17" a="1"/>
  <c r="DW23" i="17"/>
  <c r="DU23" i="17" a="1"/>
  <c r="DU23" i="17"/>
  <c r="DP23" i="17" a="1"/>
  <c r="DP23" i="17"/>
  <c r="DN23" i="17" a="1"/>
  <c r="DN23" i="17"/>
  <c r="DI23" i="17" a="1"/>
  <c r="DI23" i="17"/>
  <c r="DG23" i="17" a="1"/>
  <c r="DG23" i="17"/>
  <c r="DB23" i="17" a="1"/>
  <c r="DB23" i="17"/>
  <c r="CZ23" i="17" a="1"/>
  <c r="CZ23" i="17"/>
  <c r="CU23" i="17" a="1"/>
  <c r="CU23" i="17"/>
  <c r="CS23" i="17" a="1"/>
  <c r="CS23" i="17"/>
  <c r="CN23" i="17" a="1"/>
  <c r="CN23" i="17"/>
  <c r="CL23" i="17" a="1"/>
  <c r="CL23" i="17"/>
  <c r="CG23" i="17" a="1"/>
  <c r="CG23" i="17"/>
  <c r="CE23" i="17" a="1"/>
  <c r="CE23" i="17"/>
  <c r="BZ23" i="17" a="1"/>
  <c r="BZ23" i="17"/>
  <c r="BX23" i="17" a="1"/>
  <c r="BX23" i="17"/>
  <c r="BS23" i="17" a="1"/>
  <c r="BS23" i="17"/>
  <c r="BQ23" i="17" a="1"/>
  <c r="BQ23" i="17"/>
  <c r="BL23" i="17" a="1"/>
  <c r="BL23" i="17"/>
  <c r="BJ23" i="17" a="1"/>
  <c r="BJ23" i="17"/>
  <c r="BE23" i="17" a="1"/>
  <c r="BE23" i="17"/>
  <c r="BC23" i="17" a="1"/>
  <c r="BC23" i="17"/>
  <c r="AX23" i="17" a="1"/>
  <c r="AX23" i="17"/>
  <c r="AV23" i="17" a="1"/>
  <c r="AV23" i="17"/>
  <c r="AQ23" i="17" a="1"/>
  <c r="AQ23" i="17"/>
  <c r="AO23" i="17" a="1"/>
  <c r="AO23" i="17"/>
  <c r="AJ23" i="17" a="1"/>
  <c r="AJ23" i="17"/>
  <c r="AH23" i="17" a="1"/>
  <c r="AH23" i="17"/>
  <c r="AC23" i="17" a="1"/>
  <c r="AC23" i="17"/>
  <c r="AA23" i="17" a="1"/>
  <c r="AA23" i="17"/>
  <c r="V23" i="17" a="1"/>
  <c r="V23" i="17"/>
  <c r="T23" i="17" a="1"/>
  <c r="T23" i="17"/>
  <c r="O23" i="17" a="1"/>
  <c r="O23" i="17"/>
  <c r="M23" i="17" a="1"/>
  <c r="M23" i="17"/>
  <c r="K9" i="17" a="1"/>
  <c r="K9" i="17"/>
  <c r="K10" i="17" a="1"/>
  <c r="K10" i="17"/>
  <c r="K11" i="17" a="1"/>
  <c r="K11" i="17"/>
  <c r="K12" i="17" a="1"/>
  <c r="K12" i="17"/>
  <c r="K13" i="17" a="1"/>
  <c r="K13" i="17"/>
  <c r="K14" i="17" a="1"/>
  <c r="K14" i="17"/>
  <c r="K15" i="17" a="1"/>
  <c r="K15" i="17"/>
  <c r="K16" i="17" a="1"/>
  <c r="K16" i="17"/>
  <c r="K17" i="17" a="1"/>
  <c r="K17" i="17"/>
  <c r="K18" i="17" a="1"/>
  <c r="K18" i="17"/>
  <c r="K19" i="17" a="1"/>
  <c r="K19" i="17"/>
  <c r="K20" i="17" a="1"/>
  <c r="K20" i="17"/>
  <c r="K21" i="17" a="1"/>
  <c r="K21" i="17"/>
  <c r="K22" i="17" a="1"/>
  <c r="K22" i="17"/>
  <c r="K23" i="17" a="1"/>
  <c r="K23" i="17"/>
  <c r="K24" i="17" a="1"/>
  <c r="K24" i="17"/>
  <c r="K25" i="17" a="1"/>
  <c r="K25" i="17"/>
  <c r="K26" i="17" a="1"/>
  <c r="K26" i="17"/>
  <c r="K27" i="17" a="1"/>
  <c r="K27" i="17"/>
  <c r="K28" i="17" a="1"/>
  <c r="K28" i="17"/>
  <c r="K29" i="17" a="1"/>
  <c r="K29" i="17"/>
  <c r="K30" i="17" a="1"/>
  <c r="K30" i="17"/>
  <c r="K31" i="17" a="1"/>
  <c r="K31" i="17"/>
  <c r="K32" i="17" a="1"/>
  <c r="K32" i="17"/>
  <c r="K33" i="17" a="1"/>
  <c r="K33" i="17"/>
  <c r="K34" i="17" a="1"/>
  <c r="K34" i="17"/>
  <c r="K35" i="17" a="1"/>
  <c r="K35" i="17"/>
  <c r="K36" i="17" a="1"/>
  <c r="K36" i="17"/>
  <c r="K37" i="17" a="1"/>
  <c r="K37" i="17"/>
  <c r="K38" i="17" a="1"/>
  <c r="K38" i="17"/>
  <c r="K39" i="17" a="1"/>
  <c r="K39" i="17"/>
  <c r="K40" i="17" a="1"/>
  <c r="K40" i="17"/>
  <c r="K41" i="17" a="1"/>
  <c r="K41" i="17"/>
  <c r="K42" i="17" a="1"/>
  <c r="K42" i="17"/>
  <c r="K43" i="17" a="1"/>
  <c r="K43" i="17"/>
  <c r="K44" i="17" a="1"/>
  <c r="K44" i="17"/>
  <c r="K45" i="17" a="1"/>
  <c r="K45" i="17"/>
  <c r="K46" i="17" a="1"/>
  <c r="K46" i="17"/>
  <c r="K47" i="17" a="1"/>
  <c r="K47" i="17"/>
  <c r="K48" i="17" a="1"/>
  <c r="K48" i="17"/>
  <c r="K49" i="17" a="1"/>
  <c r="K49" i="17"/>
  <c r="K50" i="17" a="1"/>
  <c r="K50" i="17"/>
  <c r="K51" i="17" a="1"/>
  <c r="K51" i="17"/>
  <c r="K52" i="17" a="1"/>
  <c r="K52" i="17"/>
  <c r="K53" i="17" a="1"/>
  <c r="K53" i="17"/>
  <c r="K54" i="17" a="1"/>
  <c r="K54" i="17"/>
  <c r="K55" i="17" a="1"/>
  <c r="K55" i="17"/>
  <c r="K56" i="17" a="1"/>
  <c r="K56" i="17"/>
  <c r="K57" i="17" a="1"/>
  <c r="K57" i="17"/>
  <c r="K58" i="17" a="1"/>
  <c r="K58" i="17"/>
  <c r="K59" i="17" a="1"/>
  <c r="K59" i="17"/>
  <c r="K60" i="17" a="1"/>
  <c r="K60" i="17"/>
  <c r="K61" i="17" a="1"/>
  <c r="K61" i="17"/>
  <c r="K62" i="17" a="1"/>
  <c r="K62" i="17"/>
  <c r="K63" i="17" a="1"/>
  <c r="K63" i="17"/>
  <c r="K64" i="17" a="1"/>
  <c r="K64" i="17"/>
  <c r="K65" i="17" a="1"/>
  <c r="K65" i="17"/>
  <c r="K66" i="17" a="1"/>
  <c r="K66" i="17"/>
  <c r="M24" i="17" a="1"/>
  <c r="M24" i="17"/>
  <c r="M25" i="17" a="1"/>
  <c r="M25" i="17"/>
  <c r="M26" i="17" a="1"/>
  <c r="M26" i="17"/>
  <c r="M27" i="17" a="1"/>
  <c r="M27" i="17"/>
  <c r="M28" i="17" a="1"/>
  <c r="M28" i="17"/>
  <c r="M29" i="17" a="1"/>
  <c r="M29" i="17"/>
  <c r="M30" i="17" a="1"/>
  <c r="M30" i="17"/>
  <c r="M31" i="17" a="1"/>
  <c r="M31" i="17"/>
  <c r="M32" i="17" a="1"/>
  <c r="M32" i="17"/>
  <c r="M33" i="17" a="1"/>
  <c r="M33" i="17"/>
  <c r="M34" i="17" a="1"/>
  <c r="M34" i="17"/>
  <c r="M35" i="17" a="1"/>
  <c r="M35" i="17"/>
  <c r="M36" i="17" a="1"/>
  <c r="M36" i="17"/>
  <c r="M37" i="17" a="1"/>
  <c r="M37" i="17"/>
  <c r="M38" i="17" a="1"/>
  <c r="M38" i="17"/>
  <c r="M39" i="17" a="1"/>
  <c r="M39" i="17"/>
  <c r="M40" i="17" a="1"/>
  <c r="M40" i="17"/>
  <c r="M41" i="17" a="1"/>
  <c r="M41" i="17"/>
  <c r="M42" i="17" a="1"/>
  <c r="M42" i="17"/>
  <c r="M43" i="17" a="1"/>
  <c r="M43" i="17"/>
  <c r="M44" i="17" a="1"/>
  <c r="M44" i="17"/>
  <c r="M45" i="17" a="1"/>
  <c r="M45" i="17"/>
  <c r="M46" i="17" a="1"/>
  <c r="M46" i="17"/>
  <c r="M47" i="17" a="1"/>
  <c r="M47" i="17"/>
  <c r="M48" i="17" a="1"/>
  <c r="M48" i="17"/>
  <c r="M49" i="17" a="1"/>
  <c r="M49" i="17"/>
  <c r="M50" i="17" a="1"/>
  <c r="M50" i="17"/>
  <c r="M51" i="17" a="1"/>
  <c r="M51" i="17"/>
  <c r="M52" i="17" a="1"/>
  <c r="M52" i="17"/>
  <c r="M53" i="17" a="1"/>
  <c r="M53" i="17"/>
  <c r="M54" i="17" a="1"/>
  <c r="M54" i="17"/>
  <c r="M55" i="17" a="1"/>
  <c r="M55" i="17"/>
  <c r="M56" i="17" a="1"/>
  <c r="M56" i="17"/>
  <c r="M57" i="17" a="1"/>
  <c r="M57" i="17"/>
  <c r="M58" i="17" a="1"/>
  <c r="M58" i="17"/>
  <c r="M59" i="17" a="1"/>
  <c r="M59" i="17"/>
  <c r="M60" i="17" a="1"/>
  <c r="M60" i="17"/>
  <c r="M61" i="17" a="1"/>
  <c r="M61" i="17"/>
  <c r="M62" i="17" a="1"/>
  <c r="M62" i="17"/>
  <c r="M63" i="17" a="1"/>
  <c r="M63" i="17"/>
  <c r="M64" i="17" a="1"/>
  <c r="M64" i="17"/>
  <c r="M65" i="17" a="1"/>
  <c r="M65" i="17"/>
  <c r="M66" i="17" a="1"/>
  <c r="M66" i="17"/>
  <c r="O24" i="17" a="1"/>
  <c r="O24" i="17"/>
  <c r="O25" i="17" a="1"/>
  <c r="O25" i="17"/>
  <c r="O26" i="17" a="1"/>
  <c r="O26" i="17"/>
  <c r="O27" i="17" a="1"/>
  <c r="O27" i="17"/>
  <c r="O28" i="17" a="1"/>
  <c r="O28" i="17"/>
  <c r="O29" i="17" a="1"/>
  <c r="O29" i="17"/>
  <c r="O30" i="17" a="1"/>
  <c r="O30" i="17"/>
  <c r="O31" i="17" a="1"/>
  <c r="O31" i="17"/>
  <c r="O32" i="17" a="1"/>
  <c r="O32" i="17"/>
  <c r="O33" i="17" a="1"/>
  <c r="O33" i="17"/>
  <c r="O34" i="17" a="1"/>
  <c r="O34" i="17"/>
  <c r="O35" i="17" a="1"/>
  <c r="O35" i="17"/>
  <c r="O36" i="17" a="1"/>
  <c r="O36" i="17"/>
  <c r="O37" i="17" a="1"/>
  <c r="O37" i="17"/>
  <c r="O38" i="17" a="1"/>
  <c r="O38" i="17"/>
  <c r="O39" i="17" a="1"/>
  <c r="O39" i="17"/>
  <c r="O40" i="17" a="1"/>
  <c r="O40" i="17"/>
  <c r="O41" i="17" a="1"/>
  <c r="O41" i="17"/>
  <c r="O42" i="17" a="1"/>
  <c r="O42" i="17"/>
  <c r="O43" i="17" a="1"/>
  <c r="O43" i="17"/>
  <c r="O44" i="17" a="1"/>
  <c r="O44" i="17"/>
  <c r="O45" i="17" a="1"/>
  <c r="O45" i="17"/>
  <c r="O46" i="17" a="1"/>
  <c r="O46" i="17"/>
  <c r="O47" i="17" a="1"/>
  <c r="O47" i="17"/>
  <c r="O48" i="17" a="1"/>
  <c r="O48" i="17"/>
  <c r="O49" i="17" a="1"/>
  <c r="O49" i="17"/>
  <c r="O50" i="17" a="1"/>
  <c r="O50" i="17"/>
  <c r="O51" i="17" a="1"/>
  <c r="O51" i="17"/>
  <c r="O52" i="17" a="1"/>
  <c r="O52" i="17"/>
  <c r="O53" i="17" a="1"/>
  <c r="O53" i="17"/>
  <c r="O54" i="17" a="1"/>
  <c r="O54" i="17"/>
  <c r="O55" i="17" a="1"/>
  <c r="O55" i="17"/>
  <c r="O56" i="17" a="1"/>
  <c r="O56" i="17"/>
  <c r="O57" i="17" a="1"/>
  <c r="O57" i="17"/>
  <c r="O58" i="17" a="1"/>
  <c r="O58" i="17"/>
  <c r="O59" i="17" a="1"/>
  <c r="O59" i="17"/>
  <c r="O60" i="17" a="1"/>
  <c r="O60" i="17"/>
  <c r="O61" i="17" a="1"/>
  <c r="O61" i="17"/>
  <c r="O62" i="17" a="1"/>
  <c r="O62" i="17"/>
  <c r="O63" i="17" a="1"/>
  <c r="O63" i="17"/>
  <c r="O64" i="17" a="1"/>
  <c r="O64" i="17"/>
  <c r="O65" i="17" a="1"/>
  <c r="O65" i="17"/>
  <c r="O66" i="17" a="1"/>
  <c r="O66" i="17"/>
  <c r="R9" i="17" a="1"/>
  <c r="R9" i="17"/>
  <c r="R10" i="17" a="1"/>
  <c r="R10" i="17"/>
  <c r="R11" i="17" a="1"/>
  <c r="R11" i="17"/>
  <c r="R12" i="17" a="1"/>
  <c r="R12" i="17"/>
  <c r="R13" i="17" a="1"/>
  <c r="R13" i="17"/>
  <c r="R14" i="17" a="1"/>
  <c r="R14" i="17"/>
  <c r="R15" i="17" a="1"/>
  <c r="R15" i="17"/>
  <c r="R16" i="17" a="1"/>
  <c r="R16" i="17"/>
  <c r="R17" i="17" a="1"/>
  <c r="R17" i="17"/>
  <c r="R18" i="17" a="1"/>
  <c r="R18" i="17"/>
  <c r="R19" i="17" a="1"/>
  <c r="R19" i="17"/>
  <c r="R20" i="17" a="1"/>
  <c r="R20" i="17"/>
  <c r="R21" i="17" a="1"/>
  <c r="R21" i="17"/>
  <c r="R22" i="17" a="1"/>
  <c r="R22" i="17"/>
  <c r="R23" i="17" a="1"/>
  <c r="R23" i="17"/>
  <c r="R24" i="17" a="1"/>
  <c r="R24" i="17"/>
  <c r="R25" i="17" a="1"/>
  <c r="R25" i="17"/>
  <c r="R26" i="17" a="1"/>
  <c r="R26" i="17"/>
  <c r="R27" i="17" a="1"/>
  <c r="R27" i="17"/>
  <c r="R28" i="17" a="1"/>
  <c r="R28" i="17"/>
  <c r="R29" i="17" a="1"/>
  <c r="R29" i="17"/>
  <c r="R30" i="17" a="1"/>
  <c r="R30" i="17"/>
  <c r="R31" i="17" a="1"/>
  <c r="R31" i="17"/>
  <c r="R32" i="17" a="1"/>
  <c r="R32" i="17"/>
  <c r="R33" i="17" a="1"/>
  <c r="R33" i="17"/>
  <c r="R34" i="17" a="1"/>
  <c r="R34" i="17"/>
  <c r="R35" i="17" a="1"/>
  <c r="R35" i="17"/>
  <c r="R36" i="17" a="1"/>
  <c r="R36" i="17"/>
  <c r="R37" i="17" a="1"/>
  <c r="R37" i="17"/>
  <c r="R38" i="17" a="1"/>
  <c r="R38" i="17"/>
  <c r="R39" i="17" a="1"/>
  <c r="R39" i="17"/>
  <c r="R40" i="17" a="1"/>
  <c r="R40" i="17"/>
  <c r="R41" i="17" a="1"/>
  <c r="R41" i="17"/>
  <c r="R42" i="17" a="1"/>
  <c r="R42" i="17"/>
  <c r="R43" i="17" a="1"/>
  <c r="R43" i="17"/>
  <c r="R44" i="17" a="1"/>
  <c r="R44" i="17"/>
  <c r="R45" i="17" a="1"/>
  <c r="R45" i="17"/>
  <c r="R46" i="17" a="1"/>
  <c r="R46" i="17"/>
  <c r="R47" i="17" a="1"/>
  <c r="R47" i="17"/>
  <c r="R48" i="17" a="1"/>
  <c r="R48" i="17"/>
  <c r="R49" i="17" a="1"/>
  <c r="R49" i="17"/>
  <c r="R50" i="17" a="1"/>
  <c r="R50" i="17"/>
  <c r="R51" i="17" a="1"/>
  <c r="R51" i="17"/>
  <c r="R52" i="17" a="1"/>
  <c r="R52" i="17"/>
  <c r="R53" i="17" a="1"/>
  <c r="R53" i="17"/>
  <c r="R54" i="17" a="1"/>
  <c r="R54" i="17"/>
  <c r="R55" i="17" a="1"/>
  <c r="R55" i="17"/>
  <c r="R56" i="17" a="1"/>
  <c r="R56" i="17"/>
  <c r="R57" i="17" a="1"/>
  <c r="R57" i="17"/>
  <c r="R58" i="17" a="1"/>
  <c r="R58" i="17"/>
  <c r="R59" i="17" a="1"/>
  <c r="R59" i="17"/>
  <c r="R60" i="17" a="1"/>
  <c r="R60" i="17"/>
  <c r="R61" i="17" a="1"/>
  <c r="R61" i="17"/>
  <c r="R62" i="17" a="1"/>
  <c r="R62" i="17"/>
  <c r="R63" i="17" a="1"/>
  <c r="R63" i="17"/>
  <c r="R64" i="17" a="1"/>
  <c r="R64" i="17"/>
  <c r="R65" i="17" a="1"/>
  <c r="R65" i="17"/>
  <c r="R66" i="17" a="1"/>
  <c r="R66" i="17"/>
  <c r="T24" i="17" a="1"/>
  <c r="T24" i="17"/>
  <c r="T25" i="17" a="1"/>
  <c r="T25" i="17"/>
  <c r="T26" i="17" a="1"/>
  <c r="T26" i="17"/>
  <c r="T27" i="17" a="1"/>
  <c r="T27" i="17"/>
  <c r="T28" i="17" a="1"/>
  <c r="T28" i="17"/>
  <c r="T29" i="17" a="1"/>
  <c r="T29" i="17"/>
  <c r="T30" i="17" a="1"/>
  <c r="T30" i="17"/>
  <c r="T31" i="17" a="1"/>
  <c r="T31" i="17"/>
  <c r="T32" i="17" a="1"/>
  <c r="T32" i="17"/>
  <c r="T33" i="17" a="1"/>
  <c r="T33" i="17"/>
  <c r="T34" i="17" a="1"/>
  <c r="T34" i="17"/>
  <c r="T35" i="17" a="1"/>
  <c r="T35" i="17"/>
  <c r="T36" i="17" a="1"/>
  <c r="T36" i="17"/>
  <c r="T37" i="17" a="1"/>
  <c r="T37" i="17"/>
  <c r="T38" i="17" a="1"/>
  <c r="T38" i="17"/>
  <c r="T39" i="17" a="1"/>
  <c r="T39" i="17"/>
  <c r="T40" i="17" a="1"/>
  <c r="T40" i="17"/>
  <c r="T41" i="17" a="1"/>
  <c r="T41" i="17"/>
  <c r="T42" i="17" a="1"/>
  <c r="T42" i="17"/>
  <c r="T43" i="17" a="1"/>
  <c r="T43" i="17"/>
  <c r="T44" i="17" a="1"/>
  <c r="T44" i="17"/>
  <c r="T45" i="17" a="1"/>
  <c r="T45" i="17"/>
  <c r="T46" i="17" a="1"/>
  <c r="T46" i="17"/>
  <c r="T47" i="17" a="1"/>
  <c r="T47" i="17"/>
  <c r="T48" i="17" a="1"/>
  <c r="T48" i="17"/>
  <c r="T49" i="17" a="1"/>
  <c r="T49" i="17"/>
  <c r="T50" i="17" a="1"/>
  <c r="T50" i="17"/>
  <c r="T51" i="17" a="1"/>
  <c r="T51" i="17"/>
  <c r="T52" i="17" a="1"/>
  <c r="T52" i="17"/>
  <c r="T53" i="17" a="1"/>
  <c r="T53" i="17"/>
  <c r="T54" i="17" a="1"/>
  <c r="T54" i="17"/>
  <c r="T55" i="17" a="1"/>
  <c r="T55" i="17"/>
  <c r="T56" i="17" a="1"/>
  <c r="T56" i="17"/>
  <c r="T57" i="17" a="1"/>
  <c r="T57" i="17"/>
  <c r="T58" i="17" a="1"/>
  <c r="T58" i="17"/>
  <c r="T59" i="17" a="1"/>
  <c r="T59" i="17"/>
  <c r="T60" i="17" a="1"/>
  <c r="T60" i="17"/>
  <c r="T61" i="17" a="1"/>
  <c r="T61" i="17"/>
  <c r="T62" i="17" a="1"/>
  <c r="T62" i="17"/>
  <c r="T63" i="17" a="1"/>
  <c r="T63" i="17"/>
  <c r="T64" i="17" a="1"/>
  <c r="T64" i="17"/>
  <c r="T65" i="17" a="1"/>
  <c r="T65" i="17"/>
  <c r="T66" i="17" a="1"/>
  <c r="T66" i="17"/>
  <c r="V24" i="17" a="1"/>
  <c r="V24" i="17"/>
  <c r="V25" i="17" a="1"/>
  <c r="V25" i="17"/>
  <c r="V26" i="17" a="1"/>
  <c r="V26" i="17"/>
  <c r="V27" i="17" a="1"/>
  <c r="V27" i="17"/>
  <c r="V28" i="17" a="1"/>
  <c r="V28" i="17"/>
  <c r="V29" i="17" a="1"/>
  <c r="V29" i="17"/>
  <c r="V30" i="17" a="1"/>
  <c r="V30" i="17"/>
  <c r="V31" i="17" a="1"/>
  <c r="V31" i="17"/>
  <c r="V32" i="17" a="1"/>
  <c r="V32" i="17"/>
  <c r="V33" i="17" a="1"/>
  <c r="V33" i="17"/>
  <c r="V34" i="17" a="1"/>
  <c r="V34" i="17"/>
  <c r="V35" i="17" a="1"/>
  <c r="V35" i="17"/>
  <c r="V36" i="17" a="1"/>
  <c r="V36" i="17"/>
  <c r="V37" i="17" a="1"/>
  <c r="V37" i="17"/>
  <c r="V38" i="17" a="1"/>
  <c r="V38" i="17"/>
  <c r="V39" i="17" a="1"/>
  <c r="V39" i="17"/>
  <c r="V40" i="17" a="1"/>
  <c r="V40" i="17"/>
  <c r="V41" i="17" a="1"/>
  <c r="V41" i="17"/>
  <c r="V42" i="17" a="1"/>
  <c r="V42" i="17"/>
  <c r="V43" i="17" a="1"/>
  <c r="V43" i="17"/>
  <c r="V44" i="17" a="1"/>
  <c r="V44" i="17"/>
  <c r="V45" i="17" a="1"/>
  <c r="V45" i="17"/>
  <c r="V46" i="17" a="1"/>
  <c r="V46" i="17"/>
  <c r="V47" i="17" a="1"/>
  <c r="V47" i="17"/>
  <c r="V48" i="17" a="1"/>
  <c r="V48" i="17"/>
  <c r="V49" i="17" a="1"/>
  <c r="V49" i="17"/>
  <c r="V50" i="17" a="1"/>
  <c r="V50" i="17"/>
  <c r="V51" i="17" a="1"/>
  <c r="V51" i="17"/>
  <c r="V52" i="17" a="1"/>
  <c r="V52" i="17"/>
  <c r="V53" i="17" a="1"/>
  <c r="V53" i="17"/>
  <c r="V54" i="17" a="1"/>
  <c r="V54" i="17"/>
  <c r="V55" i="17" a="1"/>
  <c r="V55" i="17"/>
  <c r="V56" i="17" a="1"/>
  <c r="V56" i="17"/>
  <c r="V57" i="17" a="1"/>
  <c r="V57" i="17"/>
  <c r="V58" i="17" a="1"/>
  <c r="V58" i="17"/>
  <c r="V59" i="17" a="1"/>
  <c r="V59" i="17"/>
  <c r="V60" i="17" a="1"/>
  <c r="V60" i="17"/>
  <c r="V61" i="17" a="1"/>
  <c r="V61" i="17"/>
  <c r="V62" i="17" a="1"/>
  <c r="V62" i="17"/>
  <c r="V63" i="17" a="1"/>
  <c r="V63" i="17"/>
  <c r="V64" i="17" a="1"/>
  <c r="V64" i="17"/>
  <c r="V65" i="17" a="1"/>
  <c r="V65" i="17"/>
  <c r="V66" i="17" a="1"/>
  <c r="V66" i="17"/>
  <c r="Y9" i="17" a="1"/>
  <c r="Y9" i="17"/>
  <c r="Y10" i="17" a="1"/>
  <c r="Y10" i="17"/>
  <c r="Y11" i="17" a="1"/>
  <c r="Y11" i="17"/>
  <c r="Y12" i="17" a="1"/>
  <c r="Y12" i="17"/>
  <c r="Y13" i="17" a="1"/>
  <c r="Y13" i="17"/>
  <c r="Y14" i="17" a="1"/>
  <c r="Y14" i="17"/>
  <c r="Y15" i="17" a="1"/>
  <c r="Y15" i="17"/>
  <c r="Y16" i="17" a="1"/>
  <c r="Y16" i="17"/>
  <c r="Y17" i="17" a="1"/>
  <c r="Y17" i="17"/>
  <c r="Y18" i="17" a="1"/>
  <c r="Y18" i="17"/>
  <c r="Y19" i="17" a="1"/>
  <c r="Y19" i="17"/>
  <c r="Y20" i="17" a="1"/>
  <c r="Y20" i="17"/>
  <c r="Y21" i="17" a="1"/>
  <c r="Y21" i="17"/>
  <c r="Y22" i="17" a="1"/>
  <c r="Y22" i="17"/>
  <c r="Y23" i="17" a="1"/>
  <c r="Y23" i="17"/>
  <c r="Y24" i="17" a="1"/>
  <c r="Y24" i="17"/>
  <c r="Y25" i="17" a="1"/>
  <c r="Y25" i="17"/>
  <c r="Y26" i="17" a="1"/>
  <c r="Y26" i="17"/>
  <c r="Y27" i="17" a="1"/>
  <c r="Y27" i="17"/>
  <c r="Y28" i="17" a="1"/>
  <c r="Y28" i="17"/>
  <c r="Y29" i="17" a="1"/>
  <c r="Y29" i="17"/>
  <c r="Y30" i="17" a="1"/>
  <c r="Y30" i="17"/>
  <c r="Y31" i="17" a="1"/>
  <c r="Y31" i="17"/>
  <c r="Y32" i="17" a="1"/>
  <c r="Y32" i="17"/>
  <c r="Y33" i="17" a="1"/>
  <c r="Y33" i="17"/>
  <c r="Y34" i="17" a="1"/>
  <c r="Y34" i="17"/>
  <c r="Y35" i="17" a="1"/>
  <c r="Y35" i="17"/>
  <c r="Y36" i="17" a="1"/>
  <c r="Y36" i="17"/>
  <c r="Y37" i="17" a="1"/>
  <c r="Y37" i="17"/>
  <c r="Y38" i="17" a="1"/>
  <c r="Y38" i="17"/>
  <c r="Y39" i="17" a="1"/>
  <c r="Y39" i="17"/>
  <c r="Y40" i="17" a="1"/>
  <c r="Y40" i="17"/>
  <c r="Y41" i="17" a="1"/>
  <c r="Y41" i="17"/>
  <c r="Y42" i="17" a="1"/>
  <c r="Y42" i="17"/>
  <c r="Y43" i="17" a="1"/>
  <c r="Y43" i="17"/>
  <c r="Y44" i="17" a="1"/>
  <c r="Y44" i="17"/>
  <c r="Y45" i="17" a="1"/>
  <c r="Y45" i="17"/>
  <c r="Y46" i="17" a="1"/>
  <c r="Y46" i="17"/>
  <c r="Y47" i="17" a="1"/>
  <c r="Y47" i="17"/>
  <c r="Y48" i="17" a="1"/>
  <c r="Y48" i="17"/>
  <c r="Y49" i="17" a="1"/>
  <c r="Y49" i="17"/>
  <c r="Y50" i="17" a="1"/>
  <c r="Y50" i="17"/>
  <c r="Y51" i="17" a="1"/>
  <c r="Y51" i="17"/>
  <c r="Y52" i="17" a="1"/>
  <c r="Y52" i="17"/>
  <c r="Y53" i="17" a="1"/>
  <c r="Y53" i="17"/>
  <c r="Y54" i="17" a="1"/>
  <c r="Y54" i="17"/>
  <c r="Y55" i="17" a="1"/>
  <c r="Y55" i="17"/>
  <c r="Y56" i="17" a="1"/>
  <c r="Y56" i="17"/>
  <c r="Y57" i="17" a="1"/>
  <c r="Y57" i="17"/>
  <c r="Y58" i="17" a="1"/>
  <c r="Y58" i="17"/>
  <c r="Y59" i="17" a="1"/>
  <c r="Y59" i="17"/>
  <c r="Y60" i="17" a="1"/>
  <c r="Y60" i="17"/>
  <c r="Y61" i="17" a="1"/>
  <c r="Y61" i="17"/>
  <c r="Y62" i="17" a="1"/>
  <c r="Y62" i="17"/>
  <c r="Y63" i="17" a="1"/>
  <c r="Y63" i="17"/>
  <c r="Y64" i="17" a="1"/>
  <c r="Y64" i="17"/>
  <c r="Y65" i="17" a="1"/>
  <c r="Y65" i="17"/>
  <c r="Y66" i="17" a="1"/>
  <c r="Y66" i="17"/>
  <c r="AA24" i="17" a="1"/>
  <c r="AA24" i="17"/>
  <c r="AA25" i="17" a="1"/>
  <c r="AA25" i="17"/>
  <c r="AA26" i="17" a="1"/>
  <c r="AA26" i="17"/>
  <c r="AA27" i="17" a="1"/>
  <c r="AA27" i="17"/>
  <c r="AA28" i="17" a="1"/>
  <c r="AA28" i="17"/>
  <c r="AA29" i="17" a="1"/>
  <c r="AA29" i="17"/>
  <c r="AA30" i="17" a="1"/>
  <c r="AA30" i="17"/>
  <c r="AA31" i="17" a="1"/>
  <c r="AA31" i="17"/>
  <c r="AA32" i="17" a="1"/>
  <c r="AA32" i="17"/>
  <c r="AA33" i="17" a="1"/>
  <c r="AA33" i="17"/>
  <c r="AA34" i="17" a="1"/>
  <c r="AA34" i="17"/>
  <c r="AA35" i="17" a="1"/>
  <c r="AA35" i="17"/>
  <c r="AA36" i="17" a="1"/>
  <c r="AA36" i="17"/>
  <c r="AA37" i="17" a="1"/>
  <c r="AA37" i="17"/>
  <c r="AA38" i="17" a="1"/>
  <c r="AA38" i="17"/>
  <c r="AA39" i="17" a="1"/>
  <c r="AA39" i="17"/>
  <c r="AA40" i="17" a="1"/>
  <c r="AA40" i="17"/>
  <c r="AA41" i="17" a="1"/>
  <c r="AA41" i="17"/>
  <c r="AA42" i="17" a="1"/>
  <c r="AA42" i="17"/>
  <c r="AA43" i="17" a="1"/>
  <c r="AA43" i="17"/>
  <c r="AA44" i="17" a="1"/>
  <c r="AA44" i="17"/>
  <c r="AA45" i="17" a="1"/>
  <c r="AA45" i="17"/>
  <c r="AA46" i="17" a="1"/>
  <c r="AA46" i="17"/>
  <c r="AA47" i="17" a="1"/>
  <c r="AA47" i="17"/>
  <c r="AA48" i="17" a="1"/>
  <c r="AA48" i="17"/>
  <c r="AA49" i="17" a="1"/>
  <c r="AA49" i="17"/>
  <c r="AA50" i="17" a="1"/>
  <c r="AA50" i="17"/>
  <c r="AA51" i="17" a="1"/>
  <c r="AA51" i="17"/>
  <c r="AA52" i="17" a="1"/>
  <c r="AA52" i="17"/>
  <c r="AA53" i="17" a="1"/>
  <c r="AA53" i="17"/>
  <c r="AA54" i="17" a="1"/>
  <c r="AA54" i="17"/>
  <c r="AA55" i="17" a="1"/>
  <c r="AA55" i="17"/>
  <c r="AA56" i="17" a="1"/>
  <c r="AA56" i="17"/>
  <c r="AA57" i="17" a="1"/>
  <c r="AA57" i="17"/>
  <c r="AA58" i="17" a="1"/>
  <c r="AA58" i="17"/>
  <c r="AA59" i="17" a="1"/>
  <c r="AA59" i="17"/>
  <c r="AA60" i="17" a="1"/>
  <c r="AA60" i="17"/>
  <c r="AA61" i="17" a="1"/>
  <c r="AA61" i="17"/>
  <c r="AA62" i="17" a="1"/>
  <c r="AA62" i="17"/>
  <c r="AA63" i="17" a="1"/>
  <c r="AA63" i="17"/>
  <c r="AA64" i="17" a="1"/>
  <c r="AA64" i="17"/>
  <c r="AA65" i="17" a="1"/>
  <c r="AA65" i="17"/>
  <c r="AA66" i="17" a="1"/>
  <c r="AA66" i="17"/>
  <c r="AC24" i="17" a="1"/>
  <c r="AC24" i="17"/>
  <c r="AC25" i="17" a="1"/>
  <c r="AC25" i="17"/>
  <c r="AC26" i="17" a="1"/>
  <c r="AC26" i="17"/>
  <c r="AC27" i="17" a="1"/>
  <c r="AC27" i="17"/>
  <c r="AC28" i="17" a="1"/>
  <c r="AC28" i="17"/>
  <c r="AC29" i="17" a="1"/>
  <c r="AC29" i="17"/>
  <c r="AC30" i="17" a="1"/>
  <c r="AC30" i="17"/>
  <c r="AC31" i="17" a="1"/>
  <c r="AC31" i="17"/>
  <c r="AC32" i="17" a="1"/>
  <c r="AC32" i="17"/>
  <c r="AC33" i="17" a="1"/>
  <c r="AC33" i="17"/>
  <c r="AC34" i="17" a="1"/>
  <c r="AC34" i="17"/>
  <c r="AC35" i="17" a="1"/>
  <c r="AC35" i="17"/>
  <c r="AC36" i="17" a="1"/>
  <c r="AC36" i="17"/>
  <c r="AC37" i="17" a="1"/>
  <c r="AC37" i="17"/>
  <c r="AC38" i="17" a="1"/>
  <c r="AC38" i="17"/>
  <c r="AC39" i="17" a="1"/>
  <c r="AC39" i="17"/>
  <c r="AC40" i="17" a="1"/>
  <c r="AC40" i="17"/>
  <c r="AC41" i="17" a="1"/>
  <c r="AC41" i="17"/>
  <c r="AC42" i="17" a="1"/>
  <c r="AC42" i="17"/>
  <c r="AC43" i="17" a="1"/>
  <c r="AC43" i="17"/>
  <c r="AC44" i="17" a="1"/>
  <c r="AC44" i="17"/>
  <c r="AC45" i="17" a="1"/>
  <c r="AC45" i="17"/>
  <c r="AC46" i="17" a="1"/>
  <c r="AC46" i="17"/>
  <c r="AC47" i="17" a="1"/>
  <c r="AC47" i="17"/>
  <c r="AC48" i="17" a="1"/>
  <c r="AC48" i="17"/>
  <c r="AC49" i="17" a="1"/>
  <c r="AC49" i="17"/>
  <c r="AC50" i="17" a="1"/>
  <c r="AC50" i="17"/>
  <c r="AC51" i="17" a="1"/>
  <c r="AC51" i="17"/>
  <c r="AC52" i="17" a="1"/>
  <c r="AC52" i="17"/>
  <c r="AC53" i="17" a="1"/>
  <c r="AC53" i="17"/>
  <c r="AC54" i="17" a="1"/>
  <c r="AC54" i="17"/>
  <c r="AC55" i="17" a="1"/>
  <c r="AC55" i="17"/>
  <c r="AC56" i="17" a="1"/>
  <c r="AC56" i="17"/>
  <c r="AC57" i="17" a="1"/>
  <c r="AC57" i="17"/>
  <c r="AC58" i="17" a="1"/>
  <c r="AC58" i="17"/>
  <c r="AC59" i="17" a="1"/>
  <c r="AC59" i="17"/>
  <c r="AC60" i="17" a="1"/>
  <c r="AC60" i="17"/>
  <c r="AC61" i="17" a="1"/>
  <c r="AC61" i="17"/>
  <c r="AC62" i="17" a="1"/>
  <c r="AC62" i="17"/>
  <c r="AC63" i="17" a="1"/>
  <c r="AC63" i="17"/>
  <c r="AC64" i="17" a="1"/>
  <c r="AC64" i="17"/>
  <c r="AC65" i="17" a="1"/>
  <c r="AC65" i="17"/>
  <c r="AC66" i="17" a="1"/>
  <c r="AC66" i="17"/>
  <c r="AF9" i="17" a="1"/>
  <c r="AF9" i="17"/>
  <c r="AF10" i="17" a="1"/>
  <c r="AF10" i="17"/>
  <c r="AF11" i="17" a="1"/>
  <c r="AF11" i="17"/>
  <c r="AF12" i="17" a="1"/>
  <c r="AF12" i="17"/>
  <c r="AF13" i="17" a="1"/>
  <c r="AF13" i="17"/>
  <c r="AF14" i="17" a="1"/>
  <c r="AF14" i="17"/>
  <c r="AF15" i="17" a="1"/>
  <c r="AF15" i="17"/>
  <c r="AF16" i="17" a="1"/>
  <c r="AF16" i="17"/>
  <c r="AF17" i="17" a="1"/>
  <c r="AF17" i="17"/>
  <c r="AF18" i="17" a="1"/>
  <c r="AF18" i="17"/>
  <c r="AF19" i="17" a="1"/>
  <c r="AF19" i="17"/>
  <c r="AF20" i="17" a="1"/>
  <c r="AF20" i="17"/>
  <c r="AF21" i="17" a="1"/>
  <c r="AF21" i="17"/>
  <c r="AF22" i="17" a="1"/>
  <c r="AF22" i="17"/>
  <c r="AF23" i="17" a="1"/>
  <c r="AF23" i="17"/>
  <c r="AF24" i="17" a="1"/>
  <c r="AF24" i="17"/>
  <c r="AF25" i="17" a="1"/>
  <c r="AF25" i="17"/>
  <c r="AF26" i="17" a="1"/>
  <c r="AF26" i="17"/>
  <c r="AF27" i="17" a="1"/>
  <c r="AF27" i="17"/>
  <c r="AF28" i="17" a="1"/>
  <c r="AF28" i="17"/>
  <c r="AF29" i="17" a="1"/>
  <c r="AF29" i="17"/>
  <c r="AF30" i="17" a="1"/>
  <c r="AF30" i="17"/>
  <c r="AF31" i="17" a="1"/>
  <c r="AF31" i="17"/>
  <c r="AF32" i="17" a="1"/>
  <c r="AF32" i="17"/>
  <c r="AF33" i="17" a="1"/>
  <c r="AF33" i="17"/>
  <c r="AF34" i="17" a="1"/>
  <c r="AF34" i="17"/>
  <c r="AF35" i="17" a="1"/>
  <c r="AF35" i="17"/>
  <c r="AF36" i="17" a="1"/>
  <c r="AF36" i="17"/>
  <c r="AF37" i="17" a="1"/>
  <c r="AF37" i="17"/>
  <c r="AF38" i="17" a="1"/>
  <c r="AF38" i="17"/>
  <c r="AF39" i="17" a="1"/>
  <c r="AF39" i="17"/>
  <c r="AF40" i="17" a="1"/>
  <c r="AF40" i="17"/>
  <c r="AF41" i="17" a="1"/>
  <c r="AF41" i="17"/>
  <c r="AF42" i="17" a="1"/>
  <c r="AF42" i="17"/>
  <c r="AF43" i="17" a="1"/>
  <c r="AF43" i="17"/>
  <c r="AF44" i="17" a="1"/>
  <c r="AF44" i="17"/>
  <c r="AF45" i="17" a="1"/>
  <c r="AF45" i="17"/>
  <c r="AF46" i="17" a="1"/>
  <c r="AF46" i="17"/>
  <c r="AF47" i="17" a="1"/>
  <c r="AF47" i="17"/>
  <c r="AF48" i="17" a="1"/>
  <c r="AF48" i="17"/>
  <c r="AF49" i="17" a="1"/>
  <c r="AF49" i="17"/>
  <c r="AF50" i="17" a="1"/>
  <c r="AF50" i="17"/>
  <c r="AF51" i="17" a="1"/>
  <c r="AF51" i="17"/>
  <c r="AF52" i="17" a="1"/>
  <c r="AF52" i="17"/>
  <c r="AF53" i="17" a="1"/>
  <c r="AF53" i="17"/>
  <c r="AF54" i="17" a="1"/>
  <c r="AF54" i="17"/>
  <c r="AF55" i="17" a="1"/>
  <c r="AF55" i="17"/>
  <c r="AF56" i="17" a="1"/>
  <c r="AF56" i="17"/>
  <c r="AF57" i="17" a="1"/>
  <c r="AF57" i="17"/>
  <c r="AF58" i="17" a="1"/>
  <c r="AF58" i="17"/>
  <c r="AF59" i="17" a="1"/>
  <c r="AF59" i="17"/>
  <c r="AF60" i="17" a="1"/>
  <c r="AF60" i="17"/>
  <c r="AF61" i="17" a="1"/>
  <c r="AF61" i="17"/>
  <c r="AF62" i="17" a="1"/>
  <c r="AF62" i="17"/>
  <c r="AF63" i="17" a="1"/>
  <c r="AF63" i="17"/>
  <c r="AF64" i="17" a="1"/>
  <c r="AF64" i="17"/>
  <c r="AF65" i="17" a="1"/>
  <c r="AF65" i="17"/>
  <c r="AF66" i="17" a="1"/>
  <c r="AF66" i="17"/>
  <c r="AH24" i="17" a="1"/>
  <c r="AH24" i="17"/>
  <c r="AH25" i="17" a="1"/>
  <c r="AH25" i="17"/>
  <c r="AH26" i="17" a="1"/>
  <c r="AH26" i="17"/>
  <c r="AH27" i="17" a="1"/>
  <c r="AH27" i="17"/>
  <c r="AH28" i="17" a="1"/>
  <c r="AH28" i="17"/>
  <c r="AH29" i="17" a="1"/>
  <c r="AH29" i="17"/>
  <c r="AH30" i="17" a="1"/>
  <c r="AH30" i="17"/>
  <c r="AH31" i="17" a="1"/>
  <c r="AH31" i="17"/>
  <c r="AH32" i="17" a="1"/>
  <c r="AH32" i="17"/>
  <c r="AH33" i="17" a="1"/>
  <c r="AH33" i="17"/>
  <c r="AH34" i="17" a="1"/>
  <c r="AH34" i="17"/>
  <c r="AH35" i="17" a="1"/>
  <c r="AH35" i="17"/>
  <c r="AH36" i="17" a="1"/>
  <c r="AH36" i="17"/>
  <c r="AH37" i="17" a="1"/>
  <c r="AH37" i="17"/>
  <c r="AH38" i="17" a="1"/>
  <c r="AH38" i="17"/>
  <c r="AH39" i="17" a="1"/>
  <c r="AH39" i="17"/>
  <c r="AH40" i="17" a="1"/>
  <c r="AH40" i="17"/>
  <c r="AH41" i="17" a="1"/>
  <c r="AH41" i="17"/>
  <c r="AH42" i="17" a="1"/>
  <c r="AH42" i="17"/>
  <c r="AH43" i="17" a="1"/>
  <c r="AH43" i="17"/>
  <c r="AH44" i="17" a="1"/>
  <c r="AH44" i="17"/>
  <c r="AH45" i="17" a="1"/>
  <c r="AH45" i="17"/>
  <c r="AH46" i="17" a="1"/>
  <c r="AH46" i="17"/>
  <c r="AH47" i="17" a="1"/>
  <c r="AH47" i="17"/>
  <c r="AH48" i="17" a="1"/>
  <c r="AH48" i="17"/>
  <c r="AH49" i="17" a="1"/>
  <c r="AH49" i="17"/>
  <c r="AH50" i="17" a="1"/>
  <c r="AH50" i="17"/>
  <c r="AH51" i="17" a="1"/>
  <c r="AH51" i="17"/>
  <c r="AH52" i="17" a="1"/>
  <c r="AH52" i="17"/>
  <c r="AH53" i="17" a="1"/>
  <c r="AH53" i="17"/>
  <c r="AH54" i="17" a="1"/>
  <c r="AH54" i="17"/>
  <c r="AH55" i="17" a="1"/>
  <c r="AH55" i="17"/>
  <c r="AH56" i="17" a="1"/>
  <c r="AH56" i="17"/>
  <c r="AH57" i="17" a="1"/>
  <c r="AH57" i="17"/>
  <c r="AH58" i="17" a="1"/>
  <c r="AH58" i="17"/>
  <c r="AH59" i="17" a="1"/>
  <c r="AH59" i="17"/>
  <c r="AH60" i="17" a="1"/>
  <c r="AH60" i="17"/>
  <c r="AH61" i="17" a="1"/>
  <c r="AH61" i="17"/>
  <c r="AH62" i="17" a="1"/>
  <c r="AH62" i="17"/>
  <c r="AH63" i="17" a="1"/>
  <c r="AH63" i="17"/>
  <c r="AH64" i="17" a="1"/>
  <c r="AH64" i="17"/>
  <c r="AH65" i="17" a="1"/>
  <c r="AH65" i="17"/>
  <c r="AH66" i="17" a="1"/>
  <c r="AH66" i="17"/>
  <c r="AJ24" i="17" a="1"/>
  <c r="AJ24" i="17"/>
  <c r="AJ25" i="17" a="1"/>
  <c r="AJ25" i="17"/>
  <c r="AJ26" i="17" a="1"/>
  <c r="AJ26" i="17"/>
  <c r="AJ27" i="17" a="1"/>
  <c r="AJ27" i="17"/>
  <c r="AJ28" i="17" a="1"/>
  <c r="AJ28" i="17"/>
  <c r="AJ29" i="17" a="1"/>
  <c r="AJ29" i="17"/>
  <c r="AJ30" i="17" a="1"/>
  <c r="AJ30" i="17"/>
  <c r="AJ31" i="17" a="1"/>
  <c r="AJ31" i="17"/>
  <c r="AJ32" i="17" a="1"/>
  <c r="AJ32" i="17"/>
  <c r="AJ33" i="17" a="1"/>
  <c r="AJ33" i="17"/>
  <c r="AJ34" i="17" a="1"/>
  <c r="AJ34" i="17"/>
  <c r="AJ35" i="17" a="1"/>
  <c r="AJ35" i="17"/>
  <c r="AJ36" i="17" a="1"/>
  <c r="AJ36" i="17"/>
  <c r="AJ37" i="17" a="1"/>
  <c r="AJ37" i="17"/>
  <c r="AJ38" i="17" a="1"/>
  <c r="AJ38" i="17"/>
  <c r="AJ39" i="17" a="1"/>
  <c r="AJ39" i="17"/>
  <c r="AJ40" i="17" a="1"/>
  <c r="AJ40" i="17"/>
  <c r="AJ41" i="17" a="1"/>
  <c r="AJ41" i="17"/>
  <c r="AJ42" i="17" a="1"/>
  <c r="AJ42" i="17"/>
  <c r="AJ43" i="17" a="1"/>
  <c r="AJ43" i="17"/>
  <c r="AJ44" i="17" a="1"/>
  <c r="AJ44" i="17"/>
  <c r="AJ45" i="17" a="1"/>
  <c r="AJ45" i="17"/>
  <c r="AJ46" i="17" a="1"/>
  <c r="AJ46" i="17"/>
  <c r="AJ47" i="17" a="1"/>
  <c r="AJ47" i="17"/>
  <c r="AJ48" i="17" a="1"/>
  <c r="AJ48" i="17"/>
  <c r="AJ49" i="17" a="1"/>
  <c r="AJ49" i="17"/>
  <c r="AJ50" i="17" a="1"/>
  <c r="AJ50" i="17"/>
  <c r="AJ51" i="17" a="1"/>
  <c r="AJ51" i="17"/>
  <c r="AJ52" i="17" a="1"/>
  <c r="AJ52" i="17"/>
  <c r="AJ53" i="17" a="1"/>
  <c r="AJ53" i="17"/>
  <c r="AJ54" i="17" a="1"/>
  <c r="AJ54" i="17"/>
  <c r="AJ55" i="17" a="1"/>
  <c r="AJ55" i="17"/>
  <c r="AJ56" i="17" a="1"/>
  <c r="AJ56" i="17"/>
  <c r="AJ57" i="17" a="1"/>
  <c r="AJ57" i="17"/>
  <c r="AJ58" i="17" a="1"/>
  <c r="AJ58" i="17"/>
  <c r="AJ59" i="17" a="1"/>
  <c r="AJ59" i="17"/>
  <c r="AJ60" i="17" a="1"/>
  <c r="AJ60" i="17"/>
  <c r="AJ61" i="17" a="1"/>
  <c r="AJ61" i="17"/>
  <c r="AJ62" i="17" a="1"/>
  <c r="AJ62" i="17"/>
  <c r="AJ63" i="17" a="1"/>
  <c r="AJ63" i="17"/>
  <c r="AJ64" i="17" a="1"/>
  <c r="AJ64" i="17"/>
  <c r="AJ65" i="17" a="1"/>
  <c r="AJ65" i="17"/>
  <c r="AJ66" i="17" a="1"/>
  <c r="AJ66" i="17"/>
  <c r="AM9" i="17" a="1"/>
  <c r="AM9" i="17"/>
  <c r="AM10" i="17" a="1"/>
  <c r="AM10" i="17"/>
  <c r="AM11" i="17" a="1"/>
  <c r="AM11" i="17"/>
  <c r="AM12" i="17" a="1"/>
  <c r="AM12" i="17"/>
  <c r="AM13" i="17" a="1"/>
  <c r="AM13" i="17"/>
  <c r="AM14" i="17" a="1"/>
  <c r="AM14" i="17"/>
  <c r="AM15" i="17" a="1"/>
  <c r="AM15" i="17"/>
  <c r="AM16" i="17" a="1"/>
  <c r="AM16" i="17"/>
  <c r="AM17" i="17" a="1"/>
  <c r="AM17" i="17"/>
  <c r="AM18" i="17" a="1"/>
  <c r="AM18" i="17"/>
  <c r="AM19" i="17" a="1"/>
  <c r="AM19" i="17"/>
  <c r="AM20" i="17" a="1"/>
  <c r="AM20" i="17"/>
  <c r="AM21" i="17" a="1"/>
  <c r="AM21" i="17"/>
  <c r="AM22" i="17" a="1"/>
  <c r="AM22" i="17"/>
  <c r="AM23" i="17" a="1"/>
  <c r="AM23" i="17"/>
  <c r="AM24" i="17" a="1"/>
  <c r="AM24" i="17"/>
  <c r="AM25" i="17" a="1"/>
  <c r="AM25" i="17"/>
  <c r="AM26" i="17" a="1"/>
  <c r="AM26" i="17"/>
  <c r="AM27" i="17" a="1"/>
  <c r="AM27" i="17"/>
  <c r="AM28" i="17" a="1"/>
  <c r="AM28" i="17"/>
  <c r="AM29" i="17" a="1"/>
  <c r="AM29" i="17"/>
  <c r="AM30" i="17" a="1"/>
  <c r="AM30" i="17"/>
  <c r="AM31" i="17" a="1"/>
  <c r="AM31" i="17"/>
  <c r="AM32" i="17" a="1"/>
  <c r="AM32" i="17"/>
  <c r="AM33" i="17" a="1"/>
  <c r="AM33" i="17"/>
  <c r="AM34" i="17" a="1"/>
  <c r="AM34" i="17"/>
  <c r="AM35" i="17" a="1"/>
  <c r="AM35" i="17"/>
  <c r="AM36" i="17" a="1"/>
  <c r="AM36" i="17"/>
  <c r="AM37" i="17" a="1"/>
  <c r="AM37" i="17"/>
  <c r="AM38" i="17" a="1"/>
  <c r="AM38" i="17"/>
  <c r="AM39" i="17" a="1"/>
  <c r="AM39" i="17"/>
  <c r="AM40" i="17" a="1"/>
  <c r="AM40" i="17"/>
  <c r="AM41" i="17" a="1"/>
  <c r="AM41" i="17"/>
  <c r="AM42" i="17" a="1"/>
  <c r="AM42" i="17"/>
  <c r="AM43" i="17" a="1"/>
  <c r="AM43" i="17"/>
  <c r="AM44" i="17" a="1"/>
  <c r="AM44" i="17"/>
  <c r="AM45" i="17" a="1"/>
  <c r="AM45" i="17"/>
  <c r="AM46" i="17" a="1"/>
  <c r="AM46" i="17"/>
  <c r="AM47" i="17" a="1"/>
  <c r="AM47" i="17"/>
  <c r="AM48" i="17" a="1"/>
  <c r="AM48" i="17"/>
  <c r="AM49" i="17" a="1"/>
  <c r="AM49" i="17"/>
  <c r="AM50" i="17" a="1"/>
  <c r="AM50" i="17"/>
  <c r="AM51" i="17" a="1"/>
  <c r="AM51" i="17"/>
  <c r="AM52" i="17" a="1"/>
  <c r="AM52" i="17"/>
  <c r="AM53" i="17" a="1"/>
  <c r="AM53" i="17"/>
  <c r="AM54" i="17" a="1"/>
  <c r="AM54" i="17"/>
  <c r="AM55" i="17" a="1"/>
  <c r="AM55" i="17"/>
  <c r="AM56" i="17" a="1"/>
  <c r="AM56" i="17"/>
  <c r="AM57" i="17" a="1"/>
  <c r="AM57" i="17"/>
  <c r="AM58" i="17" a="1"/>
  <c r="AM58" i="17"/>
  <c r="AM59" i="17" a="1"/>
  <c r="AM59" i="17"/>
  <c r="AM60" i="17" a="1"/>
  <c r="AM60" i="17"/>
  <c r="AM61" i="17" a="1"/>
  <c r="AM61" i="17"/>
  <c r="AM62" i="17" a="1"/>
  <c r="AM62" i="17"/>
  <c r="AM63" i="17" a="1"/>
  <c r="AM63" i="17"/>
  <c r="AM64" i="17" a="1"/>
  <c r="AM64" i="17"/>
  <c r="AM65" i="17" a="1"/>
  <c r="AM65" i="17"/>
  <c r="AM66" i="17" a="1"/>
  <c r="AM66" i="17"/>
  <c r="AO24" i="17" a="1"/>
  <c r="AO24" i="17"/>
  <c r="AO25" i="17" a="1"/>
  <c r="AO25" i="17"/>
  <c r="AO26" i="17" a="1"/>
  <c r="AO26" i="17"/>
  <c r="AO27" i="17" a="1"/>
  <c r="AO27" i="17"/>
  <c r="AO28" i="17" a="1"/>
  <c r="AO28" i="17"/>
  <c r="AO29" i="17" a="1"/>
  <c r="AO29" i="17"/>
  <c r="AO30" i="17" a="1"/>
  <c r="AO30" i="17"/>
  <c r="AO31" i="17" a="1"/>
  <c r="AO31" i="17"/>
  <c r="AO32" i="17" a="1"/>
  <c r="AO32" i="17"/>
  <c r="AO33" i="17" a="1"/>
  <c r="AO33" i="17"/>
  <c r="AO34" i="17" a="1"/>
  <c r="AO34" i="17"/>
  <c r="AO35" i="17" a="1"/>
  <c r="AO35" i="17"/>
  <c r="AO36" i="17" a="1"/>
  <c r="AO36" i="17"/>
  <c r="AO37" i="17" a="1"/>
  <c r="AO37" i="17"/>
  <c r="AO38" i="17" a="1"/>
  <c r="AO38" i="17"/>
  <c r="AO39" i="17" a="1"/>
  <c r="AO39" i="17"/>
  <c r="AO40" i="17" a="1"/>
  <c r="AO40" i="17"/>
  <c r="AO41" i="17" a="1"/>
  <c r="AO41" i="17"/>
  <c r="AO42" i="17" a="1"/>
  <c r="AO42" i="17"/>
  <c r="AO43" i="17" a="1"/>
  <c r="AO43" i="17"/>
  <c r="AO44" i="17" a="1"/>
  <c r="AO44" i="17"/>
  <c r="AO45" i="17" a="1"/>
  <c r="AO45" i="17"/>
  <c r="AO46" i="17" a="1"/>
  <c r="AO46" i="17"/>
  <c r="AO47" i="17" a="1"/>
  <c r="AO47" i="17"/>
  <c r="AO48" i="17" a="1"/>
  <c r="AO48" i="17"/>
  <c r="AO49" i="17" a="1"/>
  <c r="AO49" i="17"/>
  <c r="AO50" i="17" a="1"/>
  <c r="AO50" i="17"/>
  <c r="AO51" i="17" a="1"/>
  <c r="AO51" i="17"/>
  <c r="AO52" i="17" a="1"/>
  <c r="AO52" i="17"/>
  <c r="AO53" i="17" a="1"/>
  <c r="AO53" i="17"/>
  <c r="AO54" i="17" a="1"/>
  <c r="AO54" i="17"/>
  <c r="AO55" i="17" a="1"/>
  <c r="AO55" i="17"/>
  <c r="AO56" i="17" a="1"/>
  <c r="AO56" i="17"/>
  <c r="AO57" i="17" a="1"/>
  <c r="AO57" i="17"/>
  <c r="AO58" i="17" a="1"/>
  <c r="AO58" i="17"/>
  <c r="AO59" i="17" a="1"/>
  <c r="AO59" i="17"/>
  <c r="AO60" i="17" a="1"/>
  <c r="AO60" i="17"/>
  <c r="AO61" i="17" a="1"/>
  <c r="AO61" i="17"/>
  <c r="AO62" i="17" a="1"/>
  <c r="AO62" i="17"/>
  <c r="AO63" i="17" a="1"/>
  <c r="AO63" i="17"/>
  <c r="AO64" i="17" a="1"/>
  <c r="AO64" i="17"/>
  <c r="AO65" i="17" a="1"/>
  <c r="AO65" i="17"/>
  <c r="AO66" i="17" a="1"/>
  <c r="AO66" i="17"/>
  <c r="AQ24" i="17" a="1"/>
  <c r="AQ24" i="17"/>
  <c r="AQ25" i="17" a="1"/>
  <c r="AQ25" i="17"/>
  <c r="AQ26" i="17" a="1"/>
  <c r="AQ26" i="17"/>
  <c r="AQ27" i="17" a="1"/>
  <c r="AQ27" i="17"/>
  <c r="AQ28" i="17" a="1"/>
  <c r="AQ28" i="17"/>
  <c r="AQ29" i="17" a="1"/>
  <c r="AQ29" i="17"/>
  <c r="AQ30" i="17" a="1"/>
  <c r="AQ30" i="17"/>
  <c r="AQ31" i="17" a="1"/>
  <c r="AQ31" i="17"/>
  <c r="AQ32" i="17" a="1"/>
  <c r="AQ32" i="17"/>
  <c r="AQ33" i="17" a="1"/>
  <c r="AQ33" i="17"/>
  <c r="AQ34" i="17" a="1"/>
  <c r="AQ34" i="17"/>
  <c r="AQ35" i="17" a="1"/>
  <c r="AQ35" i="17"/>
  <c r="AQ36" i="17" a="1"/>
  <c r="AQ36" i="17"/>
  <c r="AQ37" i="17" a="1"/>
  <c r="AQ37" i="17"/>
  <c r="AQ38" i="17" a="1"/>
  <c r="AQ38" i="17"/>
  <c r="AQ39" i="17" a="1"/>
  <c r="AQ39" i="17"/>
  <c r="AQ40" i="17" a="1"/>
  <c r="AQ40" i="17"/>
  <c r="AQ41" i="17" a="1"/>
  <c r="AQ41" i="17"/>
  <c r="AQ42" i="17" a="1"/>
  <c r="AQ42" i="17"/>
  <c r="AQ43" i="17" a="1"/>
  <c r="AQ43" i="17"/>
  <c r="AQ44" i="17" a="1"/>
  <c r="AQ44" i="17"/>
  <c r="AQ45" i="17" a="1"/>
  <c r="AQ45" i="17"/>
  <c r="AQ46" i="17" a="1"/>
  <c r="AQ46" i="17"/>
  <c r="AQ47" i="17" a="1"/>
  <c r="AQ47" i="17"/>
  <c r="AQ48" i="17" a="1"/>
  <c r="AQ48" i="17"/>
  <c r="AQ49" i="17" a="1"/>
  <c r="AQ49" i="17"/>
  <c r="AQ50" i="17" a="1"/>
  <c r="AQ50" i="17"/>
  <c r="AQ51" i="17" a="1"/>
  <c r="AQ51" i="17"/>
  <c r="AQ52" i="17" a="1"/>
  <c r="AQ52" i="17"/>
  <c r="AQ53" i="17" a="1"/>
  <c r="AQ53" i="17"/>
  <c r="AQ54" i="17" a="1"/>
  <c r="AQ54" i="17"/>
  <c r="AQ55" i="17" a="1"/>
  <c r="AQ55" i="17"/>
  <c r="AQ56" i="17" a="1"/>
  <c r="AQ56" i="17"/>
  <c r="AQ57" i="17" a="1"/>
  <c r="AQ57" i="17"/>
  <c r="AQ58" i="17" a="1"/>
  <c r="AQ58" i="17"/>
  <c r="AQ59" i="17" a="1"/>
  <c r="AQ59" i="17"/>
  <c r="AQ60" i="17" a="1"/>
  <c r="AQ60" i="17"/>
  <c r="AQ61" i="17" a="1"/>
  <c r="AQ61" i="17"/>
  <c r="AQ62" i="17" a="1"/>
  <c r="AQ62" i="17"/>
  <c r="AQ63" i="17" a="1"/>
  <c r="AQ63" i="17"/>
  <c r="AQ64" i="17" a="1"/>
  <c r="AQ64" i="17"/>
  <c r="AQ65" i="17" a="1"/>
  <c r="AQ65" i="17"/>
  <c r="AQ66" i="17" a="1"/>
  <c r="AQ66" i="17"/>
  <c r="AT9" i="17" a="1"/>
  <c r="AT9" i="17"/>
  <c r="AT10" i="17" a="1"/>
  <c r="AT10" i="17"/>
  <c r="AT11" i="17" a="1"/>
  <c r="AT11" i="17"/>
  <c r="AT12" i="17" a="1"/>
  <c r="AT12" i="17"/>
  <c r="AT13" i="17" a="1"/>
  <c r="AT13" i="17"/>
  <c r="AT14" i="17" a="1"/>
  <c r="AT14" i="17"/>
  <c r="AT15" i="17" a="1"/>
  <c r="AT15" i="17"/>
  <c r="AT16" i="17" a="1"/>
  <c r="AT16" i="17"/>
  <c r="AT17" i="17" a="1"/>
  <c r="AT17" i="17"/>
  <c r="AT18" i="17" a="1"/>
  <c r="AT18" i="17"/>
  <c r="AT19" i="17" a="1"/>
  <c r="AT19" i="17"/>
  <c r="AT20" i="17" a="1"/>
  <c r="AT20" i="17"/>
  <c r="AT21" i="17" a="1"/>
  <c r="AT21" i="17"/>
  <c r="AT22" i="17" a="1"/>
  <c r="AT22" i="17"/>
  <c r="AT23" i="17" a="1"/>
  <c r="AT23" i="17"/>
  <c r="AT24" i="17" a="1"/>
  <c r="AT24" i="17"/>
  <c r="AT25" i="17" a="1"/>
  <c r="AT25" i="17"/>
  <c r="AT26" i="17" a="1"/>
  <c r="AT26" i="17"/>
  <c r="AT27" i="17" a="1"/>
  <c r="AT27" i="17"/>
  <c r="AT28" i="17" a="1"/>
  <c r="AT28" i="17"/>
  <c r="AT29" i="17" a="1"/>
  <c r="AT29" i="17"/>
  <c r="AT30" i="17" a="1"/>
  <c r="AT30" i="17"/>
  <c r="AT31" i="17" a="1"/>
  <c r="AT31" i="17"/>
  <c r="AT32" i="17" a="1"/>
  <c r="AT32" i="17"/>
  <c r="AT33" i="17" a="1"/>
  <c r="AT33" i="17"/>
  <c r="AT34" i="17" a="1"/>
  <c r="AT34" i="17"/>
  <c r="AT35" i="17" a="1"/>
  <c r="AT35" i="17"/>
  <c r="AT36" i="17" a="1"/>
  <c r="AT36" i="17"/>
  <c r="AT37" i="17" a="1"/>
  <c r="AT37" i="17"/>
  <c r="AT38" i="17" a="1"/>
  <c r="AT38" i="17"/>
  <c r="AT39" i="17" a="1"/>
  <c r="AT39" i="17"/>
  <c r="AT40" i="17" a="1"/>
  <c r="AT40" i="17"/>
  <c r="AT41" i="17" a="1"/>
  <c r="AT41" i="17"/>
  <c r="AT42" i="17" a="1"/>
  <c r="AT42" i="17"/>
  <c r="AT43" i="17" a="1"/>
  <c r="AT43" i="17"/>
  <c r="AT44" i="17" a="1"/>
  <c r="AT44" i="17"/>
  <c r="AT45" i="17" a="1"/>
  <c r="AT45" i="17"/>
  <c r="AT46" i="17" a="1"/>
  <c r="AT46" i="17"/>
  <c r="AT47" i="17" a="1"/>
  <c r="AT47" i="17"/>
  <c r="AT48" i="17" a="1"/>
  <c r="AT48" i="17"/>
  <c r="AT49" i="17" a="1"/>
  <c r="AT49" i="17"/>
  <c r="AT50" i="17" a="1"/>
  <c r="AT50" i="17"/>
  <c r="AT51" i="17" a="1"/>
  <c r="AT51" i="17"/>
  <c r="AT52" i="17" a="1"/>
  <c r="AT52" i="17"/>
  <c r="AT53" i="17" a="1"/>
  <c r="AT53" i="17"/>
  <c r="AT54" i="17" a="1"/>
  <c r="AT54" i="17"/>
  <c r="AT55" i="17" a="1"/>
  <c r="AT55" i="17"/>
  <c r="AT56" i="17" a="1"/>
  <c r="AT56" i="17"/>
  <c r="AT57" i="17" a="1"/>
  <c r="AT57" i="17"/>
  <c r="AT58" i="17" a="1"/>
  <c r="AT58" i="17"/>
  <c r="AT59" i="17" a="1"/>
  <c r="AT59" i="17"/>
  <c r="AT60" i="17" a="1"/>
  <c r="AT60" i="17"/>
  <c r="AT61" i="17" a="1"/>
  <c r="AT61" i="17"/>
  <c r="AT62" i="17" a="1"/>
  <c r="AT62" i="17"/>
  <c r="AT63" i="17" a="1"/>
  <c r="AT63" i="17"/>
  <c r="AT64" i="17" a="1"/>
  <c r="AT64" i="17"/>
  <c r="AT65" i="17" a="1"/>
  <c r="AT65" i="17"/>
  <c r="AT66" i="17" a="1"/>
  <c r="AT66" i="17"/>
  <c r="AV24" i="17" a="1"/>
  <c r="AV24" i="17"/>
  <c r="AV25" i="17" a="1"/>
  <c r="AV25" i="17"/>
  <c r="AV26" i="17" a="1"/>
  <c r="AV26" i="17"/>
  <c r="AV27" i="17" a="1"/>
  <c r="AV27" i="17"/>
  <c r="AV28" i="17" a="1"/>
  <c r="AV28" i="17"/>
  <c r="AV29" i="17" a="1"/>
  <c r="AV29" i="17"/>
  <c r="AV30" i="17" a="1"/>
  <c r="AV30" i="17"/>
  <c r="AV31" i="17" a="1"/>
  <c r="AV31" i="17"/>
  <c r="AV32" i="17" a="1"/>
  <c r="AV32" i="17"/>
  <c r="AV33" i="17" a="1"/>
  <c r="AV33" i="17"/>
  <c r="AV34" i="17" a="1"/>
  <c r="AV34" i="17"/>
  <c r="AV35" i="17" a="1"/>
  <c r="AV35" i="17"/>
  <c r="AV36" i="17" a="1"/>
  <c r="AV36" i="17"/>
  <c r="AV37" i="17" a="1"/>
  <c r="AV37" i="17"/>
  <c r="AV38" i="17" a="1"/>
  <c r="AV38" i="17"/>
  <c r="AV39" i="17" a="1"/>
  <c r="AV39" i="17"/>
  <c r="AV40" i="17" a="1"/>
  <c r="AV40" i="17"/>
  <c r="AV41" i="17" a="1"/>
  <c r="AV41" i="17"/>
  <c r="AV42" i="17" a="1"/>
  <c r="AV42" i="17"/>
  <c r="AV43" i="17" a="1"/>
  <c r="AV43" i="17"/>
  <c r="AV44" i="17" a="1"/>
  <c r="AV44" i="17"/>
  <c r="AV45" i="17" a="1"/>
  <c r="AV45" i="17"/>
  <c r="AV46" i="17" a="1"/>
  <c r="AV46" i="17"/>
  <c r="AV47" i="17" a="1"/>
  <c r="AV47" i="17"/>
  <c r="AV48" i="17" a="1"/>
  <c r="AV48" i="17"/>
  <c r="AV49" i="17" a="1"/>
  <c r="AV49" i="17"/>
  <c r="AV50" i="17" a="1"/>
  <c r="AV50" i="17"/>
  <c r="AV51" i="17" a="1"/>
  <c r="AV51" i="17"/>
  <c r="AV52" i="17" a="1"/>
  <c r="AV52" i="17"/>
  <c r="AV53" i="17" a="1"/>
  <c r="AV53" i="17"/>
  <c r="AV54" i="17" a="1"/>
  <c r="AV54" i="17"/>
  <c r="AV55" i="17" a="1"/>
  <c r="AV55" i="17"/>
  <c r="AV56" i="17" a="1"/>
  <c r="AV56" i="17"/>
  <c r="AV57" i="17" a="1"/>
  <c r="AV57" i="17"/>
  <c r="AV58" i="17" a="1"/>
  <c r="AV58" i="17"/>
  <c r="AV59" i="17" a="1"/>
  <c r="AV59" i="17"/>
  <c r="AV60" i="17" a="1"/>
  <c r="AV60" i="17"/>
  <c r="AV61" i="17" a="1"/>
  <c r="AV61" i="17"/>
  <c r="AV62" i="17" a="1"/>
  <c r="AV62" i="17"/>
  <c r="AV63" i="17" a="1"/>
  <c r="AV63" i="17"/>
  <c r="AV64" i="17" a="1"/>
  <c r="AV64" i="17"/>
  <c r="AV65" i="17" a="1"/>
  <c r="AV65" i="17"/>
  <c r="AV66" i="17" a="1"/>
  <c r="AV66" i="17"/>
  <c r="AX24" i="17" a="1"/>
  <c r="AX24" i="17"/>
  <c r="AX25" i="17" a="1"/>
  <c r="AX25" i="17"/>
  <c r="AX26" i="17" a="1"/>
  <c r="AX26" i="17"/>
  <c r="AX27" i="17" a="1"/>
  <c r="AX27" i="17"/>
  <c r="AX28" i="17" a="1"/>
  <c r="AX28" i="17"/>
  <c r="AX29" i="17" a="1"/>
  <c r="AX29" i="17"/>
  <c r="AX30" i="17" a="1"/>
  <c r="AX30" i="17"/>
  <c r="AX31" i="17" a="1"/>
  <c r="AX31" i="17"/>
  <c r="AX32" i="17" a="1"/>
  <c r="AX32" i="17"/>
  <c r="AX33" i="17" a="1"/>
  <c r="AX33" i="17"/>
  <c r="AX34" i="17" a="1"/>
  <c r="AX34" i="17"/>
  <c r="AX35" i="17" a="1"/>
  <c r="AX35" i="17"/>
  <c r="AX36" i="17" a="1"/>
  <c r="AX36" i="17"/>
  <c r="AX37" i="17" a="1"/>
  <c r="AX37" i="17"/>
  <c r="AX38" i="17" a="1"/>
  <c r="AX38" i="17"/>
  <c r="AX39" i="17" a="1"/>
  <c r="AX39" i="17"/>
  <c r="AX40" i="17" a="1"/>
  <c r="AX40" i="17"/>
  <c r="AX41" i="17" a="1"/>
  <c r="AX41" i="17"/>
  <c r="AX42" i="17" a="1"/>
  <c r="AX42" i="17"/>
  <c r="AX43" i="17" a="1"/>
  <c r="AX43" i="17"/>
  <c r="AX44" i="17" a="1"/>
  <c r="AX44" i="17"/>
  <c r="AX45" i="17" a="1"/>
  <c r="AX45" i="17"/>
  <c r="AX46" i="17" a="1"/>
  <c r="AX46" i="17"/>
  <c r="AX47" i="17" a="1"/>
  <c r="AX47" i="17"/>
  <c r="AX48" i="17" a="1"/>
  <c r="AX48" i="17"/>
  <c r="AX49" i="17" a="1"/>
  <c r="AX49" i="17"/>
  <c r="AX50" i="17" a="1"/>
  <c r="AX50" i="17"/>
  <c r="AX51" i="17" a="1"/>
  <c r="AX51" i="17"/>
  <c r="AX52" i="17" a="1"/>
  <c r="AX52" i="17"/>
  <c r="AX53" i="17" a="1"/>
  <c r="AX53" i="17"/>
  <c r="AX54" i="17" a="1"/>
  <c r="AX54" i="17"/>
  <c r="AX55" i="17" a="1"/>
  <c r="AX55" i="17"/>
  <c r="AX56" i="17" a="1"/>
  <c r="AX56" i="17"/>
  <c r="AX57" i="17" a="1"/>
  <c r="AX57" i="17"/>
  <c r="AX58" i="17" a="1"/>
  <c r="AX58" i="17"/>
  <c r="AX59" i="17" a="1"/>
  <c r="AX59" i="17"/>
  <c r="AX60" i="17" a="1"/>
  <c r="AX60" i="17"/>
  <c r="AX61" i="17" a="1"/>
  <c r="AX61" i="17"/>
  <c r="AX62" i="17" a="1"/>
  <c r="AX62" i="17"/>
  <c r="AX63" i="17" a="1"/>
  <c r="AX63" i="17"/>
  <c r="AX64" i="17" a="1"/>
  <c r="AX64" i="17"/>
  <c r="AX65" i="17" a="1"/>
  <c r="AX65" i="17"/>
  <c r="AX66" i="17" a="1"/>
  <c r="AX66" i="17"/>
  <c r="BA9" i="17" a="1"/>
  <c r="BA9" i="17"/>
  <c r="BA10" i="17" a="1"/>
  <c r="BA10" i="17"/>
  <c r="BA11" i="17" a="1"/>
  <c r="BA11" i="17"/>
  <c r="BA12" i="17" a="1"/>
  <c r="BA12" i="17"/>
  <c r="BA13" i="17" a="1"/>
  <c r="BA13" i="17"/>
  <c r="BA14" i="17" a="1"/>
  <c r="BA14" i="17"/>
  <c r="BA15" i="17" a="1"/>
  <c r="BA15" i="17"/>
  <c r="BA16" i="17" a="1"/>
  <c r="BA16" i="17"/>
  <c r="BA17" i="17" a="1"/>
  <c r="BA17" i="17"/>
  <c r="BA18" i="17" a="1"/>
  <c r="BA18" i="17"/>
  <c r="BA19" i="17" a="1"/>
  <c r="BA19" i="17"/>
  <c r="BA20" i="17" a="1"/>
  <c r="BA20" i="17"/>
  <c r="BA21" i="17" a="1"/>
  <c r="BA21" i="17"/>
  <c r="BA22" i="17" a="1"/>
  <c r="BA22" i="17"/>
  <c r="BA23" i="17" a="1"/>
  <c r="BA23" i="17"/>
  <c r="BA24" i="17" a="1"/>
  <c r="BA24" i="17"/>
  <c r="BA25" i="17" a="1"/>
  <c r="BA25" i="17"/>
  <c r="BA26" i="17" a="1"/>
  <c r="BA26" i="17"/>
  <c r="BA27" i="17" a="1"/>
  <c r="BA27" i="17"/>
  <c r="BA28" i="17" a="1"/>
  <c r="BA28" i="17"/>
  <c r="BA29" i="17" a="1"/>
  <c r="BA29" i="17"/>
  <c r="BA30" i="17" a="1"/>
  <c r="BA30" i="17"/>
  <c r="BA31" i="17" a="1"/>
  <c r="BA31" i="17"/>
  <c r="BA32" i="17" a="1"/>
  <c r="BA32" i="17"/>
  <c r="BA33" i="17" a="1"/>
  <c r="BA33" i="17"/>
  <c r="BA34" i="17" a="1"/>
  <c r="BA34" i="17"/>
  <c r="BA35" i="17" a="1"/>
  <c r="BA35" i="17"/>
  <c r="BA36" i="17" a="1"/>
  <c r="BA36" i="17"/>
  <c r="BA37" i="17" a="1"/>
  <c r="BA37" i="17"/>
  <c r="BA38" i="17" a="1"/>
  <c r="BA38" i="17"/>
  <c r="BA39" i="17" a="1"/>
  <c r="BA39" i="17"/>
  <c r="BA40" i="17" a="1"/>
  <c r="BA40" i="17"/>
  <c r="BA41" i="17" a="1"/>
  <c r="BA41" i="17"/>
  <c r="BA42" i="17" a="1"/>
  <c r="BA42" i="17"/>
  <c r="BA43" i="17" a="1"/>
  <c r="BA43" i="17"/>
  <c r="BA44" i="17" a="1"/>
  <c r="BA44" i="17"/>
  <c r="BA45" i="17" a="1"/>
  <c r="BA45" i="17"/>
  <c r="BA46" i="17" a="1"/>
  <c r="BA46" i="17"/>
  <c r="BA47" i="17" a="1"/>
  <c r="BA47" i="17"/>
  <c r="BA48" i="17" a="1"/>
  <c r="BA48" i="17"/>
  <c r="BA49" i="17" a="1"/>
  <c r="BA49" i="17"/>
  <c r="BA50" i="17" a="1"/>
  <c r="BA50" i="17"/>
  <c r="BA51" i="17" a="1"/>
  <c r="BA51" i="17"/>
  <c r="BA52" i="17" a="1"/>
  <c r="BA52" i="17"/>
  <c r="BA53" i="17" a="1"/>
  <c r="BA53" i="17"/>
  <c r="BA54" i="17" a="1"/>
  <c r="BA54" i="17"/>
  <c r="BA55" i="17" a="1"/>
  <c r="BA55" i="17"/>
  <c r="BA56" i="17" a="1"/>
  <c r="BA56" i="17"/>
  <c r="BA57" i="17" a="1"/>
  <c r="BA57" i="17"/>
  <c r="BA58" i="17" a="1"/>
  <c r="BA58" i="17"/>
  <c r="BA59" i="17" a="1"/>
  <c r="BA59" i="17"/>
  <c r="BA60" i="17" a="1"/>
  <c r="BA60" i="17"/>
  <c r="BA61" i="17" a="1"/>
  <c r="BA61" i="17"/>
  <c r="BA62" i="17" a="1"/>
  <c r="BA62" i="17"/>
  <c r="BA63" i="17" a="1"/>
  <c r="BA63" i="17"/>
  <c r="BA64" i="17" a="1"/>
  <c r="BA64" i="17"/>
  <c r="BA65" i="17" a="1"/>
  <c r="BA65" i="17"/>
  <c r="BA66" i="17" a="1"/>
  <c r="BA66" i="17"/>
  <c r="BC24" i="17" a="1"/>
  <c r="BC24" i="17"/>
  <c r="BC25" i="17" a="1"/>
  <c r="BC25" i="17"/>
  <c r="BC26" i="17" a="1"/>
  <c r="BC26" i="17"/>
  <c r="BC27" i="17" a="1"/>
  <c r="BC27" i="17"/>
  <c r="BC28" i="17" a="1"/>
  <c r="BC28" i="17"/>
  <c r="BC29" i="17" a="1"/>
  <c r="BC29" i="17"/>
  <c r="BC30" i="17" a="1"/>
  <c r="BC30" i="17"/>
  <c r="BC31" i="17" a="1"/>
  <c r="BC31" i="17"/>
  <c r="BC32" i="17" a="1"/>
  <c r="BC32" i="17"/>
  <c r="BC33" i="17" a="1"/>
  <c r="BC33" i="17"/>
  <c r="BC34" i="17" a="1"/>
  <c r="BC34" i="17"/>
  <c r="BC35" i="17" a="1"/>
  <c r="BC35" i="17"/>
  <c r="BC36" i="17" a="1"/>
  <c r="BC36" i="17"/>
  <c r="BC37" i="17" a="1"/>
  <c r="BC37" i="17"/>
  <c r="BC38" i="17" a="1"/>
  <c r="BC38" i="17"/>
  <c r="BC39" i="17" a="1"/>
  <c r="BC39" i="17"/>
  <c r="BC40" i="17" a="1"/>
  <c r="BC40" i="17"/>
  <c r="BC41" i="17" a="1"/>
  <c r="BC41" i="17"/>
  <c r="BC42" i="17" a="1"/>
  <c r="BC42" i="17"/>
  <c r="BC43" i="17" a="1"/>
  <c r="BC43" i="17"/>
  <c r="BC44" i="17" a="1"/>
  <c r="BC44" i="17"/>
  <c r="BC45" i="17" a="1"/>
  <c r="BC45" i="17"/>
  <c r="BC46" i="17" a="1"/>
  <c r="BC46" i="17"/>
  <c r="BC47" i="17" a="1"/>
  <c r="BC47" i="17"/>
  <c r="BC48" i="17" a="1"/>
  <c r="BC48" i="17"/>
  <c r="BC49" i="17" a="1"/>
  <c r="BC49" i="17"/>
  <c r="BC50" i="17" a="1"/>
  <c r="BC50" i="17"/>
  <c r="BC51" i="17" a="1"/>
  <c r="BC51" i="17"/>
  <c r="BC52" i="17" a="1"/>
  <c r="BC52" i="17"/>
  <c r="BC53" i="17" a="1"/>
  <c r="BC53" i="17"/>
  <c r="BC54" i="17" a="1"/>
  <c r="BC54" i="17"/>
  <c r="BC55" i="17" a="1"/>
  <c r="BC55" i="17"/>
  <c r="BC56" i="17" a="1"/>
  <c r="BC56" i="17"/>
  <c r="BC57" i="17" a="1"/>
  <c r="BC57" i="17"/>
  <c r="BC58" i="17" a="1"/>
  <c r="BC58" i="17"/>
  <c r="BC59" i="17" a="1"/>
  <c r="BC59" i="17"/>
  <c r="BC60" i="17" a="1"/>
  <c r="BC60" i="17"/>
  <c r="BC61" i="17" a="1"/>
  <c r="BC61" i="17"/>
  <c r="BC62" i="17" a="1"/>
  <c r="BC62" i="17"/>
  <c r="BC63" i="17" a="1"/>
  <c r="BC63" i="17"/>
  <c r="BC64" i="17" a="1"/>
  <c r="BC64" i="17"/>
  <c r="BC65" i="17" a="1"/>
  <c r="BC65" i="17"/>
  <c r="BC66" i="17" a="1"/>
  <c r="BC66" i="17"/>
  <c r="BE24" i="17" a="1"/>
  <c r="BE24" i="17"/>
  <c r="BE25" i="17" a="1"/>
  <c r="BE25" i="17"/>
  <c r="BE26" i="17" a="1"/>
  <c r="BE26" i="17"/>
  <c r="BE27" i="17" a="1"/>
  <c r="BE27" i="17"/>
  <c r="BE28" i="17" a="1"/>
  <c r="BE28" i="17"/>
  <c r="BE29" i="17" a="1"/>
  <c r="BE29" i="17"/>
  <c r="BE30" i="17" a="1"/>
  <c r="BE30" i="17"/>
  <c r="BE31" i="17" a="1"/>
  <c r="BE31" i="17"/>
  <c r="BE32" i="17" a="1"/>
  <c r="BE32" i="17"/>
  <c r="BE33" i="17" a="1"/>
  <c r="BE33" i="17"/>
  <c r="BE34" i="17" a="1"/>
  <c r="BE34" i="17"/>
  <c r="BE35" i="17" a="1"/>
  <c r="BE35" i="17"/>
  <c r="BE36" i="17" a="1"/>
  <c r="BE36" i="17"/>
  <c r="BE37" i="17" a="1"/>
  <c r="BE37" i="17"/>
  <c r="BE38" i="17" a="1"/>
  <c r="BE38" i="17"/>
  <c r="BE39" i="17" a="1"/>
  <c r="BE39" i="17"/>
  <c r="BE40" i="17" a="1"/>
  <c r="BE40" i="17"/>
  <c r="BE41" i="17" a="1"/>
  <c r="BE41" i="17"/>
  <c r="BE42" i="17" a="1"/>
  <c r="BE42" i="17"/>
  <c r="BE43" i="17" a="1"/>
  <c r="BE43" i="17"/>
  <c r="BE44" i="17" a="1"/>
  <c r="BE44" i="17"/>
  <c r="BE45" i="17" a="1"/>
  <c r="BE45" i="17"/>
  <c r="BE46" i="17" a="1"/>
  <c r="BE46" i="17"/>
  <c r="BE47" i="17" a="1"/>
  <c r="BE47" i="17"/>
  <c r="BE48" i="17" a="1"/>
  <c r="BE48" i="17"/>
  <c r="BE49" i="17" a="1"/>
  <c r="BE49" i="17"/>
  <c r="BE50" i="17" a="1"/>
  <c r="BE50" i="17"/>
  <c r="BE51" i="17" a="1"/>
  <c r="BE51" i="17"/>
  <c r="BE52" i="17" a="1"/>
  <c r="BE52" i="17"/>
  <c r="BE53" i="17" a="1"/>
  <c r="BE53" i="17"/>
  <c r="BE54" i="17" a="1"/>
  <c r="BE54" i="17"/>
  <c r="BE55" i="17" a="1"/>
  <c r="BE55" i="17"/>
  <c r="BE56" i="17" a="1"/>
  <c r="BE56" i="17"/>
  <c r="BE57" i="17" a="1"/>
  <c r="BE57" i="17"/>
  <c r="BE58" i="17" a="1"/>
  <c r="BE58" i="17"/>
  <c r="BE59" i="17" a="1"/>
  <c r="BE59" i="17"/>
  <c r="BE60" i="17" a="1"/>
  <c r="BE60" i="17"/>
  <c r="BE61" i="17" a="1"/>
  <c r="BE61" i="17"/>
  <c r="BE62" i="17" a="1"/>
  <c r="BE62" i="17"/>
  <c r="BE63" i="17" a="1"/>
  <c r="BE63" i="17"/>
  <c r="BE64" i="17" a="1"/>
  <c r="BE64" i="17"/>
  <c r="BE65" i="17" a="1"/>
  <c r="BE65" i="17"/>
  <c r="BE66" i="17" a="1"/>
  <c r="BE66" i="17"/>
  <c r="BH9" i="17" a="1"/>
  <c r="BH9" i="17"/>
  <c r="BH10" i="17" a="1"/>
  <c r="BH10" i="17"/>
  <c r="BH11" i="17" a="1"/>
  <c r="BH11" i="17"/>
  <c r="BH12" i="17" a="1"/>
  <c r="BH12" i="17"/>
  <c r="BH13" i="17" a="1"/>
  <c r="BH13" i="17"/>
  <c r="BH14" i="17" a="1"/>
  <c r="BH14" i="17"/>
  <c r="BH15" i="17" a="1"/>
  <c r="BH15" i="17"/>
  <c r="BH16" i="17" a="1"/>
  <c r="BH16" i="17"/>
  <c r="BH17" i="17" a="1"/>
  <c r="BH17" i="17"/>
  <c r="BH18" i="17" a="1"/>
  <c r="BH18" i="17"/>
  <c r="BH19" i="17" a="1"/>
  <c r="BH19" i="17"/>
  <c r="BH20" i="17" a="1"/>
  <c r="BH20" i="17"/>
  <c r="BH21" i="17" a="1"/>
  <c r="BH21" i="17"/>
  <c r="BH22" i="17" a="1"/>
  <c r="BH22" i="17"/>
  <c r="BH23" i="17" a="1"/>
  <c r="BH23" i="17"/>
  <c r="BH24" i="17" a="1"/>
  <c r="BH24" i="17"/>
  <c r="BH25" i="17" a="1"/>
  <c r="BH25" i="17"/>
  <c r="BH26" i="17" a="1"/>
  <c r="BH26" i="17"/>
  <c r="BH27" i="17" a="1"/>
  <c r="BH27" i="17"/>
  <c r="BH28" i="17" a="1"/>
  <c r="BH28" i="17"/>
  <c r="BH29" i="17" a="1"/>
  <c r="BH29" i="17"/>
  <c r="BH30" i="17" a="1"/>
  <c r="BH30" i="17"/>
  <c r="BH31" i="17" a="1"/>
  <c r="BH31" i="17"/>
  <c r="BH32" i="17" a="1"/>
  <c r="BH32" i="17"/>
  <c r="BH33" i="17" a="1"/>
  <c r="BH33" i="17"/>
  <c r="BH34" i="17" a="1"/>
  <c r="BH34" i="17"/>
  <c r="BH35" i="17" a="1"/>
  <c r="BH35" i="17"/>
  <c r="BH36" i="17" a="1"/>
  <c r="BH36" i="17"/>
  <c r="BH37" i="17" a="1"/>
  <c r="BH37" i="17"/>
  <c r="BH38" i="17" a="1"/>
  <c r="BH38" i="17"/>
  <c r="BH39" i="17" a="1"/>
  <c r="BH39" i="17"/>
  <c r="BH40" i="17" a="1"/>
  <c r="BH40" i="17"/>
  <c r="BH41" i="17" a="1"/>
  <c r="BH41" i="17"/>
  <c r="BH42" i="17" a="1"/>
  <c r="BH42" i="17"/>
  <c r="BH43" i="17" a="1"/>
  <c r="BH43" i="17"/>
  <c r="BH44" i="17" a="1"/>
  <c r="BH44" i="17"/>
  <c r="BH45" i="17" a="1"/>
  <c r="BH45" i="17"/>
  <c r="BH46" i="17" a="1"/>
  <c r="BH46" i="17"/>
  <c r="BH47" i="17" a="1"/>
  <c r="BH47" i="17"/>
  <c r="BH48" i="17" a="1"/>
  <c r="BH48" i="17"/>
  <c r="BH49" i="17" a="1"/>
  <c r="BH49" i="17"/>
  <c r="BH50" i="17" a="1"/>
  <c r="BH50" i="17"/>
  <c r="BH51" i="17" a="1"/>
  <c r="BH51" i="17"/>
  <c r="BH52" i="17" a="1"/>
  <c r="BH52" i="17"/>
  <c r="BH53" i="17" a="1"/>
  <c r="BH53" i="17"/>
  <c r="BH54" i="17" a="1"/>
  <c r="BH54" i="17"/>
  <c r="BH55" i="17" a="1"/>
  <c r="BH55" i="17"/>
  <c r="BH56" i="17" a="1"/>
  <c r="BH56" i="17"/>
  <c r="BH57" i="17" a="1"/>
  <c r="BH57" i="17"/>
  <c r="BH58" i="17" a="1"/>
  <c r="BH58" i="17"/>
  <c r="BH59" i="17" a="1"/>
  <c r="BH59" i="17"/>
  <c r="BH60" i="17" a="1"/>
  <c r="BH60" i="17"/>
  <c r="BH61" i="17" a="1"/>
  <c r="BH61" i="17"/>
  <c r="BH62" i="17" a="1"/>
  <c r="BH62" i="17"/>
  <c r="BH63" i="17" a="1"/>
  <c r="BH63" i="17"/>
  <c r="BH64" i="17" a="1"/>
  <c r="BH64" i="17"/>
  <c r="BH65" i="17" a="1"/>
  <c r="BH65" i="17"/>
  <c r="BH66" i="17" a="1"/>
  <c r="BH66" i="17"/>
  <c r="BJ24" i="17" a="1"/>
  <c r="BJ24" i="17"/>
  <c r="BJ25" i="17" a="1"/>
  <c r="BJ25" i="17"/>
  <c r="BJ26" i="17" a="1"/>
  <c r="BJ26" i="17"/>
  <c r="BJ27" i="17" a="1"/>
  <c r="BJ27" i="17"/>
  <c r="BJ28" i="17" a="1"/>
  <c r="BJ28" i="17"/>
  <c r="BJ29" i="17" a="1"/>
  <c r="BJ29" i="17"/>
  <c r="BJ30" i="17" a="1"/>
  <c r="BJ30" i="17"/>
  <c r="BJ31" i="17" a="1"/>
  <c r="BJ31" i="17"/>
  <c r="BJ32" i="17" a="1"/>
  <c r="BJ32" i="17"/>
  <c r="BJ33" i="17" a="1"/>
  <c r="BJ33" i="17"/>
  <c r="BJ34" i="17" a="1"/>
  <c r="BJ34" i="17"/>
  <c r="BJ35" i="17" a="1"/>
  <c r="BJ35" i="17"/>
  <c r="BJ36" i="17" a="1"/>
  <c r="BJ36" i="17"/>
  <c r="BJ37" i="17" a="1"/>
  <c r="BJ37" i="17"/>
  <c r="BJ38" i="17" a="1"/>
  <c r="BJ38" i="17"/>
  <c r="BJ39" i="17" a="1"/>
  <c r="BJ39" i="17"/>
  <c r="BJ40" i="17" a="1"/>
  <c r="BJ40" i="17"/>
  <c r="BJ41" i="17" a="1"/>
  <c r="BJ41" i="17"/>
  <c r="BJ42" i="17" a="1"/>
  <c r="BJ42" i="17"/>
  <c r="BJ43" i="17" a="1"/>
  <c r="BJ43" i="17"/>
  <c r="BJ44" i="17" a="1"/>
  <c r="BJ44" i="17"/>
  <c r="BJ45" i="17" a="1"/>
  <c r="BJ45" i="17"/>
  <c r="BJ46" i="17" a="1"/>
  <c r="BJ46" i="17"/>
  <c r="BJ47" i="17" a="1"/>
  <c r="BJ47" i="17"/>
  <c r="BJ48" i="17" a="1"/>
  <c r="BJ48" i="17"/>
  <c r="BJ49" i="17" a="1"/>
  <c r="BJ49" i="17"/>
  <c r="BJ50" i="17" a="1"/>
  <c r="BJ50" i="17"/>
  <c r="BJ51" i="17" a="1"/>
  <c r="BJ51" i="17"/>
  <c r="BJ52" i="17" a="1"/>
  <c r="BJ52" i="17"/>
  <c r="BJ53" i="17" a="1"/>
  <c r="BJ53" i="17"/>
  <c r="BJ54" i="17" a="1"/>
  <c r="BJ54" i="17"/>
  <c r="BJ55" i="17" a="1"/>
  <c r="BJ55" i="17"/>
  <c r="BJ56" i="17" a="1"/>
  <c r="BJ56" i="17"/>
  <c r="BJ57" i="17" a="1"/>
  <c r="BJ57" i="17"/>
  <c r="BJ58" i="17" a="1"/>
  <c r="BJ58" i="17"/>
  <c r="BJ59" i="17" a="1"/>
  <c r="BJ59" i="17"/>
  <c r="BJ60" i="17" a="1"/>
  <c r="BJ60" i="17"/>
  <c r="BJ61" i="17" a="1"/>
  <c r="BJ61" i="17"/>
  <c r="BJ62" i="17" a="1"/>
  <c r="BJ62" i="17"/>
  <c r="BJ63" i="17" a="1"/>
  <c r="BJ63" i="17"/>
  <c r="BJ64" i="17" a="1"/>
  <c r="BJ64" i="17"/>
  <c r="BJ65" i="17" a="1"/>
  <c r="BJ65" i="17"/>
  <c r="BJ66" i="17" a="1"/>
  <c r="BJ66" i="17"/>
  <c r="BL24" i="17" a="1"/>
  <c r="BL24" i="17"/>
  <c r="BL25" i="17" a="1"/>
  <c r="BL25" i="17"/>
  <c r="BL26" i="17" a="1"/>
  <c r="BL26" i="17"/>
  <c r="BL27" i="17" a="1"/>
  <c r="BL27" i="17"/>
  <c r="BL28" i="17" a="1"/>
  <c r="BL28" i="17"/>
  <c r="BL29" i="17" a="1"/>
  <c r="BL29" i="17"/>
  <c r="BL30" i="17" a="1"/>
  <c r="BL30" i="17"/>
  <c r="BL31" i="17" a="1"/>
  <c r="BL31" i="17"/>
  <c r="BL32" i="17" a="1"/>
  <c r="BL32" i="17"/>
  <c r="BL33" i="17" a="1"/>
  <c r="BL33" i="17"/>
  <c r="BL34" i="17" a="1"/>
  <c r="BL34" i="17"/>
  <c r="BL35" i="17" a="1"/>
  <c r="BL35" i="17"/>
  <c r="BL36" i="17" a="1"/>
  <c r="BL36" i="17"/>
  <c r="BL37" i="17" a="1"/>
  <c r="BL37" i="17"/>
  <c r="BL38" i="17" a="1"/>
  <c r="BL38" i="17"/>
  <c r="BL39" i="17" a="1"/>
  <c r="BL39" i="17"/>
  <c r="BL40" i="17" a="1"/>
  <c r="BL40" i="17"/>
  <c r="BL41" i="17" a="1"/>
  <c r="BL41" i="17"/>
  <c r="BL42" i="17" a="1"/>
  <c r="BL42" i="17"/>
  <c r="BL43" i="17" a="1"/>
  <c r="BL43" i="17"/>
  <c r="BL44" i="17" a="1"/>
  <c r="BL44" i="17"/>
  <c r="BL45" i="17" a="1"/>
  <c r="BL45" i="17"/>
  <c r="BL46" i="17" a="1"/>
  <c r="BL46" i="17"/>
  <c r="BL47" i="17" a="1"/>
  <c r="BL47" i="17"/>
  <c r="BL48" i="17" a="1"/>
  <c r="BL48" i="17"/>
  <c r="BL49" i="17" a="1"/>
  <c r="BL49" i="17"/>
  <c r="BL50" i="17" a="1"/>
  <c r="BL50" i="17"/>
  <c r="BL51" i="17" a="1"/>
  <c r="BL51" i="17"/>
  <c r="BL52" i="17" a="1"/>
  <c r="BL52" i="17"/>
  <c r="BL53" i="17" a="1"/>
  <c r="BL53" i="17"/>
  <c r="BL54" i="17" a="1"/>
  <c r="BL54" i="17"/>
  <c r="BL55" i="17" a="1"/>
  <c r="BL55" i="17"/>
  <c r="BL56" i="17" a="1"/>
  <c r="BL56" i="17"/>
  <c r="BL57" i="17" a="1"/>
  <c r="BL57" i="17"/>
  <c r="BL58" i="17" a="1"/>
  <c r="BL58" i="17"/>
  <c r="BL59" i="17" a="1"/>
  <c r="BL59" i="17"/>
  <c r="BL60" i="17" a="1"/>
  <c r="BL60" i="17"/>
  <c r="BL61" i="17" a="1"/>
  <c r="BL61" i="17"/>
  <c r="BL62" i="17" a="1"/>
  <c r="BL62" i="17"/>
  <c r="BL63" i="17" a="1"/>
  <c r="BL63" i="17"/>
  <c r="BL64" i="17" a="1"/>
  <c r="BL64" i="17"/>
  <c r="BL65" i="17" a="1"/>
  <c r="BL65" i="17"/>
  <c r="BL66" i="17" a="1"/>
  <c r="BL66" i="17"/>
  <c r="BO9" i="17" a="1"/>
  <c r="BO9" i="17"/>
  <c r="BO10" i="17" a="1"/>
  <c r="BO10" i="17"/>
  <c r="BO11" i="17" a="1"/>
  <c r="BO11" i="17"/>
  <c r="BO12" i="17" a="1"/>
  <c r="BO12" i="17"/>
  <c r="BO13" i="17" a="1"/>
  <c r="BO13" i="17"/>
  <c r="BO14" i="17" a="1"/>
  <c r="BO14" i="17"/>
  <c r="BO15" i="17" a="1"/>
  <c r="BO15" i="17"/>
  <c r="BO16" i="17" a="1"/>
  <c r="BO16" i="17"/>
  <c r="BO17" i="17" a="1"/>
  <c r="BO17" i="17"/>
  <c r="BO18" i="17" a="1"/>
  <c r="BO18" i="17"/>
  <c r="BO19" i="17" a="1"/>
  <c r="BO19" i="17"/>
  <c r="BO20" i="17" a="1"/>
  <c r="BO20" i="17"/>
  <c r="BO21" i="17" a="1"/>
  <c r="BO21" i="17"/>
  <c r="BO22" i="17" a="1"/>
  <c r="BO22" i="17"/>
  <c r="BO23" i="17" a="1"/>
  <c r="BO23" i="17"/>
  <c r="BO24" i="17" a="1"/>
  <c r="BO24" i="17"/>
  <c r="BO25" i="17" a="1"/>
  <c r="BO25" i="17"/>
  <c r="BO26" i="17" a="1"/>
  <c r="BO26" i="17"/>
  <c r="BO27" i="17" a="1"/>
  <c r="BO27" i="17"/>
  <c r="BO28" i="17" a="1"/>
  <c r="BO28" i="17"/>
  <c r="BO29" i="17" a="1"/>
  <c r="BO29" i="17"/>
  <c r="BO30" i="17" a="1"/>
  <c r="BO30" i="17"/>
  <c r="BO31" i="17" a="1"/>
  <c r="BO31" i="17"/>
  <c r="BO32" i="17" a="1"/>
  <c r="BO32" i="17"/>
  <c r="BO33" i="17" a="1"/>
  <c r="BO33" i="17"/>
  <c r="BO34" i="17" a="1"/>
  <c r="BO34" i="17"/>
  <c r="BO35" i="17" a="1"/>
  <c r="BO35" i="17"/>
  <c r="BO36" i="17" a="1"/>
  <c r="BO36" i="17"/>
  <c r="BO37" i="17" a="1"/>
  <c r="BO37" i="17"/>
  <c r="BO38" i="17" a="1"/>
  <c r="BO38" i="17"/>
  <c r="BO39" i="17" a="1"/>
  <c r="BO39" i="17"/>
  <c r="BO40" i="17" a="1"/>
  <c r="BO40" i="17"/>
  <c r="BO41" i="17" a="1"/>
  <c r="BO41" i="17"/>
  <c r="BO42" i="17" a="1"/>
  <c r="BO42" i="17"/>
  <c r="BO43" i="17" a="1"/>
  <c r="BO43" i="17"/>
  <c r="BO44" i="17" a="1"/>
  <c r="BO44" i="17"/>
  <c r="BO45" i="17" a="1"/>
  <c r="BO45" i="17"/>
  <c r="BO46" i="17" a="1"/>
  <c r="BO46" i="17"/>
  <c r="BO47" i="17" a="1"/>
  <c r="BO47" i="17"/>
  <c r="BO48" i="17" a="1"/>
  <c r="BO48" i="17"/>
  <c r="BO49" i="17" a="1"/>
  <c r="BO49" i="17"/>
  <c r="BO50" i="17" a="1"/>
  <c r="BO50" i="17"/>
  <c r="BO51" i="17" a="1"/>
  <c r="BO51" i="17"/>
  <c r="BO52" i="17" a="1"/>
  <c r="BO52" i="17"/>
  <c r="BO53" i="17" a="1"/>
  <c r="BO53" i="17"/>
  <c r="BO54" i="17" a="1"/>
  <c r="BO54" i="17"/>
  <c r="BO55" i="17" a="1"/>
  <c r="BO55" i="17"/>
  <c r="BO56" i="17" a="1"/>
  <c r="BO56" i="17"/>
  <c r="BO57" i="17" a="1"/>
  <c r="BO57" i="17"/>
  <c r="BO58" i="17" a="1"/>
  <c r="BO58" i="17"/>
  <c r="BO59" i="17" a="1"/>
  <c r="BO59" i="17"/>
  <c r="BO60" i="17" a="1"/>
  <c r="BO60" i="17"/>
  <c r="BO61" i="17" a="1"/>
  <c r="BO61" i="17"/>
  <c r="BO62" i="17" a="1"/>
  <c r="BO62" i="17"/>
  <c r="BO63" i="17" a="1"/>
  <c r="BO63" i="17"/>
  <c r="BO64" i="17" a="1"/>
  <c r="BO64" i="17"/>
  <c r="BO65" i="17" a="1"/>
  <c r="BO65" i="17"/>
  <c r="BO66" i="17" a="1"/>
  <c r="BO66" i="17"/>
  <c r="BQ24" i="17" a="1"/>
  <c r="BQ24" i="17"/>
  <c r="BQ25" i="17" a="1"/>
  <c r="BQ25" i="17"/>
  <c r="BQ26" i="17" a="1"/>
  <c r="BQ26" i="17"/>
  <c r="BQ27" i="17" a="1"/>
  <c r="BQ27" i="17"/>
  <c r="BQ28" i="17" a="1"/>
  <c r="BQ28" i="17"/>
  <c r="BQ29" i="17" a="1"/>
  <c r="BQ29" i="17"/>
  <c r="BQ30" i="17" a="1"/>
  <c r="BQ30" i="17"/>
  <c r="BQ31" i="17" a="1"/>
  <c r="BQ31" i="17"/>
  <c r="BQ32" i="17" a="1"/>
  <c r="BQ32" i="17"/>
  <c r="BQ33" i="17" a="1"/>
  <c r="BQ33" i="17"/>
  <c r="BQ34" i="17" a="1"/>
  <c r="BQ34" i="17"/>
  <c r="BQ35" i="17" a="1"/>
  <c r="BQ35" i="17"/>
  <c r="BQ36" i="17" a="1"/>
  <c r="BQ36" i="17"/>
  <c r="BQ37" i="17" a="1"/>
  <c r="BQ37" i="17"/>
  <c r="BQ38" i="17" a="1"/>
  <c r="BQ38" i="17"/>
  <c r="BQ39" i="17" a="1"/>
  <c r="BQ39" i="17"/>
  <c r="BQ40" i="17" a="1"/>
  <c r="BQ40" i="17"/>
  <c r="BQ41" i="17" a="1"/>
  <c r="BQ41" i="17"/>
  <c r="BQ42" i="17" a="1"/>
  <c r="BQ42" i="17"/>
  <c r="BQ43" i="17" a="1"/>
  <c r="BQ43" i="17"/>
  <c r="BQ44" i="17" a="1"/>
  <c r="BQ44" i="17"/>
  <c r="BQ45" i="17" a="1"/>
  <c r="BQ45" i="17"/>
  <c r="BQ46" i="17" a="1"/>
  <c r="BQ46" i="17"/>
  <c r="BQ47" i="17" a="1"/>
  <c r="BQ47" i="17"/>
  <c r="BQ48" i="17" a="1"/>
  <c r="BQ48" i="17"/>
  <c r="BQ49" i="17" a="1"/>
  <c r="BQ49" i="17"/>
  <c r="BQ50" i="17" a="1"/>
  <c r="BQ50" i="17"/>
  <c r="BQ51" i="17" a="1"/>
  <c r="BQ51" i="17"/>
  <c r="BQ52" i="17" a="1"/>
  <c r="BQ52" i="17"/>
  <c r="BQ53" i="17" a="1"/>
  <c r="BQ53" i="17"/>
  <c r="BQ54" i="17" a="1"/>
  <c r="BQ54" i="17"/>
  <c r="BQ55" i="17" a="1"/>
  <c r="BQ55" i="17"/>
  <c r="BQ56" i="17" a="1"/>
  <c r="BQ56" i="17"/>
  <c r="BQ57" i="17" a="1"/>
  <c r="BQ57" i="17"/>
  <c r="BQ58" i="17" a="1"/>
  <c r="BQ58" i="17"/>
  <c r="BQ59" i="17" a="1"/>
  <c r="BQ59" i="17"/>
  <c r="BQ60" i="17" a="1"/>
  <c r="BQ60" i="17"/>
  <c r="BQ61" i="17" a="1"/>
  <c r="BQ61" i="17"/>
  <c r="BQ62" i="17" a="1"/>
  <c r="BQ62" i="17"/>
  <c r="BQ63" i="17" a="1"/>
  <c r="BQ63" i="17"/>
  <c r="BQ64" i="17" a="1"/>
  <c r="BQ64" i="17"/>
  <c r="BQ65" i="17" a="1"/>
  <c r="BQ65" i="17"/>
  <c r="BQ66" i="17" a="1"/>
  <c r="BQ66" i="17"/>
  <c r="BS24" i="17" a="1"/>
  <c r="BS24" i="17"/>
  <c r="BS25" i="17" a="1"/>
  <c r="BS25" i="17"/>
  <c r="BS26" i="17" a="1"/>
  <c r="BS26" i="17"/>
  <c r="BS27" i="17" a="1"/>
  <c r="BS27" i="17"/>
  <c r="BS28" i="17" a="1"/>
  <c r="BS28" i="17"/>
  <c r="BS29" i="17" a="1"/>
  <c r="BS29" i="17"/>
  <c r="BS30" i="17" a="1"/>
  <c r="BS30" i="17"/>
  <c r="BS31" i="17" a="1"/>
  <c r="BS31" i="17"/>
  <c r="BS32" i="17" a="1"/>
  <c r="BS32" i="17"/>
  <c r="BS33" i="17" a="1"/>
  <c r="BS33" i="17"/>
  <c r="BS34" i="17" a="1"/>
  <c r="BS34" i="17"/>
  <c r="BS35" i="17" a="1"/>
  <c r="BS35" i="17"/>
  <c r="BS36" i="17" a="1"/>
  <c r="BS36" i="17"/>
  <c r="BS37" i="17" a="1"/>
  <c r="BS37" i="17"/>
  <c r="BS38" i="17" a="1"/>
  <c r="BS38" i="17"/>
  <c r="BS39" i="17" a="1"/>
  <c r="BS39" i="17"/>
  <c r="BS40" i="17" a="1"/>
  <c r="BS40" i="17"/>
  <c r="BS41" i="17" a="1"/>
  <c r="BS41" i="17"/>
  <c r="BS42" i="17" a="1"/>
  <c r="BS42" i="17"/>
  <c r="BS43" i="17" a="1"/>
  <c r="BS43" i="17"/>
  <c r="BS44" i="17" a="1"/>
  <c r="BS44" i="17"/>
  <c r="BS45" i="17" a="1"/>
  <c r="BS45" i="17"/>
  <c r="BS46" i="17" a="1"/>
  <c r="BS46" i="17"/>
  <c r="BS47" i="17" a="1"/>
  <c r="BS47" i="17"/>
  <c r="BS48" i="17" a="1"/>
  <c r="BS48" i="17"/>
  <c r="BS49" i="17" a="1"/>
  <c r="BS49" i="17"/>
  <c r="BS50" i="17" a="1"/>
  <c r="BS50" i="17"/>
  <c r="BS51" i="17" a="1"/>
  <c r="BS51" i="17"/>
  <c r="BS52" i="17" a="1"/>
  <c r="BS52" i="17"/>
  <c r="BS53" i="17" a="1"/>
  <c r="BS53" i="17"/>
  <c r="BS54" i="17" a="1"/>
  <c r="BS54" i="17"/>
  <c r="BS55" i="17" a="1"/>
  <c r="BS55" i="17"/>
  <c r="BS56" i="17" a="1"/>
  <c r="BS56" i="17"/>
  <c r="BS57" i="17" a="1"/>
  <c r="BS57" i="17"/>
  <c r="BS58" i="17" a="1"/>
  <c r="BS58" i="17"/>
  <c r="BS59" i="17" a="1"/>
  <c r="BS59" i="17"/>
  <c r="BS60" i="17" a="1"/>
  <c r="BS60" i="17"/>
  <c r="BS61" i="17" a="1"/>
  <c r="BS61" i="17"/>
  <c r="BS62" i="17" a="1"/>
  <c r="BS62" i="17"/>
  <c r="BS63" i="17" a="1"/>
  <c r="BS63" i="17"/>
  <c r="BS64" i="17" a="1"/>
  <c r="BS64" i="17"/>
  <c r="BS65" i="17" a="1"/>
  <c r="BS65" i="17"/>
  <c r="BS66" i="17" a="1"/>
  <c r="BS66" i="17"/>
  <c r="BV9" i="17" a="1"/>
  <c r="BV9" i="17"/>
  <c r="BV10" i="17" a="1"/>
  <c r="BV10" i="17"/>
  <c r="BV11" i="17" a="1"/>
  <c r="BV11" i="17"/>
  <c r="BV12" i="17" a="1"/>
  <c r="BV12" i="17"/>
  <c r="BV13" i="17" a="1"/>
  <c r="BV13" i="17"/>
  <c r="BV14" i="17" a="1"/>
  <c r="BV14" i="17"/>
  <c r="BV15" i="17" a="1"/>
  <c r="BV15" i="17"/>
  <c r="BV16" i="17" a="1"/>
  <c r="BV16" i="17"/>
  <c r="BV17" i="17" a="1"/>
  <c r="BV17" i="17"/>
  <c r="BV18" i="17" a="1"/>
  <c r="BV18" i="17"/>
  <c r="BV19" i="17" a="1"/>
  <c r="BV19" i="17"/>
  <c r="BV20" i="17" a="1"/>
  <c r="BV20" i="17"/>
  <c r="BV21" i="17" a="1"/>
  <c r="BV21" i="17"/>
  <c r="BV22" i="17" a="1"/>
  <c r="BV22" i="17"/>
  <c r="BV23" i="17" a="1"/>
  <c r="BV23" i="17"/>
  <c r="BV24" i="17" a="1"/>
  <c r="BV24" i="17"/>
  <c r="BV25" i="17" a="1"/>
  <c r="BV25" i="17"/>
  <c r="BV26" i="17" a="1"/>
  <c r="BV26" i="17"/>
  <c r="BV27" i="17" a="1"/>
  <c r="BV27" i="17"/>
  <c r="BV28" i="17" a="1"/>
  <c r="BV28" i="17"/>
  <c r="BV29" i="17" a="1"/>
  <c r="BV29" i="17"/>
  <c r="BV30" i="17" a="1"/>
  <c r="BV30" i="17"/>
  <c r="BV31" i="17" a="1"/>
  <c r="BV31" i="17"/>
  <c r="BV32" i="17" a="1"/>
  <c r="BV32" i="17"/>
  <c r="BV33" i="17" a="1"/>
  <c r="BV33" i="17"/>
  <c r="BV34" i="17" a="1"/>
  <c r="BV34" i="17"/>
  <c r="BV35" i="17" a="1"/>
  <c r="BV35" i="17"/>
  <c r="BV36" i="17" a="1"/>
  <c r="BV36" i="17"/>
  <c r="BV37" i="17" a="1"/>
  <c r="BV37" i="17"/>
  <c r="BV38" i="17" a="1"/>
  <c r="BV38" i="17"/>
  <c r="BV39" i="17" a="1"/>
  <c r="BV39" i="17"/>
  <c r="BV40" i="17" a="1"/>
  <c r="BV40" i="17"/>
  <c r="BV41" i="17" a="1"/>
  <c r="BV41" i="17"/>
  <c r="BV42" i="17" a="1"/>
  <c r="BV42" i="17"/>
  <c r="BV43" i="17" a="1"/>
  <c r="BV43" i="17"/>
  <c r="BV44" i="17" a="1"/>
  <c r="BV44" i="17"/>
  <c r="BV45" i="17" a="1"/>
  <c r="BV45" i="17"/>
  <c r="BV46" i="17" a="1"/>
  <c r="BV46" i="17"/>
  <c r="BV47" i="17" a="1"/>
  <c r="BV47" i="17"/>
  <c r="BV48" i="17" a="1"/>
  <c r="BV48" i="17"/>
  <c r="BV49" i="17" a="1"/>
  <c r="BV49" i="17"/>
  <c r="BV50" i="17" a="1"/>
  <c r="BV50" i="17"/>
  <c r="BV51" i="17" a="1"/>
  <c r="BV51" i="17"/>
  <c r="BV52" i="17" a="1"/>
  <c r="BV52" i="17"/>
  <c r="BV53" i="17" a="1"/>
  <c r="BV53" i="17"/>
  <c r="BV54" i="17" a="1"/>
  <c r="BV54" i="17"/>
  <c r="BV55" i="17" a="1"/>
  <c r="BV55" i="17"/>
  <c r="BV56" i="17" a="1"/>
  <c r="BV56" i="17"/>
  <c r="BV57" i="17" a="1"/>
  <c r="BV57" i="17"/>
  <c r="BV58" i="17" a="1"/>
  <c r="BV58" i="17"/>
  <c r="BV59" i="17" a="1"/>
  <c r="BV59" i="17"/>
  <c r="BV60" i="17" a="1"/>
  <c r="BV60" i="17"/>
  <c r="BV61" i="17" a="1"/>
  <c r="BV61" i="17"/>
  <c r="BV62" i="17" a="1"/>
  <c r="BV62" i="17"/>
  <c r="BV63" i="17" a="1"/>
  <c r="BV63" i="17"/>
  <c r="BV64" i="17" a="1"/>
  <c r="BV64" i="17"/>
  <c r="BV65" i="17" a="1"/>
  <c r="BV65" i="17"/>
  <c r="BV66" i="17" a="1"/>
  <c r="BV66" i="17"/>
  <c r="BX24" i="17" a="1"/>
  <c r="BX24" i="17"/>
  <c r="BX25" i="17" a="1"/>
  <c r="BX25" i="17"/>
  <c r="BX26" i="17" a="1"/>
  <c r="BX26" i="17"/>
  <c r="BX27" i="17" a="1"/>
  <c r="BX27" i="17"/>
  <c r="BX28" i="17" a="1"/>
  <c r="BX28" i="17"/>
  <c r="BX29" i="17" a="1"/>
  <c r="BX29" i="17"/>
  <c r="BX30" i="17" a="1"/>
  <c r="BX30" i="17"/>
  <c r="BX31" i="17" a="1"/>
  <c r="BX31" i="17"/>
  <c r="BX32" i="17" a="1"/>
  <c r="BX32" i="17"/>
  <c r="BX33" i="17" a="1"/>
  <c r="BX33" i="17"/>
  <c r="BX34" i="17" a="1"/>
  <c r="BX34" i="17"/>
  <c r="BX35" i="17" a="1"/>
  <c r="BX35" i="17"/>
  <c r="BX36" i="17" a="1"/>
  <c r="BX36" i="17"/>
  <c r="BX37" i="17" a="1"/>
  <c r="BX37" i="17"/>
  <c r="BX38" i="17" a="1"/>
  <c r="BX38" i="17"/>
  <c r="BX39" i="17" a="1"/>
  <c r="BX39" i="17"/>
  <c r="BX40" i="17" a="1"/>
  <c r="BX40" i="17"/>
  <c r="BX41" i="17" a="1"/>
  <c r="BX41" i="17"/>
  <c r="BX42" i="17" a="1"/>
  <c r="BX42" i="17"/>
  <c r="BX43" i="17" a="1"/>
  <c r="BX43" i="17"/>
  <c r="BX44" i="17" a="1"/>
  <c r="BX44" i="17"/>
  <c r="BX45" i="17" a="1"/>
  <c r="BX45" i="17"/>
  <c r="BX46" i="17" a="1"/>
  <c r="BX46" i="17"/>
  <c r="BX47" i="17" a="1"/>
  <c r="BX47" i="17"/>
  <c r="BX48" i="17" a="1"/>
  <c r="BX48" i="17"/>
  <c r="BX49" i="17" a="1"/>
  <c r="BX49" i="17"/>
  <c r="BX50" i="17" a="1"/>
  <c r="BX50" i="17"/>
  <c r="BX51" i="17" a="1"/>
  <c r="BX51" i="17"/>
  <c r="BX52" i="17" a="1"/>
  <c r="BX52" i="17"/>
  <c r="BX53" i="17" a="1"/>
  <c r="BX53" i="17"/>
  <c r="BX54" i="17" a="1"/>
  <c r="BX54" i="17"/>
  <c r="BX55" i="17" a="1"/>
  <c r="BX55" i="17"/>
  <c r="BX56" i="17" a="1"/>
  <c r="BX56" i="17"/>
  <c r="BX57" i="17" a="1"/>
  <c r="BX57" i="17"/>
  <c r="BX58" i="17" a="1"/>
  <c r="BX58" i="17"/>
  <c r="BX59" i="17" a="1"/>
  <c r="BX59" i="17"/>
  <c r="BX60" i="17" a="1"/>
  <c r="BX60" i="17"/>
  <c r="BX61" i="17" a="1"/>
  <c r="BX61" i="17"/>
  <c r="BX62" i="17" a="1"/>
  <c r="BX62" i="17"/>
  <c r="BX63" i="17" a="1"/>
  <c r="BX63" i="17"/>
  <c r="BX64" i="17" a="1"/>
  <c r="BX64" i="17"/>
  <c r="BX65" i="17" a="1"/>
  <c r="BX65" i="17"/>
  <c r="BX66" i="17" a="1"/>
  <c r="BX66" i="17"/>
  <c r="BZ24" i="17" a="1"/>
  <c r="BZ24" i="17"/>
  <c r="BZ25" i="17" a="1"/>
  <c r="BZ25" i="17"/>
  <c r="BZ26" i="17" a="1"/>
  <c r="BZ26" i="17"/>
  <c r="BZ27" i="17" a="1"/>
  <c r="BZ27" i="17"/>
  <c r="BZ28" i="17" a="1"/>
  <c r="BZ28" i="17"/>
  <c r="BZ29" i="17" a="1"/>
  <c r="BZ29" i="17"/>
  <c r="BZ30" i="17" a="1"/>
  <c r="BZ30" i="17"/>
  <c r="BZ31" i="17" a="1"/>
  <c r="BZ31" i="17"/>
  <c r="BZ32" i="17" a="1"/>
  <c r="BZ32" i="17"/>
  <c r="BZ33" i="17" a="1"/>
  <c r="BZ33" i="17"/>
  <c r="BZ34" i="17" a="1"/>
  <c r="BZ34" i="17"/>
  <c r="BZ35" i="17" a="1"/>
  <c r="BZ35" i="17"/>
  <c r="BZ36" i="17" a="1"/>
  <c r="BZ36" i="17"/>
  <c r="BZ37" i="17" a="1"/>
  <c r="BZ37" i="17"/>
  <c r="BZ38" i="17" a="1"/>
  <c r="BZ38" i="17"/>
  <c r="BZ39" i="17" a="1"/>
  <c r="BZ39" i="17"/>
  <c r="BZ40" i="17" a="1"/>
  <c r="BZ40" i="17"/>
  <c r="BZ41" i="17" a="1"/>
  <c r="BZ41" i="17"/>
  <c r="BZ42" i="17" a="1"/>
  <c r="BZ42" i="17"/>
  <c r="BZ43" i="17" a="1"/>
  <c r="BZ43" i="17"/>
  <c r="BZ44" i="17" a="1"/>
  <c r="BZ44" i="17"/>
  <c r="BZ45" i="17" a="1"/>
  <c r="BZ45" i="17"/>
  <c r="BZ46" i="17" a="1"/>
  <c r="BZ46" i="17"/>
  <c r="BZ47" i="17" a="1"/>
  <c r="BZ47" i="17"/>
  <c r="BZ48" i="17" a="1"/>
  <c r="BZ48" i="17"/>
  <c r="BZ49" i="17" a="1"/>
  <c r="BZ49" i="17"/>
  <c r="BZ50" i="17" a="1"/>
  <c r="BZ50" i="17"/>
  <c r="BZ51" i="17" a="1"/>
  <c r="BZ51" i="17"/>
  <c r="BZ52" i="17" a="1"/>
  <c r="BZ52" i="17"/>
  <c r="BZ53" i="17" a="1"/>
  <c r="BZ53" i="17"/>
  <c r="BZ54" i="17" a="1"/>
  <c r="BZ54" i="17"/>
  <c r="BZ55" i="17" a="1"/>
  <c r="BZ55" i="17"/>
  <c r="BZ56" i="17" a="1"/>
  <c r="BZ56" i="17"/>
  <c r="BZ57" i="17" a="1"/>
  <c r="BZ57" i="17"/>
  <c r="BZ58" i="17" a="1"/>
  <c r="BZ58" i="17"/>
  <c r="BZ59" i="17" a="1"/>
  <c r="BZ59" i="17"/>
  <c r="BZ60" i="17" a="1"/>
  <c r="BZ60" i="17"/>
  <c r="BZ61" i="17" a="1"/>
  <c r="BZ61" i="17"/>
  <c r="BZ62" i="17" a="1"/>
  <c r="BZ62" i="17"/>
  <c r="BZ63" i="17" a="1"/>
  <c r="BZ63" i="17"/>
  <c r="BZ64" i="17" a="1"/>
  <c r="BZ64" i="17"/>
  <c r="BZ65" i="17" a="1"/>
  <c r="BZ65" i="17"/>
  <c r="BZ66" i="17" a="1"/>
  <c r="BZ66" i="17"/>
  <c r="CC9" i="17" a="1"/>
  <c r="CC9" i="17"/>
  <c r="CC10" i="17" a="1"/>
  <c r="CC10" i="17"/>
  <c r="CC11" i="17" a="1"/>
  <c r="CC11" i="17"/>
  <c r="CC12" i="17" a="1"/>
  <c r="CC12" i="17"/>
  <c r="CC13" i="17" a="1"/>
  <c r="CC13" i="17"/>
  <c r="CC14" i="17" a="1"/>
  <c r="CC14" i="17"/>
  <c r="CC15" i="17" a="1"/>
  <c r="CC15" i="17"/>
  <c r="CC16" i="17" a="1"/>
  <c r="CC16" i="17"/>
  <c r="CC17" i="17" a="1"/>
  <c r="CC17" i="17"/>
  <c r="CC18" i="17" a="1"/>
  <c r="CC18" i="17"/>
  <c r="CC19" i="17" a="1"/>
  <c r="CC19" i="17"/>
  <c r="CC20" i="17" a="1"/>
  <c r="CC20" i="17"/>
  <c r="CC21" i="17" a="1"/>
  <c r="CC21" i="17"/>
  <c r="CC22" i="17" a="1"/>
  <c r="CC22" i="17"/>
  <c r="CC23" i="17" a="1"/>
  <c r="CC23" i="17"/>
  <c r="CC24" i="17" a="1"/>
  <c r="CC24" i="17"/>
  <c r="CC25" i="17" a="1"/>
  <c r="CC25" i="17"/>
  <c r="CC26" i="17" a="1"/>
  <c r="CC26" i="17"/>
  <c r="CC27" i="17" a="1"/>
  <c r="CC27" i="17"/>
  <c r="CC28" i="17" a="1"/>
  <c r="CC28" i="17"/>
  <c r="CC29" i="17" a="1"/>
  <c r="CC29" i="17"/>
  <c r="CC30" i="17" a="1"/>
  <c r="CC30" i="17"/>
  <c r="CC31" i="17" a="1"/>
  <c r="CC31" i="17"/>
  <c r="CC32" i="17" a="1"/>
  <c r="CC32" i="17"/>
  <c r="CC33" i="17" a="1"/>
  <c r="CC33" i="17"/>
  <c r="CC34" i="17" a="1"/>
  <c r="CC34" i="17"/>
  <c r="CC35" i="17" a="1"/>
  <c r="CC35" i="17"/>
  <c r="CC36" i="17" a="1"/>
  <c r="CC36" i="17"/>
  <c r="CC37" i="17" a="1"/>
  <c r="CC37" i="17"/>
  <c r="CC38" i="17" a="1"/>
  <c r="CC38" i="17"/>
  <c r="CC39" i="17" a="1"/>
  <c r="CC39" i="17"/>
  <c r="CC40" i="17" a="1"/>
  <c r="CC40" i="17"/>
  <c r="CC41" i="17" a="1"/>
  <c r="CC41" i="17"/>
  <c r="CC42" i="17" a="1"/>
  <c r="CC42" i="17"/>
  <c r="CC43" i="17" a="1"/>
  <c r="CC43" i="17"/>
  <c r="CC44" i="17" a="1"/>
  <c r="CC44" i="17"/>
  <c r="CC45" i="17" a="1"/>
  <c r="CC45" i="17"/>
  <c r="CC46" i="17" a="1"/>
  <c r="CC46" i="17"/>
  <c r="CC47" i="17" a="1"/>
  <c r="CC47" i="17"/>
  <c r="CC48" i="17" a="1"/>
  <c r="CC48" i="17"/>
  <c r="CC49" i="17" a="1"/>
  <c r="CC49" i="17"/>
  <c r="CC50" i="17" a="1"/>
  <c r="CC50" i="17"/>
  <c r="CC51" i="17" a="1"/>
  <c r="CC51" i="17"/>
  <c r="CC52" i="17" a="1"/>
  <c r="CC52" i="17"/>
  <c r="CC53" i="17" a="1"/>
  <c r="CC53" i="17"/>
  <c r="CC54" i="17" a="1"/>
  <c r="CC54" i="17"/>
  <c r="CC55" i="17" a="1"/>
  <c r="CC55" i="17"/>
  <c r="CC56" i="17" a="1"/>
  <c r="CC56" i="17"/>
  <c r="CC57" i="17" a="1"/>
  <c r="CC57" i="17"/>
  <c r="CC58" i="17" a="1"/>
  <c r="CC58" i="17"/>
  <c r="CC59" i="17" a="1"/>
  <c r="CC59" i="17"/>
  <c r="CC60" i="17" a="1"/>
  <c r="CC60" i="17"/>
  <c r="CC61" i="17" a="1"/>
  <c r="CC61" i="17"/>
  <c r="CC62" i="17" a="1"/>
  <c r="CC62" i="17"/>
  <c r="CC63" i="17" a="1"/>
  <c r="CC63" i="17"/>
  <c r="CC64" i="17" a="1"/>
  <c r="CC64" i="17"/>
  <c r="CC65" i="17" a="1"/>
  <c r="CC65" i="17"/>
  <c r="CC66" i="17" a="1"/>
  <c r="CC66" i="17"/>
  <c r="CE24" i="17" a="1"/>
  <c r="CE24" i="17"/>
  <c r="CE25" i="17" a="1"/>
  <c r="CE25" i="17"/>
  <c r="CE26" i="17" a="1"/>
  <c r="CE26" i="17"/>
  <c r="CE27" i="17" a="1"/>
  <c r="CE27" i="17"/>
  <c r="CE28" i="17" a="1"/>
  <c r="CE28" i="17"/>
  <c r="CE29" i="17" a="1"/>
  <c r="CE29" i="17"/>
  <c r="CE30" i="17" a="1"/>
  <c r="CE30" i="17"/>
  <c r="CE31" i="17" a="1"/>
  <c r="CE31" i="17"/>
  <c r="CE32" i="17" a="1"/>
  <c r="CE32" i="17"/>
  <c r="CE33" i="17" a="1"/>
  <c r="CE33" i="17"/>
  <c r="CE34" i="17" a="1"/>
  <c r="CE34" i="17"/>
  <c r="CE35" i="17" a="1"/>
  <c r="CE35" i="17"/>
  <c r="CE36" i="17" a="1"/>
  <c r="CE36" i="17"/>
  <c r="CE37" i="17" a="1"/>
  <c r="CE37" i="17"/>
  <c r="CE38" i="17" a="1"/>
  <c r="CE38" i="17"/>
  <c r="CE39" i="17" a="1"/>
  <c r="CE39" i="17"/>
  <c r="CE40" i="17" a="1"/>
  <c r="CE40" i="17"/>
  <c r="CE41" i="17" a="1"/>
  <c r="CE41" i="17"/>
  <c r="CE42" i="17" a="1"/>
  <c r="CE42" i="17"/>
  <c r="CE43" i="17" a="1"/>
  <c r="CE43" i="17"/>
  <c r="CE44" i="17" a="1"/>
  <c r="CE44" i="17"/>
  <c r="CE45" i="17" a="1"/>
  <c r="CE45" i="17"/>
  <c r="CE46" i="17" a="1"/>
  <c r="CE46" i="17"/>
  <c r="CE47" i="17" a="1"/>
  <c r="CE47" i="17"/>
  <c r="CE48" i="17" a="1"/>
  <c r="CE48" i="17"/>
  <c r="CE49" i="17" a="1"/>
  <c r="CE49" i="17"/>
  <c r="CE50" i="17" a="1"/>
  <c r="CE50" i="17"/>
  <c r="CE51" i="17" a="1"/>
  <c r="CE51" i="17"/>
  <c r="CE52" i="17" a="1"/>
  <c r="CE52" i="17"/>
  <c r="CE53" i="17" a="1"/>
  <c r="CE53" i="17"/>
  <c r="CE54" i="17" a="1"/>
  <c r="CE54" i="17"/>
  <c r="CE55" i="17" a="1"/>
  <c r="CE55" i="17"/>
  <c r="CE56" i="17" a="1"/>
  <c r="CE56" i="17"/>
  <c r="CE57" i="17" a="1"/>
  <c r="CE57" i="17"/>
  <c r="CE58" i="17" a="1"/>
  <c r="CE58" i="17"/>
  <c r="CE59" i="17" a="1"/>
  <c r="CE59" i="17"/>
  <c r="CE60" i="17" a="1"/>
  <c r="CE60" i="17"/>
  <c r="CE61" i="17" a="1"/>
  <c r="CE61" i="17"/>
  <c r="CE62" i="17" a="1"/>
  <c r="CE62" i="17"/>
  <c r="CE63" i="17" a="1"/>
  <c r="CE63" i="17"/>
  <c r="CE64" i="17" a="1"/>
  <c r="CE64" i="17"/>
  <c r="CE65" i="17" a="1"/>
  <c r="CE65" i="17"/>
  <c r="CE66" i="17" a="1"/>
  <c r="CE66" i="17"/>
  <c r="CG24" i="17" a="1"/>
  <c r="CG24" i="17"/>
  <c r="CG25" i="17" a="1"/>
  <c r="CG25" i="17"/>
  <c r="CG26" i="17" a="1"/>
  <c r="CG26" i="17"/>
  <c r="CG27" i="17" a="1"/>
  <c r="CG27" i="17"/>
  <c r="CG28" i="17" a="1"/>
  <c r="CG28" i="17"/>
  <c r="CG29" i="17" a="1"/>
  <c r="CG29" i="17"/>
  <c r="CG30" i="17" a="1"/>
  <c r="CG30" i="17"/>
  <c r="CG31" i="17" a="1"/>
  <c r="CG31" i="17"/>
  <c r="CG32" i="17" a="1"/>
  <c r="CG32" i="17"/>
  <c r="CG33" i="17" a="1"/>
  <c r="CG33" i="17"/>
  <c r="CG34" i="17" a="1"/>
  <c r="CG34" i="17"/>
  <c r="CG35" i="17" a="1"/>
  <c r="CG35" i="17"/>
  <c r="CG36" i="17" a="1"/>
  <c r="CG36" i="17"/>
  <c r="CG37" i="17" a="1"/>
  <c r="CG37" i="17"/>
  <c r="CG38" i="17" a="1"/>
  <c r="CG38" i="17"/>
  <c r="CG39" i="17" a="1"/>
  <c r="CG39" i="17"/>
  <c r="CG40" i="17" a="1"/>
  <c r="CG40" i="17"/>
  <c r="CG41" i="17" a="1"/>
  <c r="CG41" i="17"/>
  <c r="CG42" i="17" a="1"/>
  <c r="CG42" i="17"/>
  <c r="CG43" i="17" a="1"/>
  <c r="CG43" i="17"/>
  <c r="CG44" i="17" a="1"/>
  <c r="CG44" i="17"/>
  <c r="CG45" i="17" a="1"/>
  <c r="CG45" i="17"/>
  <c r="CG46" i="17" a="1"/>
  <c r="CG46" i="17"/>
  <c r="CG47" i="17" a="1"/>
  <c r="CG47" i="17"/>
  <c r="CG48" i="17" a="1"/>
  <c r="CG48" i="17"/>
  <c r="CG49" i="17" a="1"/>
  <c r="CG49" i="17"/>
  <c r="CG50" i="17" a="1"/>
  <c r="CG50" i="17"/>
  <c r="CG51" i="17" a="1"/>
  <c r="CG51" i="17"/>
  <c r="CG52" i="17" a="1"/>
  <c r="CG52" i="17"/>
  <c r="CG53" i="17" a="1"/>
  <c r="CG53" i="17"/>
  <c r="CG54" i="17" a="1"/>
  <c r="CG54" i="17"/>
  <c r="CG55" i="17" a="1"/>
  <c r="CG55" i="17"/>
  <c r="CG56" i="17" a="1"/>
  <c r="CG56" i="17"/>
  <c r="CG57" i="17" a="1"/>
  <c r="CG57" i="17"/>
  <c r="CG58" i="17" a="1"/>
  <c r="CG58" i="17"/>
  <c r="CG59" i="17" a="1"/>
  <c r="CG59" i="17"/>
  <c r="CG60" i="17" a="1"/>
  <c r="CG60" i="17"/>
  <c r="CG61" i="17" a="1"/>
  <c r="CG61" i="17"/>
  <c r="CG62" i="17" a="1"/>
  <c r="CG62" i="17"/>
  <c r="CG63" i="17" a="1"/>
  <c r="CG63" i="17"/>
  <c r="CG64" i="17" a="1"/>
  <c r="CG64" i="17"/>
  <c r="CG65" i="17" a="1"/>
  <c r="CG65" i="17"/>
  <c r="CG66" i="17" a="1"/>
  <c r="CG66" i="17"/>
  <c r="CJ9" i="17" a="1"/>
  <c r="CJ9" i="17"/>
  <c r="CJ10" i="17" a="1"/>
  <c r="CJ10" i="17"/>
  <c r="CJ11" i="17" a="1"/>
  <c r="CJ11" i="17"/>
  <c r="CJ12" i="17" a="1"/>
  <c r="CJ12" i="17"/>
  <c r="CJ13" i="17" a="1"/>
  <c r="CJ13" i="17"/>
  <c r="CJ14" i="17" a="1"/>
  <c r="CJ14" i="17"/>
  <c r="CJ15" i="17" a="1"/>
  <c r="CJ15" i="17"/>
  <c r="CJ16" i="17" a="1"/>
  <c r="CJ16" i="17"/>
  <c r="CJ17" i="17" a="1"/>
  <c r="CJ17" i="17"/>
  <c r="CJ18" i="17" a="1"/>
  <c r="CJ18" i="17"/>
  <c r="CJ19" i="17" a="1"/>
  <c r="CJ19" i="17"/>
  <c r="CJ20" i="17" a="1"/>
  <c r="CJ20" i="17"/>
  <c r="CJ21" i="17" a="1"/>
  <c r="CJ21" i="17"/>
  <c r="CJ22" i="17" a="1"/>
  <c r="CJ22" i="17"/>
  <c r="CJ23" i="17" a="1"/>
  <c r="CJ23" i="17"/>
  <c r="CJ24" i="17" a="1"/>
  <c r="CJ24" i="17"/>
  <c r="CJ25" i="17" a="1"/>
  <c r="CJ25" i="17"/>
  <c r="CJ26" i="17" a="1"/>
  <c r="CJ26" i="17"/>
  <c r="CJ27" i="17" a="1"/>
  <c r="CJ27" i="17"/>
  <c r="CJ28" i="17" a="1"/>
  <c r="CJ28" i="17"/>
  <c r="CJ29" i="17" a="1"/>
  <c r="CJ29" i="17"/>
  <c r="CJ30" i="17" a="1"/>
  <c r="CJ30" i="17"/>
  <c r="CJ31" i="17" a="1"/>
  <c r="CJ31" i="17"/>
  <c r="CJ32" i="17" a="1"/>
  <c r="CJ32" i="17"/>
  <c r="CJ33" i="17" a="1"/>
  <c r="CJ33" i="17"/>
  <c r="CJ34" i="17" a="1"/>
  <c r="CJ34" i="17"/>
  <c r="CJ35" i="17" a="1"/>
  <c r="CJ35" i="17"/>
  <c r="CJ36" i="17" a="1"/>
  <c r="CJ36" i="17"/>
  <c r="CJ37" i="17" a="1"/>
  <c r="CJ37" i="17"/>
  <c r="CJ38" i="17" a="1"/>
  <c r="CJ38" i="17"/>
  <c r="CJ39" i="17" a="1"/>
  <c r="CJ39" i="17"/>
  <c r="CJ40" i="17" a="1"/>
  <c r="CJ40" i="17"/>
  <c r="CJ41" i="17" a="1"/>
  <c r="CJ41" i="17"/>
  <c r="CJ42" i="17" a="1"/>
  <c r="CJ42" i="17"/>
  <c r="CJ43" i="17" a="1"/>
  <c r="CJ43" i="17"/>
  <c r="CJ44" i="17" a="1"/>
  <c r="CJ44" i="17"/>
  <c r="CJ45" i="17" a="1"/>
  <c r="CJ45" i="17"/>
  <c r="CJ46" i="17" a="1"/>
  <c r="CJ46" i="17"/>
  <c r="CJ47" i="17" a="1"/>
  <c r="CJ47" i="17"/>
  <c r="CJ48" i="17" a="1"/>
  <c r="CJ48" i="17"/>
  <c r="CJ49" i="17" a="1"/>
  <c r="CJ49" i="17"/>
  <c r="CJ50" i="17" a="1"/>
  <c r="CJ50" i="17"/>
  <c r="CJ51" i="17" a="1"/>
  <c r="CJ51" i="17"/>
  <c r="CJ52" i="17" a="1"/>
  <c r="CJ52" i="17"/>
  <c r="CJ53" i="17" a="1"/>
  <c r="CJ53" i="17"/>
  <c r="CJ54" i="17" a="1"/>
  <c r="CJ54" i="17"/>
  <c r="CJ55" i="17" a="1"/>
  <c r="CJ55" i="17"/>
  <c r="CJ56" i="17" a="1"/>
  <c r="CJ56" i="17"/>
  <c r="CJ57" i="17" a="1"/>
  <c r="CJ57" i="17"/>
  <c r="CJ58" i="17" a="1"/>
  <c r="CJ58" i="17"/>
  <c r="CJ59" i="17" a="1"/>
  <c r="CJ59" i="17"/>
  <c r="CJ60" i="17" a="1"/>
  <c r="CJ60" i="17"/>
  <c r="CJ61" i="17" a="1"/>
  <c r="CJ61" i="17"/>
  <c r="CJ62" i="17" a="1"/>
  <c r="CJ62" i="17"/>
  <c r="CJ63" i="17" a="1"/>
  <c r="CJ63" i="17"/>
  <c r="CJ64" i="17" a="1"/>
  <c r="CJ64" i="17"/>
  <c r="CJ65" i="17" a="1"/>
  <c r="CJ65" i="17"/>
  <c r="CJ66" i="17" a="1"/>
  <c r="CJ66" i="17"/>
  <c r="CL24" i="17" a="1"/>
  <c r="CL24" i="17"/>
  <c r="CL25" i="17" a="1"/>
  <c r="CL25" i="17"/>
  <c r="CL26" i="17" a="1"/>
  <c r="CL26" i="17"/>
  <c r="CL27" i="17" a="1"/>
  <c r="CL27" i="17"/>
  <c r="CL28" i="17" a="1"/>
  <c r="CL28" i="17"/>
  <c r="CL29" i="17" a="1"/>
  <c r="CL29" i="17"/>
  <c r="CL30" i="17" a="1"/>
  <c r="CL30" i="17"/>
  <c r="CL31" i="17" a="1"/>
  <c r="CL31" i="17"/>
  <c r="CL32" i="17" a="1"/>
  <c r="CL32" i="17"/>
  <c r="CL33" i="17" a="1"/>
  <c r="CL33" i="17"/>
  <c r="CL34" i="17" a="1"/>
  <c r="CL34" i="17"/>
  <c r="CL35" i="17" a="1"/>
  <c r="CL35" i="17"/>
  <c r="CL36" i="17" a="1"/>
  <c r="CL36" i="17"/>
  <c r="CL37" i="17" a="1"/>
  <c r="CL37" i="17"/>
  <c r="CL38" i="17" a="1"/>
  <c r="CL38" i="17"/>
  <c r="CL39" i="17" a="1"/>
  <c r="CL39" i="17"/>
  <c r="CL40" i="17" a="1"/>
  <c r="CL40" i="17"/>
  <c r="CL41" i="17" a="1"/>
  <c r="CL41" i="17"/>
  <c r="CL42" i="17" a="1"/>
  <c r="CL42" i="17"/>
  <c r="CL43" i="17" a="1"/>
  <c r="CL43" i="17"/>
  <c r="CL44" i="17" a="1"/>
  <c r="CL44" i="17"/>
  <c r="CL45" i="17" a="1"/>
  <c r="CL45" i="17"/>
  <c r="CL46" i="17" a="1"/>
  <c r="CL46" i="17"/>
  <c r="CL47" i="17" a="1"/>
  <c r="CL47" i="17"/>
  <c r="CL48" i="17" a="1"/>
  <c r="CL48" i="17"/>
  <c r="CL49" i="17" a="1"/>
  <c r="CL49" i="17"/>
  <c r="CL50" i="17" a="1"/>
  <c r="CL50" i="17"/>
  <c r="CL51" i="17" a="1"/>
  <c r="CL51" i="17"/>
  <c r="CL52" i="17" a="1"/>
  <c r="CL52" i="17"/>
  <c r="CL53" i="17" a="1"/>
  <c r="CL53" i="17"/>
  <c r="CL54" i="17" a="1"/>
  <c r="CL54" i="17"/>
  <c r="CL55" i="17" a="1"/>
  <c r="CL55" i="17"/>
  <c r="CL56" i="17" a="1"/>
  <c r="CL56" i="17"/>
  <c r="CL57" i="17" a="1"/>
  <c r="CL57" i="17"/>
  <c r="CL58" i="17" a="1"/>
  <c r="CL58" i="17"/>
  <c r="CL59" i="17" a="1"/>
  <c r="CL59" i="17"/>
  <c r="CL60" i="17" a="1"/>
  <c r="CL60" i="17"/>
  <c r="CL61" i="17" a="1"/>
  <c r="CL61" i="17"/>
  <c r="CL62" i="17" a="1"/>
  <c r="CL62" i="17"/>
  <c r="CL63" i="17" a="1"/>
  <c r="CL63" i="17"/>
  <c r="CL64" i="17" a="1"/>
  <c r="CL64" i="17"/>
  <c r="CL65" i="17" a="1"/>
  <c r="CL65" i="17"/>
  <c r="CL66" i="17" a="1"/>
  <c r="CL66" i="17"/>
  <c r="CN24" i="17" a="1"/>
  <c r="CN24" i="17"/>
  <c r="CN25" i="17" a="1"/>
  <c r="CN25" i="17"/>
  <c r="CN26" i="17" a="1"/>
  <c r="CN26" i="17"/>
  <c r="CN27" i="17" a="1"/>
  <c r="CN27" i="17"/>
  <c r="CN28" i="17" a="1"/>
  <c r="CN28" i="17"/>
  <c r="CN29" i="17" a="1"/>
  <c r="CN29" i="17"/>
  <c r="CN30" i="17" a="1"/>
  <c r="CN30" i="17"/>
  <c r="CN31" i="17" a="1"/>
  <c r="CN31" i="17"/>
  <c r="CN32" i="17" a="1"/>
  <c r="CN32" i="17"/>
  <c r="CN33" i="17" a="1"/>
  <c r="CN33" i="17"/>
  <c r="CN34" i="17" a="1"/>
  <c r="CN34" i="17"/>
  <c r="CN35" i="17" a="1"/>
  <c r="CN35" i="17"/>
  <c r="CN36" i="17" a="1"/>
  <c r="CN36" i="17"/>
  <c r="CN37" i="17" a="1"/>
  <c r="CN37" i="17"/>
  <c r="CN38" i="17" a="1"/>
  <c r="CN38" i="17"/>
  <c r="CN39" i="17" a="1"/>
  <c r="CN39" i="17"/>
  <c r="CN40" i="17" a="1"/>
  <c r="CN40" i="17"/>
  <c r="CN41" i="17" a="1"/>
  <c r="CN41" i="17"/>
  <c r="CN42" i="17" a="1"/>
  <c r="CN42" i="17"/>
  <c r="CN43" i="17" a="1"/>
  <c r="CN43" i="17"/>
  <c r="CN44" i="17" a="1"/>
  <c r="CN44" i="17"/>
  <c r="CN45" i="17" a="1"/>
  <c r="CN45" i="17"/>
  <c r="CN46" i="17" a="1"/>
  <c r="CN46" i="17"/>
  <c r="CN47" i="17" a="1"/>
  <c r="CN47" i="17"/>
  <c r="CN48" i="17" a="1"/>
  <c r="CN48" i="17"/>
  <c r="CN49" i="17" a="1"/>
  <c r="CN49" i="17"/>
  <c r="CN50" i="17" a="1"/>
  <c r="CN50" i="17"/>
  <c r="CN51" i="17" a="1"/>
  <c r="CN51" i="17"/>
  <c r="CN52" i="17" a="1"/>
  <c r="CN52" i="17"/>
  <c r="CN53" i="17" a="1"/>
  <c r="CN53" i="17"/>
  <c r="CN54" i="17" a="1"/>
  <c r="CN54" i="17"/>
  <c r="CN55" i="17" a="1"/>
  <c r="CN55" i="17"/>
  <c r="CN56" i="17" a="1"/>
  <c r="CN56" i="17"/>
  <c r="CN57" i="17" a="1"/>
  <c r="CN57" i="17"/>
  <c r="CN58" i="17" a="1"/>
  <c r="CN58" i="17"/>
  <c r="CN59" i="17" a="1"/>
  <c r="CN59" i="17"/>
  <c r="CN60" i="17" a="1"/>
  <c r="CN60" i="17"/>
  <c r="CN61" i="17" a="1"/>
  <c r="CN61" i="17"/>
  <c r="CN62" i="17" a="1"/>
  <c r="CN62" i="17"/>
  <c r="CN63" i="17" a="1"/>
  <c r="CN63" i="17"/>
  <c r="CN64" i="17" a="1"/>
  <c r="CN64" i="17"/>
  <c r="CN65" i="17" a="1"/>
  <c r="CN65" i="17"/>
  <c r="CN66" i="17" a="1"/>
  <c r="CN66" i="17"/>
  <c r="CQ9" i="17" a="1"/>
  <c r="CQ9" i="17"/>
  <c r="CQ10" i="17" a="1"/>
  <c r="CQ10" i="17"/>
  <c r="CQ11" i="17" a="1"/>
  <c r="CQ11" i="17"/>
  <c r="CQ12" i="17" a="1"/>
  <c r="CQ12" i="17"/>
  <c r="CQ13" i="17" a="1"/>
  <c r="CQ13" i="17"/>
  <c r="CQ14" i="17" a="1"/>
  <c r="CQ14" i="17"/>
  <c r="CQ15" i="17" a="1"/>
  <c r="CQ15" i="17"/>
  <c r="CQ16" i="17" a="1"/>
  <c r="CQ16" i="17"/>
  <c r="CQ17" i="17" a="1"/>
  <c r="CQ17" i="17"/>
  <c r="CQ18" i="17" a="1"/>
  <c r="CQ18" i="17"/>
  <c r="CQ19" i="17" a="1"/>
  <c r="CQ19" i="17"/>
  <c r="CQ20" i="17" a="1"/>
  <c r="CQ20" i="17"/>
  <c r="CQ21" i="17" a="1"/>
  <c r="CQ21" i="17"/>
  <c r="CQ22" i="17" a="1"/>
  <c r="CQ22" i="17"/>
  <c r="CQ23" i="17" a="1"/>
  <c r="CQ23" i="17"/>
  <c r="CQ24" i="17" a="1"/>
  <c r="CQ24" i="17"/>
  <c r="CQ25" i="17" a="1"/>
  <c r="CQ25" i="17"/>
  <c r="CQ26" i="17" a="1"/>
  <c r="CQ26" i="17"/>
  <c r="CQ27" i="17" a="1"/>
  <c r="CQ27" i="17"/>
  <c r="CQ28" i="17" a="1"/>
  <c r="CQ28" i="17"/>
  <c r="CQ29" i="17" a="1"/>
  <c r="CQ29" i="17"/>
  <c r="CQ30" i="17" a="1"/>
  <c r="CQ30" i="17"/>
  <c r="CQ31" i="17" a="1"/>
  <c r="CQ31" i="17"/>
  <c r="CQ32" i="17" a="1"/>
  <c r="CQ32" i="17"/>
  <c r="CQ33" i="17" a="1"/>
  <c r="CQ33" i="17"/>
  <c r="CQ34" i="17" a="1"/>
  <c r="CQ34" i="17"/>
  <c r="CQ35" i="17" a="1"/>
  <c r="CQ35" i="17"/>
  <c r="CQ36" i="17" a="1"/>
  <c r="CQ36" i="17"/>
  <c r="CQ37" i="17" a="1"/>
  <c r="CQ37" i="17"/>
  <c r="CQ38" i="17" a="1"/>
  <c r="CQ38" i="17"/>
  <c r="CQ39" i="17" a="1"/>
  <c r="CQ39" i="17"/>
  <c r="CQ40" i="17" a="1"/>
  <c r="CQ40" i="17"/>
  <c r="CQ41" i="17" a="1"/>
  <c r="CQ41" i="17"/>
  <c r="CQ42" i="17" a="1"/>
  <c r="CQ42" i="17"/>
  <c r="CQ43" i="17" a="1"/>
  <c r="CQ43" i="17"/>
  <c r="CQ44" i="17" a="1"/>
  <c r="CQ44" i="17"/>
  <c r="CQ45" i="17" a="1"/>
  <c r="CQ45" i="17"/>
  <c r="CQ46" i="17" a="1"/>
  <c r="CQ46" i="17"/>
  <c r="CQ47" i="17" a="1"/>
  <c r="CQ47" i="17"/>
  <c r="CQ48" i="17" a="1"/>
  <c r="CQ48" i="17"/>
  <c r="CQ49" i="17" a="1"/>
  <c r="CQ49" i="17"/>
  <c r="CQ50" i="17" a="1"/>
  <c r="CQ50" i="17"/>
  <c r="CQ51" i="17" a="1"/>
  <c r="CQ51" i="17"/>
  <c r="CQ52" i="17" a="1"/>
  <c r="CQ52" i="17"/>
  <c r="CQ53" i="17" a="1"/>
  <c r="CQ53" i="17"/>
  <c r="CQ54" i="17" a="1"/>
  <c r="CQ54" i="17"/>
  <c r="CQ55" i="17" a="1"/>
  <c r="CQ55" i="17"/>
  <c r="CQ56" i="17" a="1"/>
  <c r="CQ56" i="17"/>
  <c r="CQ57" i="17" a="1"/>
  <c r="CQ57" i="17"/>
  <c r="CQ58" i="17" a="1"/>
  <c r="CQ58" i="17"/>
  <c r="CQ59" i="17" a="1"/>
  <c r="CQ59" i="17"/>
  <c r="CQ60" i="17" a="1"/>
  <c r="CQ60" i="17"/>
  <c r="CQ61" i="17" a="1"/>
  <c r="CQ61" i="17"/>
  <c r="CQ62" i="17" a="1"/>
  <c r="CQ62" i="17"/>
  <c r="CQ63" i="17" a="1"/>
  <c r="CQ63" i="17"/>
  <c r="CQ64" i="17" a="1"/>
  <c r="CQ64" i="17"/>
  <c r="CQ65" i="17" a="1"/>
  <c r="CQ65" i="17"/>
  <c r="CQ66" i="17" a="1"/>
  <c r="CQ66" i="17"/>
  <c r="CS24" i="17" a="1"/>
  <c r="CS24" i="17"/>
  <c r="CS25" i="17" a="1"/>
  <c r="CS25" i="17"/>
  <c r="CS26" i="17" a="1"/>
  <c r="CS26" i="17"/>
  <c r="CS27" i="17" a="1"/>
  <c r="CS27" i="17"/>
  <c r="CS28" i="17" a="1"/>
  <c r="CS28" i="17"/>
  <c r="CS29" i="17" a="1"/>
  <c r="CS29" i="17"/>
  <c r="CS30" i="17" a="1"/>
  <c r="CS30" i="17"/>
  <c r="CS31" i="17" a="1"/>
  <c r="CS31" i="17"/>
  <c r="CS32" i="17" a="1"/>
  <c r="CS32" i="17"/>
  <c r="CS33" i="17" a="1"/>
  <c r="CS33" i="17"/>
  <c r="CS34" i="17" a="1"/>
  <c r="CS34" i="17"/>
  <c r="CS35" i="17" a="1"/>
  <c r="CS35" i="17"/>
  <c r="CS36" i="17" a="1"/>
  <c r="CS36" i="17"/>
  <c r="CS37" i="17" a="1"/>
  <c r="CS37" i="17"/>
  <c r="CS38" i="17" a="1"/>
  <c r="CS38" i="17"/>
  <c r="CS39" i="17" a="1"/>
  <c r="CS39" i="17"/>
  <c r="CS40" i="17" a="1"/>
  <c r="CS40" i="17"/>
  <c r="CS41" i="17" a="1"/>
  <c r="CS41" i="17"/>
  <c r="CS42" i="17" a="1"/>
  <c r="CS42" i="17"/>
  <c r="CS43" i="17" a="1"/>
  <c r="CS43" i="17"/>
  <c r="CS44" i="17" a="1"/>
  <c r="CS44" i="17"/>
  <c r="CS45" i="17" a="1"/>
  <c r="CS45" i="17"/>
  <c r="CS46" i="17" a="1"/>
  <c r="CS46" i="17"/>
  <c r="CS47" i="17" a="1"/>
  <c r="CS47" i="17"/>
  <c r="CS48" i="17" a="1"/>
  <c r="CS48" i="17"/>
  <c r="CS49" i="17" a="1"/>
  <c r="CS49" i="17"/>
  <c r="CS50" i="17" a="1"/>
  <c r="CS50" i="17"/>
  <c r="CS51" i="17" a="1"/>
  <c r="CS51" i="17"/>
  <c r="CS52" i="17" a="1"/>
  <c r="CS52" i="17"/>
  <c r="CS53" i="17" a="1"/>
  <c r="CS53" i="17"/>
  <c r="CS54" i="17" a="1"/>
  <c r="CS54" i="17"/>
  <c r="CS55" i="17" a="1"/>
  <c r="CS55" i="17"/>
  <c r="CS56" i="17" a="1"/>
  <c r="CS56" i="17"/>
  <c r="CS57" i="17" a="1"/>
  <c r="CS57" i="17"/>
  <c r="CS58" i="17" a="1"/>
  <c r="CS58" i="17"/>
  <c r="CS59" i="17" a="1"/>
  <c r="CS59" i="17"/>
  <c r="CS60" i="17" a="1"/>
  <c r="CS60" i="17"/>
  <c r="CS61" i="17" a="1"/>
  <c r="CS61" i="17"/>
  <c r="CS62" i="17" a="1"/>
  <c r="CS62" i="17"/>
  <c r="CS63" i="17" a="1"/>
  <c r="CS63" i="17"/>
  <c r="CS64" i="17" a="1"/>
  <c r="CS64" i="17"/>
  <c r="CS65" i="17" a="1"/>
  <c r="CS65" i="17"/>
  <c r="CS66" i="17" a="1"/>
  <c r="CS66" i="17"/>
  <c r="CU24" i="17" a="1"/>
  <c r="CU24" i="17"/>
  <c r="CU25" i="17" a="1"/>
  <c r="CU25" i="17"/>
  <c r="CU26" i="17" a="1"/>
  <c r="CU26" i="17"/>
  <c r="CU27" i="17" a="1"/>
  <c r="CU27" i="17"/>
  <c r="CU28" i="17" a="1"/>
  <c r="CU28" i="17"/>
  <c r="CU29" i="17" a="1"/>
  <c r="CU29" i="17"/>
  <c r="CU30" i="17" a="1"/>
  <c r="CU30" i="17"/>
  <c r="CU31" i="17" a="1"/>
  <c r="CU31" i="17"/>
  <c r="CU32" i="17" a="1"/>
  <c r="CU32" i="17"/>
  <c r="CU33" i="17" a="1"/>
  <c r="CU33" i="17"/>
  <c r="CU34" i="17" a="1"/>
  <c r="CU34" i="17"/>
  <c r="CU35" i="17" a="1"/>
  <c r="CU35" i="17"/>
  <c r="CU36" i="17" a="1"/>
  <c r="CU36" i="17"/>
  <c r="CU37" i="17" a="1"/>
  <c r="CU37" i="17"/>
  <c r="CU38" i="17" a="1"/>
  <c r="CU38" i="17"/>
  <c r="CU39" i="17" a="1"/>
  <c r="CU39" i="17"/>
  <c r="CU40" i="17" a="1"/>
  <c r="CU40" i="17"/>
  <c r="CU41" i="17" a="1"/>
  <c r="CU41" i="17"/>
  <c r="CU42" i="17" a="1"/>
  <c r="CU42" i="17"/>
  <c r="CU43" i="17" a="1"/>
  <c r="CU43" i="17"/>
  <c r="CU44" i="17" a="1"/>
  <c r="CU44" i="17"/>
  <c r="CU45" i="17" a="1"/>
  <c r="CU45" i="17"/>
  <c r="CU46" i="17" a="1"/>
  <c r="CU46" i="17"/>
  <c r="CU47" i="17" a="1"/>
  <c r="CU47" i="17"/>
  <c r="CU48" i="17" a="1"/>
  <c r="CU48" i="17"/>
  <c r="CU49" i="17" a="1"/>
  <c r="CU49" i="17"/>
  <c r="CU50" i="17" a="1"/>
  <c r="CU50" i="17"/>
  <c r="CU51" i="17" a="1"/>
  <c r="CU51" i="17"/>
  <c r="CU52" i="17" a="1"/>
  <c r="CU52" i="17"/>
  <c r="CU53" i="17" a="1"/>
  <c r="CU53" i="17"/>
  <c r="CU54" i="17" a="1"/>
  <c r="CU54" i="17"/>
  <c r="CU55" i="17" a="1"/>
  <c r="CU55" i="17"/>
  <c r="CU56" i="17" a="1"/>
  <c r="CU56" i="17"/>
  <c r="CU57" i="17" a="1"/>
  <c r="CU57" i="17"/>
  <c r="CU58" i="17" a="1"/>
  <c r="CU58" i="17"/>
  <c r="CU59" i="17" a="1"/>
  <c r="CU59" i="17"/>
  <c r="CU60" i="17" a="1"/>
  <c r="CU60" i="17"/>
  <c r="CU61" i="17" a="1"/>
  <c r="CU61" i="17"/>
  <c r="CU62" i="17" a="1"/>
  <c r="CU62" i="17"/>
  <c r="CU63" i="17" a="1"/>
  <c r="CU63" i="17"/>
  <c r="CU64" i="17" a="1"/>
  <c r="CU64" i="17"/>
  <c r="CU65" i="17" a="1"/>
  <c r="CU65" i="17"/>
  <c r="CU66" i="17" a="1"/>
  <c r="CU66" i="17"/>
  <c r="CX9" i="17" a="1"/>
  <c r="CX9" i="17"/>
  <c r="CX10" i="17" a="1"/>
  <c r="CX10" i="17"/>
  <c r="CX11" i="17" a="1"/>
  <c r="CX11" i="17"/>
  <c r="CX12" i="17" a="1"/>
  <c r="CX12" i="17"/>
  <c r="CX13" i="17" a="1"/>
  <c r="CX13" i="17"/>
  <c r="CX14" i="17" a="1"/>
  <c r="CX14" i="17"/>
  <c r="CX15" i="17" a="1"/>
  <c r="CX15" i="17"/>
  <c r="CX16" i="17" a="1"/>
  <c r="CX16" i="17"/>
  <c r="CX17" i="17" a="1"/>
  <c r="CX17" i="17"/>
  <c r="CX18" i="17" a="1"/>
  <c r="CX18" i="17"/>
  <c r="CX19" i="17" a="1"/>
  <c r="CX19" i="17"/>
  <c r="CX20" i="17" a="1"/>
  <c r="CX20" i="17"/>
  <c r="CX21" i="17" a="1"/>
  <c r="CX21" i="17"/>
  <c r="CX22" i="17" a="1"/>
  <c r="CX22" i="17"/>
  <c r="CX23" i="17" a="1"/>
  <c r="CX23" i="17"/>
  <c r="CX24" i="17" a="1"/>
  <c r="CX24" i="17"/>
  <c r="CX25" i="17" a="1"/>
  <c r="CX25" i="17"/>
  <c r="CX26" i="17" a="1"/>
  <c r="CX26" i="17"/>
  <c r="CX27" i="17" a="1"/>
  <c r="CX27" i="17"/>
  <c r="CX28" i="17" a="1"/>
  <c r="CX28" i="17"/>
  <c r="CX29" i="17" a="1"/>
  <c r="CX29" i="17"/>
  <c r="CX30" i="17" a="1"/>
  <c r="CX30" i="17"/>
  <c r="CX31" i="17" a="1"/>
  <c r="CX31" i="17"/>
  <c r="CX32" i="17" a="1"/>
  <c r="CX32" i="17"/>
  <c r="CX33" i="17" a="1"/>
  <c r="CX33" i="17"/>
  <c r="CX34" i="17" a="1"/>
  <c r="CX34" i="17"/>
  <c r="CX35" i="17" a="1"/>
  <c r="CX35" i="17"/>
  <c r="CX36" i="17" a="1"/>
  <c r="CX36" i="17"/>
  <c r="CX37" i="17" a="1"/>
  <c r="CX37" i="17"/>
  <c r="CX38" i="17" a="1"/>
  <c r="CX38" i="17"/>
  <c r="CX39" i="17" a="1"/>
  <c r="CX39" i="17"/>
  <c r="CX40" i="17" a="1"/>
  <c r="CX40" i="17"/>
  <c r="CX41" i="17" a="1"/>
  <c r="CX41" i="17"/>
  <c r="CX42" i="17" a="1"/>
  <c r="CX42" i="17"/>
  <c r="CX43" i="17" a="1"/>
  <c r="CX43" i="17"/>
  <c r="CX44" i="17" a="1"/>
  <c r="CX44" i="17"/>
  <c r="CX45" i="17" a="1"/>
  <c r="CX45" i="17"/>
  <c r="CX46" i="17" a="1"/>
  <c r="CX46" i="17"/>
  <c r="CX47" i="17" a="1"/>
  <c r="CX47" i="17"/>
  <c r="CX48" i="17" a="1"/>
  <c r="CX48" i="17"/>
  <c r="CX49" i="17" a="1"/>
  <c r="CX49" i="17"/>
  <c r="CX50" i="17" a="1"/>
  <c r="CX50" i="17"/>
  <c r="CX51" i="17" a="1"/>
  <c r="CX51" i="17"/>
  <c r="CX52" i="17" a="1"/>
  <c r="CX52" i="17"/>
  <c r="CX53" i="17" a="1"/>
  <c r="CX53" i="17"/>
  <c r="CX54" i="17" a="1"/>
  <c r="CX54" i="17"/>
  <c r="CX55" i="17" a="1"/>
  <c r="CX55" i="17"/>
  <c r="CX56" i="17" a="1"/>
  <c r="CX56" i="17"/>
  <c r="CX57" i="17" a="1"/>
  <c r="CX57" i="17"/>
  <c r="CX58" i="17" a="1"/>
  <c r="CX58" i="17"/>
  <c r="CX59" i="17" a="1"/>
  <c r="CX59" i="17"/>
  <c r="CX60" i="17" a="1"/>
  <c r="CX60" i="17"/>
  <c r="CX61" i="17" a="1"/>
  <c r="CX61" i="17"/>
  <c r="CX62" i="17" a="1"/>
  <c r="CX62" i="17"/>
  <c r="CX63" i="17" a="1"/>
  <c r="CX63" i="17"/>
  <c r="CX64" i="17" a="1"/>
  <c r="CX64" i="17"/>
  <c r="CX65" i="17" a="1"/>
  <c r="CX65" i="17"/>
  <c r="CX66" i="17" a="1"/>
  <c r="CX66" i="17"/>
  <c r="CZ24" i="17" a="1"/>
  <c r="CZ24" i="17"/>
  <c r="CZ25" i="17" a="1"/>
  <c r="CZ25" i="17"/>
  <c r="CZ26" i="17" a="1"/>
  <c r="CZ26" i="17"/>
  <c r="CZ27" i="17" a="1"/>
  <c r="CZ27" i="17"/>
  <c r="CZ28" i="17" a="1"/>
  <c r="CZ28" i="17"/>
  <c r="CZ29" i="17" a="1"/>
  <c r="CZ29" i="17"/>
  <c r="CZ30" i="17" a="1"/>
  <c r="CZ30" i="17"/>
  <c r="CZ31" i="17" a="1"/>
  <c r="CZ31" i="17"/>
  <c r="CZ32" i="17" a="1"/>
  <c r="CZ32" i="17"/>
  <c r="CZ33" i="17" a="1"/>
  <c r="CZ33" i="17"/>
  <c r="CZ34" i="17" a="1"/>
  <c r="CZ34" i="17"/>
  <c r="CZ35" i="17" a="1"/>
  <c r="CZ35" i="17"/>
  <c r="CZ36" i="17" a="1"/>
  <c r="CZ36" i="17"/>
  <c r="CZ37" i="17" a="1"/>
  <c r="CZ37" i="17"/>
  <c r="CZ38" i="17" a="1"/>
  <c r="CZ38" i="17"/>
  <c r="CZ39" i="17" a="1"/>
  <c r="CZ39" i="17"/>
  <c r="CZ40" i="17" a="1"/>
  <c r="CZ40" i="17"/>
  <c r="CZ41" i="17" a="1"/>
  <c r="CZ41" i="17"/>
  <c r="CZ42" i="17" a="1"/>
  <c r="CZ42" i="17"/>
  <c r="CZ43" i="17" a="1"/>
  <c r="CZ43" i="17"/>
  <c r="CZ44" i="17" a="1"/>
  <c r="CZ44" i="17"/>
  <c r="CZ45" i="17" a="1"/>
  <c r="CZ45" i="17"/>
  <c r="CZ46" i="17" a="1"/>
  <c r="CZ46" i="17"/>
  <c r="CZ47" i="17" a="1"/>
  <c r="CZ47" i="17"/>
  <c r="CZ48" i="17" a="1"/>
  <c r="CZ48" i="17"/>
  <c r="CZ49" i="17" a="1"/>
  <c r="CZ49" i="17"/>
  <c r="CZ50" i="17" a="1"/>
  <c r="CZ50" i="17"/>
  <c r="CZ51" i="17" a="1"/>
  <c r="CZ51" i="17"/>
  <c r="CZ52" i="17" a="1"/>
  <c r="CZ52" i="17"/>
  <c r="CZ53" i="17" a="1"/>
  <c r="CZ53" i="17"/>
  <c r="CZ54" i="17" a="1"/>
  <c r="CZ54" i="17"/>
  <c r="CZ55" i="17" a="1"/>
  <c r="CZ55" i="17"/>
  <c r="CZ56" i="17" a="1"/>
  <c r="CZ56" i="17"/>
  <c r="CZ57" i="17" a="1"/>
  <c r="CZ57" i="17"/>
  <c r="CZ58" i="17" a="1"/>
  <c r="CZ58" i="17"/>
  <c r="CZ59" i="17" a="1"/>
  <c r="CZ59" i="17"/>
  <c r="CZ60" i="17" a="1"/>
  <c r="CZ60" i="17"/>
  <c r="CZ61" i="17" a="1"/>
  <c r="CZ61" i="17"/>
  <c r="CZ62" i="17" a="1"/>
  <c r="CZ62" i="17"/>
  <c r="CZ63" i="17" a="1"/>
  <c r="CZ63" i="17"/>
  <c r="CZ64" i="17" a="1"/>
  <c r="CZ64" i="17"/>
  <c r="CZ65" i="17" a="1"/>
  <c r="CZ65" i="17"/>
  <c r="CZ66" i="17" a="1"/>
  <c r="CZ66" i="17"/>
  <c r="DB24" i="17" a="1"/>
  <c r="DB24" i="17"/>
  <c r="DB25" i="17" a="1"/>
  <c r="DB25" i="17"/>
  <c r="DB26" i="17" a="1"/>
  <c r="DB26" i="17"/>
  <c r="DB27" i="17" a="1"/>
  <c r="DB27" i="17"/>
  <c r="DB28" i="17" a="1"/>
  <c r="DB28" i="17"/>
  <c r="DB29" i="17" a="1"/>
  <c r="DB29" i="17"/>
  <c r="DB30" i="17" a="1"/>
  <c r="DB30" i="17"/>
  <c r="DB31" i="17" a="1"/>
  <c r="DB31" i="17"/>
  <c r="DB32" i="17" a="1"/>
  <c r="DB32" i="17"/>
  <c r="DB33" i="17" a="1"/>
  <c r="DB33" i="17"/>
  <c r="DB34" i="17" a="1"/>
  <c r="DB34" i="17"/>
  <c r="DB35" i="17" a="1"/>
  <c r="DB35" i="17"/>
  <c r="DB36" i="17" a="1"/>
  <c r="DB36" i="17"/>
  <c r="DB37" i="17" a="1"/>
  <c r="DB37" i="17"/>
  <c r="DB38" i="17" a="1"/>
  <c r="DB38" i="17"/>
  <c r="DB39" i="17" a="1"/>
  <c r="DB39" i="17"/>
  <c r="DB40" i="17" a="1"/>
  <c r="DB40" i="17"/>
  <c r="DB41" i="17" a="1"/>
  <c r="DB41" i="17"/>
  <c r="DB42" i="17" a="1"/>
  <c r="DB42" i="17"/>
  <c r="DB43" i="17" a="1"/>
  <c r="DB43" i="17"/>
  <c r="DB44" i="17" a="1"/>
  <c r="DB44" i="17"/>
  <c r="DB45" i="17" a="1"/>
  <c r="DB45" i="17"/>
  <c r="DB46" i="17" a="1"/>
  <c r="DB46" i="17"/>
  <c r="DB47" i="17" a="1"/>
  <c r="DB47" i="17"/>
  <c r="DB48" i="17" a="1"/>
  <c r="DB48" i="17"/>
  <c r="DB49" i="17" a="1"/>
  <c r="DB49" i="17"/>
  <c r="DB50" i="17" a="1"/>
  <c r="DB50" i="17"/>
  <c r="DB51" i="17" a="1"/>
  <c r="DB51" i="17"/>
  <c r="DB52" i="17" a="1"/>
  <c r="DB52" i="17"/>
  <c r="DB53" i="17" a="1"/>
  <c r="DB53" i="17"/>
  <c r="DB54" i="17" a="1"/>
  <c r="DB54" i="17"/>
  <c r="DB55" i="17" a="1"/>
  <c r="DB55" i="17"/>
  <c r="DB56" i="17" a="1"/>
  <c r="DB56" i="17"/>
  <c r="DB57" i="17" a="1"/>
  <c r="DB57" i="17"/>
  <c r="DB58" i="17" a="1"/>
  <c r="DB58" i="17"/>
  <c r="DB59" i="17" a="1"/>
  <c r="DB59" i="17"/>
  <c r="DB60" i="17" a="1"/>
  <c r="DB60" i="17"/>
  <c r="DB61" i="17" a="1"/>
  <c r="DB61" i="17"/>
  <c r="DB62" i="17" a="1"/>
  <c r="DB62" i="17"/>
  <c r="DB63" i="17" a="1"/>
  <c r="DB63" i="17"/>
  <c r="DB64" i="17" a="1"/>
  <c r="DB64" i="17"/>
  <c r="DB65" i="17" a="1"/>
  <c r="DB65" i="17"/>
  <c r="DB66" i="17" a="1"/>
  <c r="DB66" i="17"/>
  <c r="DE9" i="17" a="1"/>
  <c r="DE9" i="17"/>
  <c r="DE10" i="17" a="1"/>
  <c r="DE10" i="17"/>
  <c r="DE11" i="17" a="1"/>
  <c r="DE11" i="17"/>
  <c r="DE12" i="17" a="1"/>
  <c r="DE12" i="17"/>
  <c r="DE13" i="17" a="1"/>
  <c r="DE13" i="17"/>
  <c r="DE14" i="17" a="1"/>
  <c r="DE14" i="17"/>
  <c r="DE15" i="17" a="1"/>
  <c r="DE15" i="17"/>
  <c r="DE16" i="17" a="1"/>
  <c r="DE16" i="17"/>
  <c r="DE17" i="17" a="1"/>
  <c r="DE17" i="17"/>
  <c r="DE18" i="17" a="1"/>
  <c r="DE18" i="17"/>
  <c r="DE19" i="17" a="1"/>
  <c r="DE19" i="17"/>
  <c r="DE20" i="17" a="1"/>
  <c r="DE20" i="17"/>
  <c r="DE21" i="17" a="1"/>
  <c r="DE21" i="17"/>
  <c r="DE22" i="17" a="1"/>
  <c r="DE22" i="17"/>
  <c r="DE23" i="17" a="1"/>
  <c r="DE23" i="17"/>
  <c r="DE24" i="17" a="1"/>
  <c r="DE24" i="17"/>
  <c r="DE25" i="17" a="1"/>
  <c r="DE25" i="17"/>
  <c r="DE26" i="17" a="1"/>
  <c r="DE26" i="17"/>
  <c r="DE27" i="17" a="1"/>
  <c r="DE27" i="17"/>
  <c r="DE28" i="17" a="1"/>
  <c r="DE28" i="17"/>
  <c r="DE29" i="17" a="1"/>
  <c r="DE29" i="17"/>
  <c r="DE30" i="17" a="1"/>
  <c r="DE30" i="17"/>
  <c r="DE31" i="17" a="1"/>
  <c r="DE31" i="17"/>
  <c r="DE32" i="17" a="1"/>
  <c r="DE32" i="17"/>
  <c r="DE33" i="17" a="1"/>
  <c r="DE33" i="17"/>
  <c r="DE34" i="17" a="1"/>
  <c r="DE34" i="17"/>
  <c r="DE35" i="17" a="1"/>
  <c r="DE35" i="17"/>
  <c r="DE36" i="17" a="1"/>
  <c r="DE36" i="17"/>
  <c r="DE37" i="17" a="1"/>
  <c r="DE37" i="17"/>
  <c r="DE38" i="17" a="1"/>
  <c r="DE38" i="17"/>
  <c r="DE39" i="17" a="1"/>
  <c r="DE39" i="17"/>
  <c r="DE40" i="17" a="1"/>
  <c r="DE40" i="17"/>
  <c r="DE41" i="17" a="1"/>
  <c r="DE41" i="17"/>
  <c r="DE42" i="17" a="1"/>
  <c r="DE42" i="17"/>
  <c r="DE43" i="17" a="1"/>
  <c r="DE43" i="17"/>
  <c r="DE44" i="17" a="1"/>
  <c r="DE44" i="17"/>
  <c r="DE45" i="17" a="1"/>
  <c r="DE45" i="17"/>
  <c r="DE46" i="17" a="1"/>
  <c r="DE46" i="17"/>
  <c r="DE47" i="17" a="1"/>
  <c r="DE47" i="17"/>
  <c r="DE48" i="17" a="1"/>
  <c r="DE48" i="17"/>
  <c r="DE49" i="17" a="1"/>
  <c r="DE49" i="17"/>
  <c r="DE50" i="17" a="1"/>
  <c r="DE50" i="17"/>
  <c r="DE51" i="17" a="1"/>
  <c r="DE51" i="17"/>
  <c r="DE52" i="17" a="1"/>
  <c r="DE52" i="17"/>
  <c r="DE53" i="17" a="1"/>
  <c r="DE53" i="17"/>
  <c r="DE54" i="17" a="1"/>
  <c r="DE54" i="17"/>
  <c r="DE55" i="17" a="1"/>
  <c r="DE55" i="17"/>
  <c r="DE56" i="17" a="1"/>
  <c r="DE56" i="17"/>
  <c r="DE57" i="17" a="1"/>
  <c r="DE57" i="17"/>
  <c r="DE58" i="17" a="1"/>
  <c r="DE58" i="17"/>
  <c r="DE59" i="17" a="1"/>
  <c r="DE59" i="17"/>
  <c r="DE60" i="17" a="1"/>
  <c r="DE60" i="17"/>
  <c r="DE61" i="17" a="1"/>
  <c r="DE61" i="17"/>
  <c r="DE62" i="17" a="1"/>
  <c r="DE62" i="17"/>
  <c r="DE63" i="17" a="1"/>
  <c r="DE63" i="17"/>
  <c r="DE64" i="17" a="1"/>
  <c r="DE64" i="17"/>
  <c r="DE65" i="17" a="1"/>
  <c r="DE65" i="17"/>
  <c r="DE66" i="17" a="1"/>
  <c r="DE66" i="17"/>
  <c r="DG24" i="17" a="1"/>
  <c r="DG24" i="17"/>
  <c r="DG25" i="17" a="1"/>
  <c r="DG25" i="17"/>
  <c r="DG26" i="17" a="1"/>
  <c r="DG26" i="17"/>
  <c r="DG27" i="17" a="1"/>
  <c r="DG27" i="17"/>
  <c r="DG28" i="17" a="1"/>
  <c r="DG28" i="17"/>
  <c r="DG29" i="17" a="1"/>
  <c r="DG29" i="17"/>
  <c r="DG30" i="17" a="1"/>
  <c r="DG30" i="17"/>
  <c r="DG31" i="17" a="1"/>
  <c r="DG31" i="17"/>
  <c r="DG32" i="17" a="1"/>
  <c r="DG32" i="17"/>
  <c r="DG33" i="17" a="1"/>
  <c r="DG33" i="17"/>
  <c r="DG34" i="17" a="1"/>
  <c r="DG34" i="17"/>
  <c r="DG35" i="17" a="1"/>
  <c r="DG35" i="17"/>
  <c r="DG36" i="17" a="1"/>
  <c r="DG36" i="17"/>
  <c r="DG37" i="17" a="1"/>
  <c r="DG37" i="17"/>
  <c r="DG38" i="17" a="1"/>
  <c r="DG38" i="17"/>
  <c r="DG39" i="17" a="1"/>
  <c r="DG39" i="17"/>
  <c r="DG40" i="17" a="1"/>
  <c r="DG40" i="17"/>
  <c r="DG41" i="17" a="1"/>
  <c r="DG41" i="17"/>
  <c r="DG42" i="17" a="1"/>
  <c r="DG42" i="17"/>
  <c r="DG43" i="17" a="1"/>
  <c r="DG43" i="17"/>
  <c r="DG44" i="17" a="1"/>
  <c r="DG44" i="17"/>
  <c r="DG45" i="17" a="1"/>
  <c r="DG45" i="17"/>
  <c r="DG46" i="17" a="1"/>
  <c r="DG46" i="17"/>
  <c r="DG47" i="17" a="1"/>
  <c r="DG47" i="17"/>
  <c r="DG48" i="17" a="1"/>
  <c r="DG48" i="17"/>
  <c r="DG49" i="17" a="1"/>
  <c r="DG49" i="17"/>
  <c r="DG50" i="17" a="1"/>
  <c r="DG50" i="17"/>
  <c r="DG51" i="17" a="1"/>
  <c r="DG51" i="17"/>
  <c r="DG52" i="17" a="1"/>
  <c r="DG52" i="17"/>
  <c r="DG53" i="17" a="1"/>
  <c r="DG53" i="17"/>
  <c r="DG54" i="17" a="1"/>
  <c r="DG54" i="17"/>
  <c r="DG55" i="17" a="1"/>
  <c r="DG55" i="17"/>
  <c r="DG56" i="17" a="1"/>
  <c r="DG56" i="17"/>
  <c r="DG57" i="17" a="1"/>
  <c r="DG57" i="17"/>
  <c r="DG58" i="17" a="1"/>
  <c r="DG58" i="17"/>
  <c r="DG59" i="17" a="1"/>
  <c r="DG59" i="17"/>
  <c r="DG60" i="17" a="1"/>
  <c r="DG60" i="17"/>
  <c r="DG61" i="17" a="1"/>
  <c r="DG61" i="17"/>
  <c r="DG62" i="17" a="1"/>
  <c r="DG62" i="17"/>
  <c r="DG63" i="17" a="1"/>
  <c r="DG63" i="17"/>
  <c r="DG64" i="17" a="1"/>
  <c r="DG64" i="17"/>
  <c r="DG65" i="17" a="1"/>
  <c r="DG65" i="17"/>
  <c r="DG66" i="17" a="1"/>
  <c r="DG66" i="17"/>
  <c r="DI24" i="17" a="1"/>
  <c r="DI24" i="17"/>
  <c r="DI25" i="17" a="1"/>
  <c r="DI25" i="17"/>
  <c r="DI26" i="17" a="1"/>
  <c r="DI26" i="17"/>
  <c r="DI27" i="17" a="1"/>
  <c r="DI27" i="17"/>
  <c r="DI28" i="17" a="1"/>
  <c r="DI28" i="17"/>
  <c r="DI29" i="17" a="1"/>
  <c r="DI29" i="17"/>
  <c r="DI30" i="17" a="1"/>
  <c r="DI30" i="17"/>
  <c r="DI31" i="17" a="1"/>
  <c r="DI31" i="17"/>
  <c r="DI32" i="17" a="1"/>
  <c r="DI32" i="17"/>
  <c r="DI33" i="17" a="1"/>
  <c r="DI33" i="17"/>
  <c r="DI34" i="17" a="1"/>
  <c r="DI34" i="17"/>
  <c r="DI35" i="17" a="1"/>
  <c r="DI35" i="17"/>
  <c r="DI36" i="17" a="1"/>
  <c r="DI36" i="17"/>
  <c r="DI37" i="17" a="1"/>
  <c r="DI37" i="17"/>
  <c r="DI38" i="17" a="1"/>
  <c r="DI38" i="17"/>
  <c r="DI39" i="17" a="1"/>
  <c r="DI39" i="17"/>
  <c r="DI40" i="17" a="1"/>
  <c r="DI40" i="17"/>
  <c r="DI41" i="17" a="1"/>
  <c r="DI41" i="17"/>
  <c r="DI42" i="17" a="1"/>
  <c r="DI42" i="17"/>
  <c r="DI43" i="17" a="1"/>
  <c r="DI43" i="17"/>
  <c r="DI44" i="17" a="1"/>
  <c r="DI44" i="17"/>
  <c r="DI45" i="17" a="1"/>
  <c r="DI45" i="17"/>
  <c r="DI46" i="17" a="1"/>
  <c r="DI46" i="17"/>
  <c r="DI47" i="17" a="1"/>
  <c r="DI47" i="17"/>
  <c r="DI48" i="17" a="1"/>
  <c r="DI48" i="17"/>
  <c r="DI49" i="17" a="1"/>
  <c r="DI49" i="17"/>
  <c r="DI50" i="17" a="1"/>
  <c r="DI50" i="17"/>
  <c r="DI51" i="17" a="1"/>
  <c r="DI51" i="17"/>
  <c r="DI52" i="17" a="1"/>
  <c r="DI52" i="17"/>
  <c r="DI53" i="17" a="1"/>
  <c r="DI53" i="17"/>
  <c r="DI54" i="17" a="1"/>
  <c r="DI54" i="17"/>
  <c r="DI55" i="17" a="1"/>
  <c r="DI55" i="17"/>
  <c r="DI56" i="17" a="1"/>
  <c r="DI56" i="17"/>
  <c r="DI57" i="17" a="1"/>
  <c r="DI57" i="17"/>
  <c r="DI58" i="17" a="1"/>
  <c r="DI58" i="17"/>
  <c r="DI59" i="17" a="1"/>
  <c r="DI59" i="17"/>
  <c r="DI60" i="17" a="1"/>
  <c r="DI60" i="17"/>
  <c r="DI61" i="17" a="1"/>
  <c r="DI61" i="17"/>
  <c r="DI62" i="17" a="1"/>
  <c r="DI62" i="17"/>
  <c r="DI63" i="17" a="1"/>
  <c r="DI63" i="17"/>
  <c r="DI64" i="17" a="1"/>
  <c r="DI64" i="17"/>
  <c r="DI65" i="17" a="1"/>
  <c r="DI65" i="17"/>
  <c r="DI66" i="17" a="1"/>
  <c r="DI66" i="17"/>
  <c r="DL9" i="17" a="1"/>
  <c r="DL9" i="17"/>
  <c r="DL10" i="17" a="1"/>
  <c r="DL10" i="17"/>
  <c r="DL11" i="17" a="1"/>
  <c r="DL11" i="17"/>
  <c r="DL12" i="17" a="1"/>
  <c r="DL12" i="17"/>
  <c r="DL13" i="17" a="1"/>
  <c r="DL13" i="17"/>
  <c r="DL14" i="17" a="1"/>
  <c r="DL14" i="17"/>
  <c r="DL15" i="17" a="1"/>
  <c r="DL15" i="17"/>
  <c r="DL16" i="17" a="1"/>
  <c r="DL16" i="17"/>
  <c r="DL17" i="17" a="1"/>
  <c r="DL17" i="17"/>
  <c r="DL18" i="17" a="1"/>
  <c r="DL18" i="17"/>
  <c r="DL19" i="17" a="1"/>
  <c r="DL19" i="17"/>
  <c r="DL20" i="17" a="1"/>
  <c r="DL20" i="17"/>
  <c r="DL21" i="17" a="1"/>
  <c r="DL21" i="17"/>
  <c r="DL22" i="17" a="1"/>
  <c r="DL22" i="17"/>
  <c r="DL23" i="17" a="1"/>
  <c r="DL23" i="17"/>
  <c r="DL24" i="17" a="1"/>
  <c r="DL24" i="17"/>
  <c r="DL25" i="17" a="1"/>
  <c r="DL25" i="17"/>
  <c r="DL26" i="17" a="1"/>
  <c r="DL26" i="17"/>
  <c r="DL27" i="17" a="1"/>
  <c r="DL27" i="17"/>
  <c r="DL28" i="17" a="1"/>
  <c r="DL28" i="17"/>
  <c r="DL29" i="17" a="1"/>
  <c r="DL29" i="17"/>
  <c r="DL30" i="17" a="1"/>
  <c r="DL30" i="17"/>
  <c r="DL31" i="17" a="1"/>
  <c r="DL31" i="17"/>
  <c r="DL32" i="17" a="1"/>
  <c r="DL32" i="17"/>
  <c r="DL33" i="17" a="1"/>
  <c r="DL33" i="17"/>
  <c r="DL34" i="17" a="1"/>
  <c r="DL34" i="17"/>
  <c r="DL35" i="17" a="1"/>
  <c r="DL35" i="17"/>
  <c r="DL36" i="17" a="1"/>
  <c r="DL36" i="17"/>
  <c r="DL37" i="17" a="1"/>
  <c r="DL37" i="17"/>
  <c r="DL38" i="17" a="1"/>
  <c r="DL38" i="17"/>
  <c r="DL39" i="17" a="1"/>
  <c r="DL39" i="17"/>
  <c r="DL40" i="17" a="1"/>
  <c r="DL40" i="17"/>
  <c r="DL41" i="17" a="1"/>
  <c r="DL41" i="17"/>
  <c r="DL42" i="17" a="1"/>
  <c r="DL42" i="17"/>
  <c r="DL43" i="17" a="1"/>
  <c r="DL43" i="17"/>
  <c r="DL44" i="17" a="1"/>
  <c r="DL44" i="17"/>
  <c r="DL45" i="17" a="1"/>
  <c r="DL45" i="17"/>
  <c r="DL46" i="17" a="1"/>
  <c r="DL46" i="17"/>
  <c r="DL47" i="17" a="1"/>
  <c r="DL47" i="17"/>
  <c r="DL48" i="17" a="1"/>
  <c r="DL48" i="17"/>
  <c r="DL49" i="17" a="1"/>
  <c r="DL49" i="17"/>
  <c r="DL50" i="17" a="1"/>
  <c r="DL50" i="17"/>
  <c r="DL51" i="17" a="1"/>
  <c r="DL51" i="17"/>
  <c r="DL52" i="17" a="1"/>
  <c r="DL52" i="17"/>
  <c r="DL53" i="17" a="1"/>
  <c r="DL53" i="17"/>
  <c r="DL54" i="17" a="1"/>
  <c r="DL54" i="17"/>
  <c r="DL55" i="17" a="1"/>
  <c r="DL55" i="17"/>
  <c r="DL56" i="17" a="1"/>
  <c r="DL56" i="17"/>
  <c r="DL57" i="17" a="1"/>
  <c r="DL57" i="17"/>
  <c r="DL58" i="17" a="1"/>
  <c r="DL58" i="17"/>
  <c r="DL59" i="17" a="1"/>
  <c r="DL59" i="17"/>
  <c r="DL60" i="17" a="1"/>
  <c r="DL60" i="17"/>
  <c r="DL61" i="17" a="1"/>
  <c r="DL61" i="17"/>
  <c r="DL62" i="17" a="1"/>
  <c r="DL62" i="17"/>
  <c r="DL63" i="17" a="1"/>
  <c r="DL63" i="17"/>
  <c r="DL64" i="17" a="1"/>
  <c r="DL64" i="17"/>
  <c r="DL65" i="17" a="1"/>
  <c r="DL65" i="17"/>
  <c r="DL66" i="17" a="1"/>
  <c r="DL66" i="17"/>
  <c r="DN24" i="17" a="1"/>
  <c r="DN24" i="17"/>
  <c r="DN25" i="17" a="1"/>
  <c r="DN25" i="17"/>
  <c r="DN26" i="17" a="1"/>
  <c r="DN26" i="17"/>
  <c r="DN27" i="17" a="1"/>
  <c r="DN27" i="17"/>
  <c r="DN28" i="17" a="1"/>
  <c r="DN28" i="17"/>
  <c r="DN29" i="17" a="1"/>
  <c r="DN29" i="17"/>
  <c r="DN30" i="17" a="1"/>
  <c r="DN30" i="17"/>
  <c r="DN31" i="17" a="1"/>
  <c r="DN31" i="17"/>
  <c r="DN32" i="17" a="1"/>
  <c r="DN32" i="17"/>
  <c r="DN33" i="17" a="1"/>
  <c r="DN33" i="17"/>
  <c r="DN34" i="17" a="1"/>
  <c r="DN34" i="17"/>
  <c r="DN35" i="17" a="1"/>
  <c r="DN35" i="17"/>
  <c r="DN36" i="17" a="1"/>
  <c r="DN36" i="17"/>
  <c r="DN37" i="17" a="1"/>
  <c r="DN37" i="17"/>
  <c r="DN38" i="17" a="1"/>
  <c r="DN38" i="17"/>
  <c r="DN39" i="17" a="1"/>
  <c r="DN39" i="17"/>
  <c r="DN40" i="17" a="1"/>
  <c r="DN40" i="17"/>
  <c r="DN41" i="17" a="1"/>
  <c r="DN41" i="17"/>
  <c r="DN42" i="17" a="1"/>
  <c r="DN42" i="17"/>
  <c r="DN43" i="17" a="1"/>
  <c r="DN43" i="17"/>
  <c r="DN44" i="17" a="1"/>
  <c r="DN44" i="17"/>
  <c r="DN45" i="17" a="1"/>
  <c r="DN45" i="17"/>
  <c r="DN46" i="17" a="1"/>
  <c r="DN46" i="17"/>
  <c r="DN47" i="17" a="1"/>
  <c r="DN47" i="17"/>
  <c r="DN48" i="17" a="1"/>
  <c r="DN48" i="17"/>
  <c r="DN49" i="17" a="1"/>
  <c r="DN49" i="17"/>
  <c r="DN50" i="17" a="1"/>
  <c r="DN50" i="17"/>
  <c r="DN51" i="17" a="1"/>
  <c r="DN51" i="17"/>
  <c r="DN52" i="17" a="1"/>
  <c r="DN52" i="17"/>
  <c r="DN53" i="17" a="1"/>
  <c r="DN53" i="17"/>
  <c r="DN54" i="17" a="1"/>
  <c r="DN54" i="17"/>
  <c r="DN55" i="17" a="1"/>
  <c r="DN55" i="17"/>
  <c r="DN56" i="17" a="1"/>
  <c r="DN56" i="17"/>
  <c r="DN57" i="17" a="1"/>
  <c r="DN57" i="17"/>
  <c r="DN58" i="17" a="1"/>
  <c r="DN58" i="17"/>
  <c r="DN59" i="17" a="1"/>
  <c r="DN59" i="17"/>
  <c r="DN60" i="17" a="1"/>
  <c r="DN60" i="17"/>
  <c r="DN61" i="17" a="1"/>
  <c r="DN61" i="17"/>
  <c r="DN62" i="17" a="1"/>
  <c r="DN62" i="17"/>
  <c r="DN63" i="17" a="1"/>
  <c r="DN63" i="17"/>
  <c r="DN64" i="17" a="1"/>
  <c r="DN64" i="17"/>
  <c r="DN65" i="17" a="1"/>
  <c r="DN65" i="17"/>
  <c r="DN66" i="17" a="1"/>
  <c r="DN66" i="17"/>
  <c r="DP24" i="17" a="1"/>
  <c r="DP24" i="17"/>
  <c r="DP25" i="17" a="1"/>
  <c r="DP25" i="17"/>
  <c r="DP26" i="17" a="1"/>
  <c r="DP26" i="17"/>
  <c r="DP27" i="17" a="1"/>
  <c r="DP27" i="17"/>
  <c r="DP28" i="17" a="1"/>
  <c r="DP28" i="17"/>
  <c r="DP29" i="17" a="1"/>
  <c r="DP29" i="17"/>
  <c r="DP30" i="17" a="1"/>
  <c r="DP30" i="17"/>
  <c r="DP31" i="17" a="1"/>
  <c r="DP31" i="17"/>
  <c r="DP32" i="17" a="1"/>
  <c r="DP32" i="17"/>
  <c r="DP33" i="17" a="1"/>
  <c r="DP33" i="17"/>
  <c r="DP34" i="17" a="1"/>
  <c r="DP34" i="17"/>
  <c r="DP35" i="17" a="1"/>
  <c r="DP35" i="17"/>
  <c r="DP36" i="17" a="1"/>
  <c r="DP36" i="17"/>
  <c r="DP37" i="17" a="1"/>
  <c r="DP37" i="17"/>
  <c r="DP38" i="17" a="1"/>
  <c r="DP38" i="17"/>
  <c r="DP39" i="17" a="1"/>
  <c r="DP39" i="17"/>
  <c r="DP40" i="17" a="1"/>
  <c r="DP40" i="17"/>
  <c r="DP41" i="17" a="1"/>
  <c r="DP41" i="17"/>
  <c r="DP42" i="17" a="1"/>
  <c r="DP42" i="17"/>
  <c r="DP43" i="17" a="1"/>
  <c r="DP43" i="17"/>
  <c r="DP44" i="17" a="1"/>
  <c r="DP44" i="17"/>
  <c r="DP45" i="17" a="1"/>
  <c r="DP45" i="17"/>
  <c r="DP46" i="17" a="1"/>
  <c r="DP46" i="17"/>
  <c r="DP47" i="17" a="1"/>
  <c r="DP47" i="17"/>
  <c r="DP48" i="17" a="1"/>
  <c r="DP48" i="17"/>
  <c r="DP49" i="17" a="1"/>
  <c r="DP49" i="17"/>
  <c r="DP50" i="17" a="1"/>
  <c r="DP50" i="17"/>
  <c r="DP51" i="17" a="1"/>
  <c r="DP51" i="17"/>
  <c r="DP52" i="17" a="1"/>
  <c r="DP52" i="17"/>
  <c r="DP53" i="17" a="1"/>
  <c r="DP53" i="17"/>
  <c r="DP54" i="17" a="1"/>
  <c r="DP54" i="17"/>
  <c r="DP55" i="17" a="1"/>
  <c r="DP55" i="17"/>
  <c r="DP56" i="17" a="1"/>
  <c r="DP56" i="17"/>
  <c r="DP57" i="17" a="1"/>
  <c r="DP57" i="17"/>
  <c r="DP58" i="17" a="1"/>
  <c r="DP58" i="17"/>
  <c r="DP59" i="17" a="1"/>
  <c r="DP59" i="17"/>
  <c r="DP60" i="17" a="1"/>
  <c r="DP60" i="17"/>
  <c r="DP61" i="17" a="1"/>
  <c r="DP61" i="17"/>
  <c r="DP62" i="17" a="1"/>
  <c r="DP62" i="17"/>
  <c r="DP63" i="17" a="1"/>
  <c r="DP63" i="17"/>
  <c r="DP64" i="17" a="1"/>
  <c r="DP64" i="17"/>
  <c r="DP65" i="17" a="1"/>
  <c r="DP65" i="17"/>
  <c r="DP66" i="17" a="1"/>
  <c r="DP66" i="17"/>
  <c r="DS9" i="17" a="1"/>
  <c r="DS9" i="17"/>
  <c r="DS10" i="17" a="1"/>
  <c r="DS10" i="17"/>
  <c r="DS11" i="17" a="1"/>
  <c r="DS11" i="17"/>
  <c r="DS12" i="17" a="1"/>
  <c r="DS12" i="17"/>
  <c r="DS13" i="17" a="1"/>
  <c r="DS13" i="17"/>
  <c r="DS14" i="17" a="1"/>
  <c r="DS14" i="17"/>
  <c r="DS15" i="17" a="1"/>
  <c r="DS15" i="17"/>
  <c r="DS16" i="17" a="1"/>
  <c r="DS16" i="17"/>
  <c r="DS17" i="17" a="1"/>
  <c r="DS17" i="17"/>
  <c r="DS18" i="17" a="1"/>
  <c r="DS18" i="17"/>
  <c r="DS19" i="17" a="1"/>
  <c r="DS19" i="17"/>
  <c r="DS20" i="17" a="1"/>
  <c r="DS20" i="17"/>
  <c r="DS21" i="17" a="1"/>
  <c r="DS21" i="17"/>
  <c r="DS22" i="17" a="1"/>
  <c r="DS22" i="17"/>
  <c r="DS23" i="17" a="1"/>
  <c r="DS23" i="17"/>
  <c r="DS24" i="17" a="1"/>
  <c r="DS24" i="17"/>
  <c r="DS25" i="17" a="1"/>
  <c r="DS25" i="17"/>
  <c r="DS26" i="17" a="1"/>
  <c r="DS26" i="17"/>
  <c r="DS27" i="17" a="1"/>
  <c r="DS27" i="17"/>
  <c r="DS28" i="17" a="1"/>
  <c r="DS28" i="17"/>
  <c r="DS29" i="17" a="1"/>
  <c r="DS29" i="17"/>
  <c r="DS30" i="17" a="1"/>
  <c r="DS30" i="17"/>
  <c r="DS31" i="17" a="1"/>
  <c r="DS31" i="17"/>
  <c r="DS32" i="17" a="1"/>
  <c r="DS32" i="17"/>
  <c r="DS33" i="17" a="1"/>
  <c r="DS33" i="17"/>
  <c r="DS34" i="17" a="1"/>
  <c r="DS34" i="17"/>
  <c r="DS35" i="17" a="1"/>
  <c r="DS35" i="17"/>
  <c r="DS36" i="17" a="1"/>
  <c r="DS36" i="17"/>
  <c r="DS37" i="17" a="1"/>
  <c r="DS37" i="17"/>
  <c r="DS38" i="17" a="1"/>
  <c r="DS38" i="17"/>
  <c r="DS39" i="17" a="1"/>
  <c r="DS39" i="17"/>
  <c r="DS40" i="17" a="1"/>
  <c r="DS40" i="17"/>
  <c r="DS41" i="17" a="1"/>
  <c r="DS41" i="17"/>
  <c r="DS42" i="17" a="1"/>
  <c r="DS42" i="17"/>
  <c r="DS43" i="17" a="1"/>
  <c r="DS43" i="17"/>
  <c r="DS44" i="17" a="1"/>
  <c r="DS44" i="17"/>
  <c r="DS45" i="17" a="1"/>
  <c r="DS45" i="17"/>
  <c r="DS46" i="17" a="1"/>
  <c r="DS46" i="17"/>
  <c r="DS47" i="17" a="1"/>
  <c r="DS47" i="17"/>
  <c r="DS48" i="17" a="1"/>
  <c r="DS48" i="17"/>
  <c r="DS49" i="17" a="1"/>
  <c r="DS49" i="17"/>
  <c r="DS50" i="17" a="1"/>
  <c r="DS50" i="17"/>
  <c r="DS51" i="17" a="1"/>
  <c r="DS51" i="17"/>
  <c r="DS52" i="17" a="1"/>
  <c r="DS52" i="17"/>
  <c r="DS53" i="17" a="1"/>
  <c r="DS53" i="17"/>
  <c r="DS54" i="17" a="1"/>
  <c r="DS54" i="17"/>
  <c r="DS55" i="17" a="1"/>
  <c r="DS55" i="17"/>
  <c r="DS56" i="17" a="1"/>
  <c r="DS56" i="17"/>
  <c r="DS57" i="17" a="1"/>
  <c r="DS57" i="17"/>
  <c r="DS58" i="17" a="1"/>
  <c r="DS58" i="17"/>
  <c r="DS59" i="17" a="1"/>
  <c r="DS59" i="17"/>
  <c r="DS60" i="17" a="1"/>
  <c r="DS60" i="17"/>
  <c r="DS61" i="17" a="1"/>
  <c r="DS61" i="17"/>
  <c r="DS62" i="17" a="1"/>
  <c r="DS62" i="17"/>
  <c r="DS63" i="17" a="1"/>
  <c r="DS63" i="17"/>
  <c r="DS64" i="17" a="1"/>
  <c r="DS64" i="17"/>
  <c r="DS65" i="17" a="1"/>
  <c r="DS65" i="17"/>
  <c r="DS66" i="17" a="1"/>
  <c r="DS66" i="17"/>
  <c r="DU24" i="17" a="1"/>
  <c r="DU24" i="17"/>
  <c r="DU25" i="17" a="1"/>
  <c r="DU25" i="17"/>
  <c r="DU26" i="17" a="1"/>
  <c r="DU26" i="17"/>
  <c r="DU27" i="17" a="1"/>
  <c r="DU27" i="17"/>
  <c r="DU28" i="17" a="1"/>
  <c r="DU28" i="17"/>
  <c r="DU29" i="17" a="1"/>
  <c r="DU29" i="17"/>
  <c r="DU30" i="17" a="1"/>
  <c r="DU30" i="17"/>
  <c r="DU31" i="17" a="1"/>
  <c r="DU31" i="17"/>
  <c r="DU32" i="17" a="1"/>
  <c r="DU32" i="17"/>
  <c r="DU33" i="17" a="1"/>
  <c r="DU33" i="17"/>
  <c r="DU34" i="17" a="1"/>
  <c r="DU34" i="17"/>
  <c r="DU35" i="17" a="1"/>
  <c r="DU35" i="17"/>
  <c r="DU36" i="17" a="1"/>
  <c r="DU36" i="17"/>
  <c r="DU37" i="17" a="1"/>
  <c r="DU37" i="17"/>
  <c r="DU38" i="17" a="1"/>
  <c r="DU38" i="17"/>
  <c r="DU39" i="17" a="1"/>
  <c r="DU39" i="17"/>
  <c r="DU40" i="17" a="1"/>
  <c r="DU40" i="17"/>
  <c r="DU41" i="17" a="1"/>
  <c r="DU41" i="17"/>
  <c r="DU42" i="17" a="1"/>
  <c r="DU42" i="17"/>
  <c r="DU43" i="17" a="1"/>
  <c r="DU43" i="17"/>
  <c r="DU44" i="17" a="1"/>
  <c r="DU44" i="17"/>
  <c r="DU45" i="17" a="1"/>
  <c r="DU45" i="17"/>
  <c r="DU46" i="17" a="1"/>
  <c r="DU46" i="17"/>
  <c r="DU47" i="17" a="1"/>
  <c r="DU47" i="17"/>
  <c r="DU48" i="17" a="1"/>
  <c r="DU48" i="17"/>
  <c r="DU49" i="17" a="1"/>
  <c r="DU49" i="17"/>
  <c r="DU50" i="17" a="1"/>
  <c r="DU50" i="17"/>
  <c r="DU51" i="17" a="1"/>
  <c r="DU51" i="17"/>
  <c r="DU52" i="17" a="1"/>
  <c r="DU52" i="17"/>
  <c r="DU53" i="17" a="1"/>
  <c r="DU53" i="17"/>
  <c r="DU54" i="17" a="1"/>
  <c r="DU54" i="17"/>
  <c r="DU55" i="17" a="1"/>
  <c r="DU55" i="17"/>
  <c r="DU56" i="17" a="1"/>
  <c r="DU56" i="17"/>
  <c r="DU57" i="17" a="1"/>
  <c r="DU57" i="17"/>
  <c r="DU58" i="17" a="1"/>
  <c r="DU58" i="17"/>
  <c r="DU59" i="17" a="1"/>
  <c r="DU59" i="17"/>
  <c r="DU60" i="17" a="1"/>
  <c r="DU60" i="17"/>
  <c r="DU61" i="17" a="1"/>
  <c r="DU61" i="17"/>
  <c r="DU62" i="17" a="1"/>
  <c r="DU62" i="17"/>
  <c r="DU63" i="17" a="1"/>
  <c r="DU63" i="17"/>
  <c r="DU64" i="17" a="1"/>
  <c r="DU64" i="17"/>
  <c r="DU65" i="17" a="1"/>
  <c r="DU65" i="17"/>
  <c r="DU66" i="17" a="1"/>
  <c r="DU66" i="17"/>
  <c r="DW24" i="17" a="1"/>
  <c r="DW24" i="17"/>
  <c r="DW25" i="17" a="1"/>
  <c r="DW25" i="17"/>
  <c r="DW26" i="17" a="1"/>
  <c r="DW26" i="17"/>
  <c r="DW27" i="17" a="1"/>
  <c r="DW27" i="17"/>
  <c r="DW28" i="17" a="1"/>
  <c r="DW28" i="17"/>
  <c r="DW29" i="17" a="1"/>
  <c r="DW29" i="17"/>
  <c r="DW30" i="17" a="1"/>
  <c r="DW30" i="17"/>
  <c r="DW31" i="17" a="1"/>
  <c r="DW31" i="17"/>
  <c r="DW32" i="17" a="1"/>
  <c r="DW32" i="17"/>
  <c r="DW33" i="17" a="1"/>
  <c r="DW33" i="17"/>
  <c r="DW34" i="17" a="1"/>
  <c r="DW34" i="17"/>
  <c r="DW35" i="17" a="1"/>
  <c r="DW35" i="17"/>
  <c r="DW36" i="17" a="1"/>
  <c r="DW36" i="17"/>
  <c r="DW37" i="17" a="1"/>
  <c r="DW37" i="17"/>
  <c r="DW38" i="17" a="1"/>
  <c r="DW38" i="17"/>
  <c r="DW39" i="17" a="1"/>
  <c r="DW39" i="17"/>
  <c r="DW40" i="17" a="1"/>
  <c r="DW40" i="17"/>
  <c r="DW41" i="17" a="1"/>
  <c r="DW41" i="17"/>
  <c r="DW42" i="17" a="1"/>
  <c r="DW42" i="17"/>
  <c r="DW43" i="17" a="1"/>
  <c r="DW43" i="17"/>
  <c r="DW44" i="17" a="1"/>
  <c r="DW44" i="17"/>
  <c r="DW45" i="17" a="1"/>
  <c r="DW45" i="17"/>
  <c r="DW46" i="17" a="1"/>
  <c r="DW46" i="17"/>
  <c r="DW47" i="17" a="1"/>
  <c r="DW47" i="17"/>
  <c r="DW48" i="17" a="1"/>
  <c r="DW48" i="17"/>
  <c r="DW49" i="17" a="1"/>
  <c r="DW49" i="17"/>
  <c r="DW50" i="17" a="1"/>
  <c r="DW50" i="17"/>
  <c r="DW51" i="17" a="1"/>
  <c r="DW51" i="17"/>
  <c r="DW52" i="17" a="1"/>
  <c r="DW52" i="17"/>
  <c r="DW53" i="17" a="1"/>
  <c r="DW53" i="17"/>
  <c r="DW54" i="17" a="1"/>
  <c r="DW54" i="17"/>
  <c r="DW55" i="17" a="1"/>
  <c r="DW55" i="17"/>
  <c r="DW56" i="17" a="1"/>
  <c r="DW56" i="17"/>
  <c r="DW57" i="17" a="1"/>
  <c r="DW57" i="17"/>
  <c r="DW58" i="17" a="1"/>
  <c r="DW58" i="17"/>
  <c r="DW59" i="17" a="1"/>
  <c r="DW59" i="17"/>
  <c r="DW60" i="17" a="1"/>
  <c r="DW60" i="17"/>
  <c r="DW61" i="17" a="1"/>
  <c r="DW61" i="17"/>
  <c r="DW62" i="17" a="1"/>
  <c r="DW62" i="17"/>
  <c r="DW63" i="17" a="1"/>
  <c r="DW63" i="17"/>
  <c r="DW64" i="17" a="1"/>
  <c r="DW64" i="17"/>
  <c r="DW65" i="17" a="1"/>
  <c r="DW65" i="17"/>
  <c r="DW66" i="17" a="1"/>
  <c r="DW66" i="17"/>
  <c r="DZ9" i="17" a="1"/>
  <c r="DZ9" i="17"/>
  <c r="DZ10" i="17" a="1"/>
  <c r="DZ10" i="17"/>
  <c r="DZ11" i="17" a="1"/>
  <c r="DZ11" i="17"/>
  <c r="DZ12" i="17" a="1"/>
  <c r="DZ12" i="17"/>
  <c r="DZ13" i="17" a="1"/>
  <c r="DZ13" i="17"/>
  <c r="DZ14" i="17" a="1"/>
  <c r="DZ14" i="17"/>
  <c r="DZ15" i="17" a="1"/>
  <c r="DZ15" i="17"/>
  <c r="DZ16" i="17" a="1"/>
  <c r="DZ16" i="17"/>
  <c r="DZ17" i="17" a="1"/>
  <c r="DZ17" i="17"/>
  <c r="DZ18" i="17" a="1"/>
  <c r="DZ18" i="17"/>
  <c r="DZ19" i="17" a="1"/>
  <c r="DZ19" i="17"/>
  <c r="DZ20" i="17" a="1"/>
  <c r="DZ20" i="17"/>
  <c r="DZ21" i="17" a="1"/>
  <c r="DZ21" i="17"/>
  <c r="DZ22" i="17" a="1"/>
  <c r="DZ22" i="17"/>
  <c r="DZ23" i="17" a="1"/>
  <c r="DZ23" i="17"/>
  <c r="DZ24" i="17" a="1"/>
  <c r="DZ24" i="17"/>
  <c r="DZ25" i="17" a="1"/>
  <c r="DZ25" i="17"/>
  <c r="DZ26" i="17" a="1"/>
  <c r="DZ26" i="17"/>
  <c r="DZ27" i="17" a="1"/>
  <c r="DZ27" i="17"/>
  <c r="DZ28" i="17" a="1"/>
  <c r="DZ28" i="17"/>
  <c r="DZ29" i="17" a="1"/>
  <c r="DZ29" i="17"/>
  <c r="DZ30" i="17" a="1"/>
  <c r="DZ30" i="17"/>
  <c r="DZ31" i="17" a="1"/>
  <c r="DZ31" i="17"/>
  <c r="DZ32" i="17" a="1"/>
  <c r="DZ32" i="17"/>
  <c r="DZ33" i="17" a="1"/>
  <c r="DZ33" i="17"/>
  <c r="DZ34" i="17" a="1"/>
  <c r="DZ34" i="17"/>
  <c r="DZ35" i="17" a="1"/>
  <c r="DZ35" i="17"/>
  <c r="DZ36" i="17" a="1"/>
  <c r="DZ36" i="17"/>
  <c r="DZ37" i="17" a="1"/>
  <c r="DZ37" i="17"/>
  <c r="DZ38" i="17" a="1"/>
  <c r="DZ38" i="17"/>
  <c r="DZ39" i="17" a="1"/>
  <c r="DZ39" i="17"/>
  <c r="DZ40" i="17" a="1"/>
  <c r="DZ40" i="17"/>
  <c r="DZ41" i="17" a="1"/>
  <c r="DZ41" i="17"/>
  <c r="DZ42" i="17" a="1"/>
  <c r="DZ42" i="17"/>
  <c r="DZ43" i="17" a="1"/>
  <c r="DZ43" i="17"/>
  <c r="DZ44" i="17" a="1"/>
  <c r="DZ44" i="17"/>
  <c r="DZ45" i="17" a="1"/>
  <c r="DZ45" i="17"/>
  <c r="DZ46" i="17" a="1"/>
  <c r="DZ46" i="17"/>
  <c r="DZ47" i="17" a="1"/>
  <c r="DZ47" i="17"/>
  <c r="DZ48" i="17" a="1"/>
  <c r="DZ48" i="17"/>
  <c r="DZ49" i="17" a="1"/>
  <c r="DZ49" i="17"/>
  <c r="DZ50" i="17" a="1"/>
  <c r="DZ50" i="17"/>
  <c r="DZ51" i="17" a="1"/>
  <c r="DZ51" i="17"/>
  <c r="DZ52" i="17" a="1"/>
  <c r="DZ52" i="17"/>
  <c r="DZ53" i="17" a="1"/>
  <c r="DZ53" i="17"/>
  <c r="DZ54" i="17" a="1"/>
  <c r="DZ54" i="17"/>
  <c r="DZ55" i="17" a="1"/>
  <c r="DZ55" i="17"/>
  <c r="DZ56" i="17" a="1"/>
  <c r="DZ56" i="17"/>
  <c r="DZ57" i="17" a="1"/>
  <c r="DZ57" i="17"/>
  <c r="DZ58" i="17" a="1"/>
  <c r="DZ58" i="17"/>
  <c r="DZ59" i="17" a="1"/>
  <c r="DZ59" i="17"/>
  <c r="DZ60" i="17" a="1"/>
  <c r="DZ60" i="17"/>
  <c r="DZ61" i="17" a="1"/>
  <c r="DZ61" i="17"/>
  <c r="DZ62" i="17" a="1"/>
  <c r="DZ62" i="17"/>
  <c r="DZ63" i="17" a="1"/>
  <c r="DZ63" i="17"/>
  <c r="DZ64" i="17" a="1"/>
  <c r="DZ64" i="17"/>
  <c r="DZ65" i="17" a="1"/>
  <c r="DZ65" i="17"/>
  <c r="DZ66" i="17" a="1"/>
  <c r="DZ66" i="17"/>
  <c r="EB24" i="17" a="1"/>
  <c r="EB24" i="17"/>
  <c r="EB25" i="17" a="1"/>
  <c r="EB25" i="17"/>
  <c r="EB26" i="17" a="1"/>
  <c r="EB26" i="17"/>
  <c r="EB27" i="17" a="1"/>
  <c r="EB27" i="17"/>
  <c r="EB28" i="17" a="1"/>
  <c r="EB28" i="17"/>
  <c r="EB29" i="17" a="1"/>
  <c r="EB29" i="17"/>
  <c r="EB30" i="17" a="1"/>
  <c r="EB30" i="17"/>
  <c r="EB31" i="17" a="1"/>
  <c r="EB31" i="17"/>
  <c r="EB32" i="17" a="1"/>
  <c r="EB32" i="17"/>
  <c r="EB33" i="17" a="1"/>
  <c r="EB33" i="17"/>
  <c r="EB34" i="17" a="1"/>
  <c r="EB34" i="17"/>
  <c r="EB35" i="17" a="1"/>
  <c r="EB35" i="17"/>
  <c r="EB36" i="17" a="1"/>
  <c r="EB36" i="17"/>
  <c r="EB37" i="17" a="1"/>
  <c r="EB37" i="17"/>
  <c r="EB38" i="17" a="1"/>
  <c r="EB38" i="17"/>
  <c r="EB39" i="17" a="1"/>
  <c r="EB39" i="17"/>
  <c r="EB40" i="17" a="1"/>
  <c r="EB40" i="17"/>
  <c r="EB41" i="17" a="1"/>
  <c r="EB41" i="17"/>
  <c r="EB42" i="17" a="1"/>
  <c r="EB42" i="17"/>
  <c r="EB43" i="17" a="1"/>
  <c r="EB43" i="17"/>
  <c r="EB44" i="17" a="1"/>
  <c r="EB44" i="17"/>
  <c r="EB45" i="17" a="1"/>
  <c r="EB45" i="17"/>
  <c r="EB46" i="17" a="1"/>
  <c r="EB46" i="17"/>
  <c r="EB47" i="17" a="1"/>
  <c r="EB47" i="17"/>
  <c r="EB48" i="17" a="1"/>
  <c r="EB48" i="17"/>
  <c r="EB49" i="17" a="1"/>
  <c r="EB49" i="17"/>
  <c r="EB50" i="17" a="1"/>
  <c r="EB50" i="17"/>
  <c r="EB51" i="17" a="1"/>
  <c r="EB51" i="17"/>
  <c r="EB52" i="17" a="1"/>
  <c r="EB52" i="17"/>
  <c r="EB53" i="17" a="1"/>
  <c r="EB53" i="17"/>
  <c r="EB54" i="17" a="1"/>
  <c r="EB54" i="17"/>
  <c r="EB55" i="17" a="1"/>
  <c r="EB55" i="17"/>
  <c r="EB56" i="17" a="1"/>
  <c r="EB56" i="17"/>
  <c r="EB57" i="17" a="1"/>
  <c r="EB57" i="17"/>
  <c r="EB58" i="17" a="1"/>
  <c r="EB58" i="17"/>
  <c r="EB59" i="17" a="1"/>
  <c r="EB59" i="17"/>
  <c r="EB60" i="17" a="1"/>
  <c r="EB60" i="17"/>
  <c r="EB61" i="17" a="1"/>
  <c r="EB61" i="17"/>
  <c r="EB62" i="17" a="1"/>
  <c r="EB62" i="17"/>
  <c r="EB63" i="17" a="1"/>
  <c r="EB63" i="17"/>
  <c r="EB64" i="17" a="1"/>
  <c r="EB64" i="17"/>
  <c r="EB65" i="17" a="1"/>
  <c r="EB65" i="17"/>
  <c r="EB66" i="17" a="1"/>
  <c r="EB66" i="17"/>
  <c r="ED24" i="17" a="1"/>
  <c r="ED24" i="17"/>
  <c r="ED25" i="17" a="1"/>
  <c r="ED25" i="17"/>
  <c r="ED26" i="17" a="1"/>
  <c r="ED26" i="17"/>
  <c r="ED27" i="17" a="1"/>
  <c r="ED27" i="17"/>
  <c r="ED28" i="17" a="1"/>
  <c r="ED28" i="17"/>
  <c r="ED29" i="17" a="1"/>
  <c r="ED29" i="17"/>
  <c r="ED30" i="17" a="1"/>
  <c r="ED30" i="17"/>
  <c r="ED31" i="17" a="1"/>
  <c r="ED31" i="17"/>
  <c r="ED32" i="17" a="1"/>
  <c r="ED32" i="17"/>
  <c r="ED33" i="17" a="1"/>
  <c r="ED33" i="17"/>
  <c r="ED34" i="17" a="1"/>
  <c r="ED34" i="17"/>
  <c r="ED35" i="17" a="1"/>
  <c r="ED35" i="17"/>
  <c r="ED36" i="17" a="1"/>
  <c r="ED36" i="17"/>
  <c r="ED37" i="17" a="1"/>
  <c r="ED37" i="17"/>
  <c r="ED38" i="17" a="1"/>
  <c r="ED38" i="17"/>
  <c r="ED39" i="17" a="1"/>
  <c r="ED39" i="17"/>
  <c r="ED40" i="17" a="1"/>
  <c r="ED40" i="17"/>
  <c r="ED41" i="17" a="1"/>
  <c r="ED41" i="17"/>
  <c r="ED42" i="17" a="1"/>
  <c r="ED42" i="17"/>
  <c r="ED43" i="17" a="1"/>
  <c r="ED43" i="17"/>
  <c r="ED44" i="17" a="1"/>
  <c r="ED44" i="17"/>
  <c r="ED45" i="17" a="1"/>
  <c r="ED45" i="17"/>
  <c r="ED46" i="17" a="1"/>
  <c r="ED46" i="17"/>
  <c r="ED47" i="17" a="1"/>
  <c r="ED47" i="17"/>
  <c r="ED48" i="17" a="1"/>
  <c r="ED48" i="17"/>
  <c r="ED49" i="17" a="1"/>
  <c r="ED49" i="17"/>
  <c r="ED50" i="17" a="1"/>
  <c r="ED50" i="17"/>
  <c r="ED51" i="17" a="1"/>
  <c r="ED51" i="17"/>
  <c r="ED52" i="17" a="1"/>
  <c r="ED52" i="17"/>
  <c r="ED53" i="17" a="1"/>
  <c r="ED53" i="17"/>
  <c r="ED54" i="17" a="1"/>
  <c r="ED54" i="17"/>
  <c r="ED55" i="17" a="1"/>
  <c r="ED55" i="17"/>
  <c r="ED56" i="17" a="1"/>
  <c r="ED56" i="17"/>
  <c r="ED57" i="17" a="1"/>
  <c r="ED57" i="17"/>
  <c r="ED58" i="17" a="1"/>
  <c r="ED58" i="17"/>
  <c r="ED59" i="17" a="1"/>
  <c r="ED59" i="17"/>
  <c r="ED60" i="17" a="1"/>
  <c r="ED60" i="17"/>
  <c r="ED61" i="17" a="1"/>
  <c r="ED61" i="17"/>
  <c r="ED62" i="17" a="1"/>
  <c r="ED62" i="17"/>
  <c r="ED63" i="17" a="1"/>
  <c r="ED63" i="17"/>
  <c r="ED64" i="17" a="1"/>
  <c r="ED64" i="17"/>
  <c r="ED65" i="17" a="1"/>
  <c r="ED65" i="17"/>
  <c r="ED66" i="17" a="1"/>
  <c r="ED66" i="17"/>
  <c r="EG9" i="17" a="1"/>
  <c r="EG9" i="17"/>
  <c r="EG10" i="17" a="1"/>
  <c r="EG10" i="17"/>
  <c r="EG11" i="17" a="1"/>
  <c r="EG11" i="17"/>
  <c r="EG12" i="17" a="1"/>
  <c r="EG12" i="17"/>
  <c r="EG13" i="17" a="1"/>
  <c r="EG13" i="17"/>
  <c r="EG14" i="17" a="1"/>
  <c r="EG14" i="17"/>
  <c r="EG15" i="17" a="1"/>
  <c r="EG15" i="17"/>
  <c r="EG16" i="17" a="1"/>
  <c r="EG16" i="17"/>
  <c r="EG17" i="17" a="1"/>
  <c r="EG17" i="17"/>
  <c r="EG18" i="17" a="1"/>
  <c r="EG18" i="17"/>
  <c r="EG19" i="17" a="1"/>
  <c r="EG19" i="17"/>
  <c r="EG20" i="17" a="1"/>
  <c r="EG20" i="17"/>
  <c r="EG21" i="17" a="1"/>
  <c r="EG21" i="17"/>
  <c r="EG22" i="17" a="1"/>
  <c r="EG22" i="17"/>
  <c r="EG23" i="17" a="1"/>
  <c r="EG23" i="17"/>
  <c r="EG24" i="17" a="1"/>
  <c r="EG24" i="17"/>
  <c r="EG25" i="17" a="1"/>
  <c r="EG25" i="17"/>
  <c r="EG26" i="17" a="1"/>
  <c r="EG26" i="17"/>
  <c r="EG27" i="17" a="1"/>
  <c r="EG27" i="17"/>
  <c r="EG28" i="17" a="1"/>
  <c r="EG28" i="17"/>
  <c r="EG29" i="17" a="1"/>
  <c r="EG29" i="17"/>
  <c r="EG30" i="17" a="1"/>
  <c r="EG30" i="17"/>
  <c r="EG31" i="17" a="1"/>
  <c r="EG31" i="17"/>
  <c r="EG32" i="17" a="1"/>
  <c r="EG32" i="17"/>
  <c r="EG33" i="17" a="1"/>
  <c r="EG33" i="17"/>
  <c r="EG34" i="17" a="1"/>
  <c r="EG34" i="17"/>
  <c r="EG35" i="17" a="1"/>
  <c r="EG35" i="17"/>
  <c r="EG36" i="17" a="1"/>
  <c r="EG36" i="17"/>
  <c r="EG37" i="17" a="1"/>
  <c r="EG37" i="17"/>
  <c r="EG38" i="17" a="1"/>
  <c r="EG38" i="17"/>
  <c r="EG39" i="17" a="1"/>
  <c r="EG39" i="17"/>
  <c r="EG40" i="17" a="1"/>
  <c r="EG40" i="17"/>
  <c r="EG41" i="17" a="1"/>
  <c r="EG41" i="17"/>
  <c r="EG42" i="17" a="1"/>
  <c r="EG42" i="17"/>
  <c r="EG43" i="17" a="1"/>
  <c r="EG43" i="17"/>
  <c r="EG44" i="17" a="1"/>
  <c r="EG44" i="17"/>
  <c r="EG45" i="17" a="1"/>
  <c r="EG45" i="17"/>
  <c r="EG46" i="17" a="1"/>
  <c r="EG46" i="17"/>
  <c r="EG47" i="17" a="1"/>
  <c r="EG47" i="17"/>
  <c r="EG48" i="17" a="1"/>
  <c r="EG48" i="17"/>
  <c r="EG49" i="17" a="1"/>
  <c r="EG49" i="17"/>
  <c r="EG50" i="17" a="1"/>
  <c r="EG50" i="17"/>
  <c r="EG51" i="17" a="1"/>
  <c r="EG51" i="17"/>
  <c r="EG52" i="17" a="1"/>
  <c r="EG52" i="17"/>
  <c r="EG53" i="17" a="1"/>
  <c r="EG53" i="17"/>
  <c r="EG54" i="17" a="1"/>
  <c r="EG54" i="17"/>
  <c r="EG55" i="17" a="1"/>
  <c r="EG55" i="17"/>
  <c r="EG56" i="17" a="1"/>
  <c r="EG56" i="17"/>
  <c r="EG57" i="17" a="1"/>
  <c r="EG57" i="17"/>
  <c r="EG58" i="17" a="1"/>
  <c r="EG58" i="17"/>
  <c r="EG59" i="17" a="1"/>
  <c r="EG59" i="17"/>
  <c r="EG60" i="17" a="1"/>
  <c r="EG60" i="17"/>
  <c r="EG61" i="17" a="1"/>
  <c r="EG61" i="17"/>
  <c r="EG62" i="17" a="1"/>
  <c r="EG62" i="17"/>
  <c r="EG63" i="17" a="1"/>
  <c r="EG63" i="17"/>
  <c r="EG64" i="17" a="1"/>
  <c r="EG64" i="17"/>
  <c r="EG65" i="17" a="1"/>
  <c r="EG65" i="17"/>
  <c r="EG66" i="17" a="1"/>
  <c r="EG66" i="17"/>
  <c r="EI24" i="17" a="1"/>
  <c r="EI24" i="17"/>
  <c r="EI25" i="17" a="1"/>
  <c r="EI25" i="17"/>
  <c r="EI26" i="17" a="1"/>
  <c r="EI26" i="17"/>
  <c r="EI27" i="17" a="1"/>
  <c r="EI27" i="17"/>
  <c r="EI28" i="17" a="1"/>
  <c r="EI28" i="17"/>
  <c r="EI29" i="17" a="1"/>
  <c r="EI29" i="17"/>
  <c r="EI30" i="17" a="1"/>
  <c r="EI30" i="17"/>
  <c r="EI31" i="17" a="1"/>
  <c r="EI31" i="17"/>
  <c r="EI32" i="17" a="1"/>
  <c r="EI32" i="17"/>
  <c r="EI33" i="17" a="1"/>
  <c r="EI33" i="17"/>
  <c r="EI34" i="17" a="1"/>
  <c r="EI34" i="17"/>
  <c r="EI35" i="17" a="1"/>
  <c r="EI35" i="17"/>
  <c r="EI36" i="17" a="1"/>
  <c r="EI36" i="17"/>
  <c r="EI37" i="17" a="1"/>
  <c r="EI37" i="17"/>
  <c r="EI38" i="17" a="1"/>
  <c r="EI38" i="17"/>
  <c r="EI39" i="17" a="1"/>
  <c r="EI39" i="17"/>
  <c r="EI40" i="17" a="1"/>
  <c r="EI40" i="17"/>
  <c r="EI41" i="17" a="1"/>
  <c r="EI41" i="17"/>
  <c r="EI42" i="17" a="1"/>
  <c r="EI42" i="17"/>
  <c r="EI43" i="17" a="1"/>
  <c r="EI43" i="17"/>
  <c r="EI44" i="17" a="1"/>
  <c r="EI44" i="17"/>
  <c r="EI45" i="17" a="1"/>
  <c r="EI45" i="17"/>
  <c r="EI46" i="17" a="1"/>
  <c r="EI46" i="17"/>
  <c r="EI47" i="17" a="1"/>
  <c r="EI47" i="17"/>
  <c r="EI48" i="17" a="1"/>
  <c r="EI48" i="17"/>
  <c r="EI49" i="17" a="1"/>
  <c r="EI49" i="17"/>
  <c r="EI50" i="17" a="1"/>
  <c r="EI50" i="17"/>
  <c r="EI51" i="17" a="1"/>
  <c r="EI51" i="17"/>
  <c r="EI52" i="17" a="1"/>
  <c r="EI52" i="17"/>
  <c r="EI53" i="17" a="1"/>
  <c r="EI53" i="17"/>
  <c r="EI54" i="17" a="1"/>
  <c r="EI54" i="17"/>
  <c r="EI55" i="17" a="1"/>
  <c r="EI55" i="17"/>
  <c r="EI56" i="17" a="1"/>
  <c r="EI56" i="17"/>
  <c r="EI57" i="17" a="1"/>
  <c r="EI57" i="17"/>
  <c r="EI58" i="17" a="1"/>
  <c r="EI58" i="17"/>
  <c r="EI59" i="17" a="1"/>
  <c r="EI59" i="17"/>
  <c r="EI60" i="17" a="1"/>
  <c r="EI60" i="17"/>
  <c r="EI61" i="17" a="1"/>
  <c r="EI61" i="17"/>
  <c r="EI62" i="17" a="1"/>
  <c r="EI62" i="17"/>
  <c r="EI63" i="17" a="1"/>
  <c r="EI63" i="17"/>
  <c r="EI64" i="17" a="1"/>
  <c r="EI64" i="17"/>
  <c r="EI65" i="17" a="1"/>
  <c r="EI65" i="17"/>
  <c r="EI66" i="17" a="1"/>
  <c r="EI66" i="17"/>
  <c r="EK24" i="17" a="1"/>
  <c r="EK24" i="17"/>
  <c r="EK25" i="17" a="1"/>
  <c r="EK25" i="17"/>
  <c r="EK26" i="17" a="1"/>
  <c r="EK26" i="17"/>
  <c r="EK27" i="17" a="1"/>
  <c r="EK27" i="17"/>
  <c r="EK28" i="17" a="1"/>
  <c r="EK28" i="17"/>
  <c r="EK29" i="17" a="1"/>
  <c r="EK29" i="17"/>
  <c r="EK30" i="17" a="1"/>
  <c r="EK30" i="17"/>
  <c r="EK31" i="17" a="1"/>
  <c r="EK31" i="17"/>
  <c r="EK32" i="17" a="1"/>
  <c r="EK32" i="17"/>
  <c r="EK33" i="17" a="1"/>
  <c r="EK33" i="17"/>
  <c r="EK34" i="17" a="1"/>
  <c r="EK34" i="17"/>
  <c r="EK35" i="17" a="1"/>
  <c r="EK35" i="17"/>
  <c r="EK36" i="17" a="1"/>
  <c r="EK36" i="17"/>
  <c r="EK37" i="17" a="1"/>
  <c r="EK37" i="17"/>
  <c r="EK38" i="17" a="1"/>
  <c r="EK38" i="17"/>
  <c r="EK39" i="17" a="1"/>
  <c r="EK39" i="17"/>
  <c r="EK40" i="17" a="1"/>
  <c r="EK40" i="17"/>
  <c r="EK41" i="17" a="1"/>
  <c r="EK41" i="17"/>
  <c r="EK42" i="17" a="1"/>
  <c r="EK42" i="17"/>
  <c r="EK43" i="17" a="1"/>
  <c r="EK43" i="17"/>
  <c r="EK44" i="17" a="1"/>
  <c r="EK44" i="17"/>
  <c r="EK45" i="17" a="1"/>
  <c r="EK45" i="17"/>
  <c r="EK46" i="17" a="1"/>
  <c r="EK46" i="17"/>
  <c r="EK47" i="17" a="1"/>
  <c r="EK47" i="17"/>
  <c r="EK48" i="17" a="1"/>
  <c r="EK48" i="17"/>
  <c r="EK49" i="17" a="1"/>
  <c r="EK49" i="17"/>
  <c r="EK50" i="17" a="1"/>
  <c r="EK50" i="17"/>
  <c r="EK51" i="17" a="1"/>
  <c r="EK51" i="17"/>
  <c r="EK52" i="17" a="1"/>
  <c r="EK52" i="17"/>
  <c r="EK53" i="17" a="1"/>
  <c r="EK53" i="17"/>
  <c r="EK54" i="17" a="1"/>
  <c r="EK54" i="17"/>
  <c r="EK55" i="17" a="1"/>
  <c r="EK55" i="17"/>
  <c r="EK56" i="17" a="1"/>
  <c r="EK56" i="17"/>
  <c r="EK57" i="17" a="1"/>
  <c r="EK57" i="17"/>
  <c r="EK58" i="17" a="1"/>
  <c r="EK58" i="17"/>
  <c r="EK59" i="17" a="1"/>
  <c r="EK59" i="17"/>
  <c r="EK60" i="17" a="1"/>
  <c r="EK60" i="17"/>
  <c r="EK61" i="17" a="1"/>
  <c r="EK61" i="17"/>
  <c r="EK62" i="17" a="1"/>
  <c r="EK62" i="17"/>
  <c r="EK63" i="17" a="1"/>
  <c r="EK63" i="17"/>
  <c r="EK64" i="17" a="1"/>
  <c r="EK64" i="17"/>
  <c r="EK65" i="17" a="1"/>
  <c r="EK65" i="17"/>
  <c r="EK66" i="17" a="1"/>
  <c r="EK66" i="17"/>
  <c r="F6" i="17" a="1"/>
  <c r="F6" i="17"/>
  <c r="H6" i="17" a="1"/>
  <c r="H6" i="17"/>
  <c r="F7" i="17" a="1"/>
  <c r="F7" i="17"/>
  <c r="H7" i="17" a="1"/>
  <c r="H7" i="17"/>
  <c r="F8" i="17" a="1"/>
  <c r="F8" i="17"/>
  <c r="H8" i="17" a="1"/>
  <c r="H8" i="17"/>
  <c r="F9" i="17" a="1"/>
  <c r="F9" i="17"/>
  <c r="H9" i="17" a="1"/>
  <c r="H9" i="17"/>
  <c r="F10" i="17" a="1"/>
  <c r="F10" i="17"/>
  <c r="H10" i="17" a="1"/>
  <c r="H10" i="17"/>
  <c r="F11" i="17" a="1"/>
  <c r="F11" i="17"/>
  <c r="H11" i="17" a="1"/>
  <c r="H11" i="17"/>
  <c r="F12" i="17" a="1"/>
  <c r="F12" i="17"/>
  <c r="H12" i="17" a="1"/>
  <c r="H12" i="17"/>
  <c r="F13" i="17" a="1"/>
  <c r="F13" i="17"/>
  <c r="H13" i="17" a="1"/>
  <c r="H13" i="17"/>
  <c r="F14" i="17" a="1"/>
  <c r="F14" i="17"/>
  <c r="H14" i="17" a="1"/>
  <c r="H14" i="17"/>
  <c r="F15" i="17" a="1"/>
  <c r="F15" i="17"/>
  <c r="H15" i="17" a="1"/>
  <c r="H15" i="17"/>
  <c r="F16" i="17" a="1"/>
  <c r="F16" i="17"/>
  <c r="H16" i="17" a="1"/>
  <c r="H16" i="17"/>
  <c r="F17" i="17" a="1"/>
  <c r="F17" i="17"/>
  <c r="H17" i="17" a="1"/>
  <c r="H17" i="17"/>
  <c r="F18" i="17" a="1"/>
  <c r="F18" i="17"/>
  <c r="H18" i="17" a="1"/>
  <c r="H18" i="17"/>
  <c r="F19" i="17" a="1"/>
  <c r="F19" i="17"/>
  <c r="H19" i="17" a="1"/>
  <c r="H19" i="17"/>
  <c r="F20" i="17" a="1"/>
  <c r="F20" i="17"/>
  <c r="H20" i="17" a="1"/>
  <c r="H20" i="17"/>
  <c r="F21" i="17" a="1"/>
  <c r="F21" i="17"/>
  <c r="H21" i="17" a="1"/>
  <c r="H21" i="17"/>
  <c r="F22" i="17" a="1"/>
  <c r="F22" i="17"/>
  <c r="H22" i="17" a="1"/>
  <c r="H22" i="17"/>
  <c r="H23" i="17" a="1"/>
  <c r="H23" i="17"/>
  <c r="F23" i="17" a="1"/>
  <c r="F23" i="17"/>
  <c r="F24" i="17" a="1"/>
  <c r="F24" i="17"/>
  <c r="H24" i="17" a="1"/>
  <c r="H24" i="17"/>
  <c r="F25" i="17" a="1"/>
  <c r="F25" i="17"/>
  <c r="H25" i="17" a="1"/>
  <c r="H25" i="17"/>
  <c r="F26" i="17" a="1"/>
  <c r="F26" i="17"/>
  <c r="F27" i="17" a="1"/>
  <c r="F27" i="17"/>
  <c r="F28" i="17" a="1"/>
  <c r="F28" i="17"/>
  <c r="F29" i="17" a="1"/>
  <c r="F29" i="17"/>
  <c r="F30" i="17" a="1"/>
  <c r="F30" i="17"/>
  <c r="F31" i="17" a="1"/>
  <c r="F31" i="17"/>
  <c r="F32" i="17" a="1"/>
  <c r="F32" i="17"/>
  <c r="F33" i="17" a="1"/>
  <c r="F33" i="17"/>
  <c r="F34" i="17" a="1"/>
  <c r="F34" i="17"/>
  <c r="F35" i="17" a="1"/>
  <c r="F35" i="17"/>
  <c r="F36" i="17" a="1"/>
  <c r="F36" i="17"/>
  <c r="F37" i="17" a="1"/>
  <c r="F37" i="17"/>
  <c r="F38" i="17" a="1"/>
  <c r="F38" i="17"/>
  <c r="F39" i="17" a="1"/>
  <c r="F39" i="17"/>
  <c r="F40" i="17" a="1"/>
  <c r="F40" i="17"/>
  <c r="F41" i="17" a="1"/>
  <c r="F41" i="17"/>
  <c r="F42" i="17" a="1"/>
  <c r="F42" i="17"/>
  <c r="F43" i="17" a="1"/>
  <c r="F43" i="17"/>
  <c r="F44" i="17" a="1"/>
  <c r="F44" i="17"/>
  <c r="F45" i="17" a="1"/>
  <c r="F45" i="17"/>
  <c r="F46" i="17" a="1"/>
  <c r="F46" i="17"/>
  <c r="F47" i="17" a="1"/>
  <c r="F47" i="17"/>
  <c r="F48" i="17" a="1"/>
  <c r="F48" i="17"/>
  <c r="F49" i="17" a="1"/>
  <c r="F49" i="17"/>
  <c r="F50" i="17" a="1"/>
  <c r="F50" i="17"/>
  <c r="F51" i="17" a="1"/>
  <c r="F51" i="17"/>
  <c r="F52" i="17" a="1"/>
  <c r="F52" i="17"/>
  <c r="F53" i="17" a="1"/>
  <c r="F53" i="17"/>
  <c r="F54" i="17" a="1"/>
  <c r="F54" i="17"/>
  <c r="F55" i="17" a="1"/>
  <c r="F55" i="17"/>
  <c r="F56" i="17" a="1"/>
  <c r="F56" i="17"/>
  <c r="F57" i="17" a="1"/>
  <c r="F57" i="17"/>
  <c r="F58" i="17" a="1"/>
  <c r="F58" i="17"/>
  <c r="F59" i="17" a="1"/>
  <c r="F59" i="17"/>
  <c r="F60" i="17" a="1"/>
  <c r="F60" i="17"/>
  <c r="F61" i="17" a="1"/>
  <c r="F61" i="17"/>
  <c r="F62" i="17" a="1"/>
  <c r="F62" i="17"/>
  <c r="F63" i="17" a="1"/>
  <c r="F63" i="17"/>
  <c r="F64" i="17" a="1"/>
  <c r="F64" i="17"/>
  <c r="F65" i="17" a="1"/>
  <c r="F65" i="17"/>
  <c r="F66" i="17" a="1"/>
  <c r="F66" i="17"/>
  <c r="H26" i="17" a="1"/>
  <c r="H26" i="17"/>
  <c r="H27" i="17" a="1"/>
  <c r="H27" i="17"/>
  <c r="H28" i="17" a="1"/>
  <c r="H28" i="17"/>
  <c r="H29" i="17" a="1"/>
  <c r="H29" i="17"/>
  <c r="H30" i="17" a="1"/>
  <c r="H30" i="17"/>
  <c r="H31" i="17" a="1"/>
  <c r="H31" i="17"/>
  <c r="H32" i="17" a="1"/>
  <c r="H32" i="17"/>
  <c r="H33" i="17" a="1"/>
  <c r="H33" i="17"/>
  <c r="H34" i="17" a="1"/>
  <c r="H34" i="17"/>
  <c r="H35" i="17" a="1"/>
  <c r="H35" i="17"/>
  <c r="H36" i="17" a="1"/>
  <c r="H36" i="17"/>
  <c r="H37" i="17" a="1"/>
  <c r="H37" i="17"/>
  <c r="H38" i="17" a="1"/>
  <c r="H38" i="17"/>
  <c r="H39" i="17" a="1"/>
  <c r="H39" i="17"/>
  <c r="H40" i="17" a="1"/>
  <c r="H40" i="17"/>
  <c r="H41" i="17" a="1"/>
  <c r="H41" i="17"/>
  <c r="H42" i="17" a="1"/>
  <c r="H42" i="17"/>
  <c r="H43" i="17" a="1"/>
  <c r="H43" i="17"/>
  <c r="H44" i="17" a="1"/>
  <c r="H44" i="17"/>
  <c r="H45" i="17" a="1"/>
  <c r="H45" i="17"/>
  <c r="H46" i="17" a="1"/>
  <c r="H46" i="17"/>
  <c r="H47" i="17" a="1"/>
  <c r="H47" i="17"/>
  <c r="H48" i="17" a="1"/>
  <c r="H48" i="17"/>
  <c r="H49" i="17" a="1"/>
  <c r="H49" i="17"/>
  <c r="H50" i="17" a="1"/>
  <c r="H50" i="17"/>
  <c r="H51" i="17" a="1"/>
  <c r="H51" i="17"/>
  <c r="H52" i="17" a="1"/>
  <c r="H52" i="17"/>
  <c r="H53" i="17" a="1"/>
  <c r="H53" i="17"/>
  <c r="H54" i="17" a="1"/>
  <c r="H54" i="17"/>
  <c r="H55" i="17" a="1"/>
  <c r="H55" i="17"/>
  <c r="H56" i="17" a="1"/>
  <c r="H56" i="17"/>
  <c r="H57" i="17" a="1"/>
  <c r="H57" i="17"/>
  <c r="H58" i="17" a="1"/>
  <c r="H58" i="17"/>
  <c r="H59" i="17" a="1"/>
  <c r="H59" i="17"/>
  <c r="H60" i="17" a="1"/>
  <c r="H60" i="17"/>
  <c r="H61" i="17" a="1"/>
  <c r="H61" i="17"/>
  <c r="H62" i="17" a="1"/>
  <c r="H62" i="17"/>
  <c r="H63" i="17" a="1"/>
  <c r="H63" i="17"/>
  <c r="H64" i="17" a="1"/>
  <c r="H64" i="17"/>
  <c r="H65" i="17" a="1"/>
  <c r="H65" i="17"/>
  <c r="H66" i="17" a="1"/>
  <c r="H66" i="17"/>
  <c r="D6" i="17" a="1"/>
  <c r="D6" i="17"/>
  <c r="D7" i="17" a="1"/>
  <c r="D7" i="17"/>
  <c r="D8" i="17" a="1"/>
  <c r="D8" i="17"/>
  <c r="D9" i="17" a="1"/>
  <c r="D9" i="17"/>
  <c r="D10" i="17" a="1"/>
  <c r="D10" i="17"/>
  <c r="D11" i="17" a="1"/>
  <c r="D11" i="17"/>
  <c r="D12" i="17" a="1"/>
  <c r="D12" i="17"/>
  <c r="D13" i="17" a="1"/>
  <c r="D13" i="17"/>
  <c r="D14" i="17" a="1"/>
  <c r="D14" i="17"/>
  <c r="D15" i="17" a="1"/>
  <c r="D15" i="17"/>
  <c r="D16" i="17" a="1"/>
  <c r="D16" i="17"/>
  <c r="D17" i="17" a="1"/>
  <c r="D17" i="17"/>
  <c r="D18" i="17" a="1"/>
  <c r="D18" i="17"/>
  <c r="D19" i="17" a="1"/>
  <c r="D19" i="17"/>
  <c r="D20" i="17" a="1"/>
  <c r="D20" i="17"/>
  <c r="D21" i="17" a="1"/>
  <c r="D21" i="17"/>
  <c r="D22" i="17" a="1"/>
  <c r="D22" i="17"/>
  <c r="D23" i="17" a="1"/>
  <c r="D23" i="17"/>
  <c r="D24" i="17" a="1"/>
  <c r="D24" i="17"/>
  <c r="D25" i="17" a="1"/>
  <c r="D25" i="17"/>
  <c r="D26" i="17" a="1"/>
  <c r="D26" i="17"/>
  <c r="D27" i="17" a="1"/>
  <c r="D27" i="17"/>
  <c r="D28" i="17" a="1"/>
  <c r="D28" i="17"/>
  <c r="D29" i="17" a="1"/>
  <c r="D29" i="17"/>
  <c r="D30" i="17" a="1"/>
  <c r="D30" i="17"/>
  <c r="D31" i="17" a="1"/>
  <c r="D31" i="17"/>
  <c r="D32" i="17" a="1"/>
  <c r="D32" i="17"/>
  <c r="D33" i="17" a="1"/>
  <c r="D33" i="17"/>
  <c r="D34" i="17" a="1"/>
  <c r="D34" i="17"/>
  <c r="D35" i="17" a="1"/>
  <c r="D35" i="17"/>
  <c r="D36" i="17" a="1"/>
  <c r="D36" i="17"/>
  <c r="D37" i="17" a="1"/>
  <c r="D37" i="17"/>
  <c r="D38" i="17" a="1"/>
  <c r="D38" i="17"/>
  <c r="D39" i="17" a="1"/>
  <c r="D39" i="17"/>
  <c r="D40" i="17" a="1"/>
  <c r="D40" i="17"/>
  <c r="D41" i="17" a="1"/>
  <c r="D41" i="17"/>
  <c r="D42" i="17" a="1"/>
  <c r="D42" i="17"/>
  <c r="D43" i="17" a="1"/>
  <c r="D43" i="17"/>
  <c r="D44" i="17" a="1"/>
  <c r="D44" i="17"/>
  <c r="D45" i="17" a="1"/>
  <c r="D45" i="17"/>
  <c r="D46" i="17" a="1"/>
  <c r="D46" i="17"/>
  <c r="D47" i="17" a="1"/>
  <c r="D47" i="17"/>
  <c r="D48" i="17" a="1"/>
  <c r="D48" i="17"/>
  <c r="D49" i="17" a="1"/>
  <c r="D49" i="17"/>
  <c r="D50" i="17" a="1"/>
  <c r="D50" i="17"/>
  <c r="D51" i="17" a="1"/>
  <c r="D51" i="17"/>
  <c r="D52" i="17" a="1"/>
  <c r="D52" i="17"/>
  <c r="D53" i="17" a="1"/>
  <c r="D53" i="17"/>
  <c r="D54" i="17" a="1"/>
  <c r="D54" i="17"/>
  <c r="D55" i="17" a="1"/>
  <c r="D55" i="17"/>
  <c r="D56" i="17" a="1"/>
  <c r="D56" i="17"/>
  <c r="D57" i="17" a="1"/>
  <c r="D57" i="17"/>
  <c r="D58" i="17" a="1"/>
  <c r="D58" i="17"/>
  <c r="D59" i="17" a="1"/>
  <c r="D59" i="17"/>
  <c r="D60" i="17" a="1"/>
  <c r="D60" i="17"/>
  <c r="D61" i="17" a="1"/>
  <c r="D61" i="17"/>
  <c r="D62" i="17" a="1"/>
  <c r="D62" i="17"/>
  <c r="D63" i="17" a="1"/>
  <c r="D63" i="17"/>
  <c r="D64" i="17" a="1"/>
  <c r="D64" i="17"/>
  <c r="D65" i="17" a="1"/>
  <c r="D65" i="17"/>
  <c r="D66" i="17" a="1"/>
  <c r="D66" i="17"/>
</calcChain>
</file>

<file path=xl/sharedStrings.xml><?xml version="1.0" encoding="utf-8"?>
<sst xmlns="http://schemas.openxmlformats.org/spreadsheetml/2006/main" count="1454" uniqueCount="824">
  <si>
    <t>Relevanz</t>
  </si>
  <si>
    <t>Attributsuche für</t>
  </si>
  <si>
    <t>Pricing Policy (A)</t>
  </si>
  <si>
    <t>Standardization (A)</t>
  </si>
  <si>
    <t>SLA regulation (A)</t>
  </si>
  <si>
    <t>Constraints (A)</t>
  </si>
  <si>
    <t>User interface (A)</t>
  </si>
  <si>
    <t>Terminology (A)</t>
  </si>
  <si>
    <t>Ecosystem (A)</t>
  </si>
  <si>
    <t>HelpRequirements (A)</t>
  </si>
  <si>
    <t>Role (A)</t>
  </si>
  <si>
    <t>Procurement Process (A)</t>
  </si>
  <si>
    <t>Legal conditions (A)</t>
  </si>
  <si>
    <t>Skill level (A)</t>
  </si>
  <si>
    <t>Cultural background (A)</t>
  </si>
  <si>
    <t>Support process (A)</t>
  </si>
  <si>
    <t>Standardization (I)</t>
  </si>
  <si>
    <t>Communication (I)</t>
  </si>
  <si>
    <t>Interfacing Mechanisms (I)</t>
  </si>
  <si>
    <t>Version (I)</t>
  </si>
  <si>
    <t>Service Interface (I)</t>
  </si>
  <si>
    <t>Data integrity (I)</t>
  </si>
  <si>
    <t>Autor</t>
  </si>
  <si>
    <t>Jahr</t>
  </si>
  <si>
    <t>Titel</t>
  </si>
  <si>
    <t>Journal / Konferenz</t>
  </si>
  <si>
    <t>Art der Hilfe</t>
  </si>
  <si>
    <t>Methode</t>
  </si>
  <si>
    <t>Werkzeug</t>
  </si>
  <si>
    <t>Empfehlung</t>
  </si>
  <si>
    <t>Kategorie</t>
  </si>
  <si>
    <t>Kompatibilität</t>
  </si>
  <si>
    <t>SLA Vereinbarung</t>
  </si>
  <si>
    <t>Ebene</t>
  </si>
  <si>
    <t>IaaS</t>
  </si>
  <si>
    <t>PaaS</t>
  </si>
  <si>
    <t>SaaS</t>
  </si>
  <si>
    <t>IaaS &amp; PaaS</t>
  </si>
  <si>
    <t>Schnittstelle</t>
  </si>
  <si>
    <t>Typen von Lösungen</t>
  </si>
  <si>
    <t>Zitierte Lösung</t>
  </si>
  <si>
    <t>Eucalyptus</t>
  </si>
  <si>
    <t>Open Virtualization Format</t>
  </si>
  <si>
    <t xml:space="preserve">Open Cloud Computing Interface </t>
  </si>
  <si>
    <t>OpenNebula</t>
  </si>
  <si>
    <t>Reservoir Project</t>
  </si>
  <si>
    <t>Nimbus</t>
  </si>
  <si>
    <t>Libcloud</t>
  </si>
  <si>
    <t>Delta-Cloud</t>
  </si>
  <si>
    <t>InterCloud</t>
  </si>
  <si>
    <t>OpenStack</t>
  </si>
  <si>
    <t>BonFire</t>
  </si>
  <si>
    <t>mOSAIC</t>
  </si>
  <si>
    <t>IBM Bluemix</t>
  </si>
  <si>
    <t xml:space="preserve">NIST Cloud Computing Reference Architecture </t>
  </si>
  <si>
    <t>GEYSERS</t>
  </si>
  <si>
    <t>GEANT</t>
  </si>
  <si>
    <t>MANTICHORE</t>
  </si>
  <si>
    <t>NOVI</t>
  </si>
  <si>
    <t>CLEVER</t>
  </si>
  <si>
    <t>Generelles</t>
  </si>
  <si>
    <t>#</t>
  </si>
  <si>
    <t>Akteur</t>
  </si>
  <si>
    <t>Interface</t>
  </si>
  <si>
    <t>x</t>
  </si>
  <si>
    <t>Chhetri</t>
  </si>
  <si>
    <t>Zangara</t>
  </si>
  <si>
    <t xml:space="preserve">Al-Hazmi </t>
  </si>
  <si>
    <t>Majda</t>
  </si>
  <si>
    <t>Allison</t>
  </si>
  <si>
    <t xml:space="preserve">Rekik </t>
  </si>
  <si>
    <t xml:space="preserve">Ludwig </t>
  </si>
  <si>
    <t xml:space="preserve">Bahrami </t>
  </si>
  <si>
    <t>Moscato</t>
  </si>
  <si>
    <t xml:space="preserve">Celesti </t>
  </si>
  <si>
    <t>Bochicchio</t>
  </si>
  <si>
    <t>El-Awadi</t>
  </si>
  <si>
    <t xml:space="preserve">Dastjerdi </t>
  </si>
  <si>
    <t>Abosi</t>
  </si>
  <si>
    <t xml:space="preserve">Gonidis </t>
  </si>
  <si>
    <t>Demchenko</t>
  </si>
  <si>
    <t xml:space="preserve">Bennani </t>
  </si>
  <si>
    <t>Ghafour</t>
  </si>
  <si>
    <t>Stefano</t>
  </si>
  <si>
    <t>International Conference on P2P, Parallel, Grid, Cloud and Internet Computing</t>
  </si>
  <si>
    <t>World Congress on Information and Communication Technologies</t>
  </si>
  <si>
    <t>International Conference on Computer Science &amp; Education</t>
  </si>
  <si>
    <t>International Joint Conference on Software Technologies</t>
  </si>
  <si>
    <t>International Conference on Service-Oriented Computing</t>
  </si>
  <si>
    <t>International Conference on E-health Networking, Application &amp; Services</t>
  </si>
  <si>
    <t>Federated Conference on Computer Science and Information Systems</t>
  </si>
  <si>
    <t>IEEE World Congress on Services</t>
  </si>
  <si>
    <t>International Symposium on Integrated Network Management and Workshops</t>
  </si>
  <si>
    <t>IEEE Transactions on Cloud Computing</t>
  </si>
  <si>
    <t xml:space="preserve">International Conference on Cloud Computing Technology and Science </t>
  </si>
  <si>
    <t>International Conference on Cloud Computing Technology and Science</t>
  </si>
  <si>
    <t>International Conference on Cloud Computing</t>
  </si>
  <si>
    <t>IEEE International Conference on Cloud Computing</t>
  </si>
  <si>
    <t xml:space="preserve">International Workshop on Enabling Technologies: Infrastructure for Collaborative Enterprises </t>
  </si>
  <si>
    <t xml:space="preserve">International Conference on Computer Communications and Networks </t>
  </si>
  <si>
    <t>Agent Enabled Adaptive Management of Cloud Service Provisioning</t>
  </si>
  <si>
    <t>A Cloud Federation Architecture</t>
  </si>
  <si>
    <t>A monitoring system for federated clouds</t>
  </si>
  <si>
    <t>Using cloud SaaS to ensure interoperability and standardization in heterogeneous Cloud based environment</t>
  </si>
  <si>
    <t>Towards interpreting models to orchestrate IaaS multi-cloud infrastructures</t>
  </si>
  <si>
    <t>Cloud description ontology for service discovery and selection</t>
  </si>
  <si>
    <t>rSLA: Monitoring SLAs in dynamic service environments</t>
  </si>
  <si>
    <t>A dynamic cloud computing platform for eHealth systems</t>
  </si>
  <si>
    <t>An analysis of mOSAIC ontology for Cloud resources annotation</t>
  </si>
  <si>
    <t>An Approach to Enable Cloud Service Providers to Arrange IaaS, PaaS, and Saas Using External Virtualization Infrastructures</t>
  </si>
  <si>
    <t>Cloud services for SMEs: Contract Management's requirements specification</t>
  </si>
  <si>
    <t>A Framework for Negotiating Service Level Agreement of Cloud-based Services</t>
  </si>
  <si>
    <t>Compatibility-aware cloud service composition under fuzzy preferences of users</t>
  </si>
  <si>
    <t>Service Oriented Resource Orchestration in Future Optical Networks</t>
  </si>
  <si>
    <t>Leveraging Platform Basic Services in Cloud Application Platforms for the Development of Cloud Applications</t>
  </si>
  <si>
    <t>Intercloud Architecture for interoperability and integration</t>
  </si>
  <si>
    <t>SLA-Guided Data Integration on Cloud Environments</t>
  </si>
  <si>
    <t>On-Demand Data Integration on the Cloud</t>
  </si>
  <si>
    <t>Scalable and Configurable Monitoring System for Cloud Environments</t>
  </si>
  <si>
    <t>Intercloud Architecture Framework for Heterogeneous Cloud Based Infrastructure Services Provisioning On-Demand</t>
  </si>
  <si>
    <t>International Conference on Advanced Information Networking and Applications Workshops</t>
  </si>
  <si>
    <t>▼</t>
  </si>
  <si>
    <t>Kein Bezug</t>
  </si>
  <si>
    <t>DaaS</t>
  </si>
  <si>
    <t>Alle Ebene</t>
  </si>
  <si>
    <t>-</t>
  </si>
  <si>
    <t>Notizen</t>
  </si>
  <si>
    <t>AISel</t>
  </si>
  <si>
    <t>Scopus</t>
  </si>
  <si>
    <t>IEEE Xplore</t>
  </si>
  <si>
    <t>Stichworte</t>
  </si>
  <si>
    <t>AISeL</t>
  </si>
  <si>
    <t>Gesamt</t>
  </si>
  <si>
    <t>Zusammenfassung</t>
  </si>
  <si>
    <t>Schlagwörter</t>
  </si>
  <si>
    <t>Abstract</t>
  </si>
  <si>
    <t>Begriffsgruppe 1 und 2 + ...</t>
  </si>
  <si>
    <t>Treffer*</t>
  </si>
  <si>
    <t>Relevant</t>
  </si>
  <si>
    <t>Anzahl</t>
  </si>
  <si>
    <t>Suchterm</t>
  </si>
  <si>
    <t>Treffer</t>
  </si>
  <si>
    <t>Pricing</t>
  </si>
  <si>
    <t>title:( "Heterogene*" OR "Homogene*" OR "Complex*" OR "Agil*" OR "Challenge*" ) AND title:( "ITSVN" OR "IT Service Value Networks" OR "ITSM" OR "IT Service*" OR "Service Value Network" OR "BSM" OR "IT Department" OR "Cloud*" OR "ITIL" ) AND title:( "Pric*" OR "Tariff"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</si>
  <si>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 "Pric*" OR "Tariff" )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</si>
  <si>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subject:( "Pric*" OR "Tariff" )</t>
  </si>
  <si>
    <t>(TITLE((Heterogene*) or (Homogene*) or (Complex*) or (Agil*) or (Divers*)) AND TITLE((ITSVN) or (IT Service Value Network) or (ITSM) or (IT Service*) or (BSM) or (Business Service Management)) AND TITLE((Pric*) or (Tariff)))</t>
  </si>
  <si>
    <t>(ABS((Heterogene*) or (Homogene*) or (Complex*) or (Agil*) or (Divers*)) AND ABS((ITSVN) or (IT Service Value Network) or (ITSM) or (IT Service*) or (BSM) or (Business Service Management)) AND ABS((Pric*) or (Tariff)))</t>
  </si>
  <si>
    <t>(KEY((Heterogene*) or (Homogene*) or (Complex*) or (Agil*) or (Divers*)) AND KEY((ITSVN) or (IT Service Value Network) or (ITSM) or (IT Service*) or (BSM) or (Business Service Management)) AND KEY((Pric*) or (Tariff)))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</si>
  <si>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 "Document Title":Pric* OR  "Document Title":Tariff)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</si>
  <si>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"Abstract":Pric* OR  "Abstract":Tariff)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</si>
  <si>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Terms":Pric* OR  "Index Terms":Tariff)</t>
  </si>
  <si>
    <t>•</t>
  </si>
  <si>
    <t>Standardization</t>
  </si>
  <si>
    <t>title:( "Heterogene*" OR "Homogene*" OR "Complex*" OR "Agil*" OR "Challenge*" ) AND title:( "ITSVN" OR "IT Service Value Networks" OR "ITSM" OR "IT Service*" OR "Service Value Network" OR "BSM" OR "IT Department" OR "Cloud*" OR "ITIL" ) AND title:"Standardisation~"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</si>
  <si>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abstract:"Standardisation~"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</si>
  <si>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subject:"Standardisation~"</t>
  </si>
  <si>
    <t>(Title((Heterogene*) or (Homogene*) or (Complex*) or (Agil*) or (Divers*)) AND TITLE((ITSVN) or (IT Service Value Network) or (ITSM) or (IT Service*) or (BSM) or (Business Service Management)) AND Title((Standardi*ation)))</t>
  </si>
  <si>
    <t>(ABS((Heterogene*) or (Homogene*) or (Complex*) or (Agil*) or (Divers*)) AND ABS((ITSVN) or (IT Service Value Network) or (ITSM) or (IT Service*) or (BSM) or (Business Service Management)) AND ABS((Standardi*ation)))</t>
  </si>
  <si>
    <t>(KEY((Heterogene*) or (Homogene*) or (Complex*) or (Agil*) or (Divers*)) AND KEY((ITSVN) or (IT Service Value Network) or (ITSM) or (IT Service*) or (BSM) or (Business Service Management)) AND KEY((Standardi*ation)))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</si>
  <si>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 "Document Title":Standardization OR "Document Title":Standardisation)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</si>
  <si>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"Abstract":Standardization OR "Abstract":Standardisation)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</si>
  <si>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Terms":Standardization OR Terms":Standardisation)</t>
  </si>
  <si>
    <t>SLA</t>
  </si>
  <si>
    <t>title:( "Heterogene*" OR "Homogene*" OR "Complex*" OR "Agil*" OR "Challenge*" ) AND title:( "ITSVN" OR "IT Service Value Networks" OR "ITSM" OR "IT Service*" OR "Service Value Network" OR "BSM" OR "IT Department" OR "Cloud*" OR "ITIL" ) AND title:( "SLA" OR "Service Level"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</si>
  <si>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 "SLA" OR "Service Level" )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</si>
  <si>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subject:( "SLA" OR "Service Level" )</t>
  </si>
  <si>
    <t>(Title((Heterogene*) or (Homogene*) or (Complex*) or (Agil*) or (Divers*)) AND TITLE((ITSVN) or (IT Service Value Network) or (ITSM) or (IT Service*) or (BSM) or (Business Service Management)) AND Title((SLA) OR (Service Level Agreement)))</t>
  </si>
  <si>
    <t>(ABS((Heterogene*) or (Homogene*) or (Complex*) or (Agil*) or (Divers*)) AND ABS((ITSVN) or (IT Service Value Network) or (ITSM) or (IT Service*) or (BSM) or (Business Service Management)) AND ABS((SLA) OR (Service Level Agreement)))</t>
  </si>
  <si>
    <t>(KEY((Heterogene*) or (Homogene*) or (Complex*) or (Agil*) or (Divers*)) AND KEY((ITSVN) or (IT Service Value Network) or (ITSM) or (IT Service*) or (BSM) or (Business Service Management)) AND KEY((SLA) OR (Service Level Agreement)))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</si>
  <si>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 AND ( "Document Title":SLA OR "Document Title":Service Level Agreement)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</si>
  <si>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"Abstract":SLA OR "Abstract":Service Level Agreement)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</si>
  <si>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Terms":SLA OR Terms":Service Level Agreement)</t>
  </si>
  <si>
    <t>Contraints</t>
  </si>
  <si>
    <t>title:( "Heterogene*" OR "Homogene*" OR "Complex*" OR "Agil*" OR "Challenge*" ) AND title:( "ITSVN" OR "IT Service Value Networks" OR "ITSM" OR "IT Service*" OR "Service Value Network" OR "BSM" OR "IT Department" OR "Cloud*" OR "ITIL" ) AND title:( "constraint*" OR "limitation*" OR "restriction*"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</si>
  <si>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 "constraint*" OR "limitation*" OR "restriction*" )</t>
  </si>
  <si>
    <t>(Title((Heterogene*) or (Homogene*) or (Complex*) or (Agil*) or (Divers*)) AND TITLE((ITSVN) or (IT Service Value Network) or (ITSM) or (IT Service*) or (BSM) or (Business Service Management)) AND Title((constraint*) OR (limitation*) OR (restriction*)))</t>
  </si>
  <si>
    <t>(ABS((Heterogene*) or (Homogene*) or (Complex*) or (Agil*) or (Divers*)) AND ABS((ITSVN) or (IT Service Value Network) or (ITSM) or (IT Service*) or (BSM) or (Business Service Management)) AND ABS((constraint*) OR (limitation*) OR (restriction*)))</t>
  </si>
  <si>
    <t>(KEY((Heterogene*) or (Homogene*) or (Complex*) or (Agil*) or (Divers*)) AND KEY((ITSVN) or (IT Service Value Network) or (ITSM) or (IT Service*) or (BSM) or (Business Service Management)) AND KEY((constraint*) OR (limitation*) OR (restriction*)))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</si>
  <si>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 "Document Title":constraint* OR "Document Title":limitation OR "Document Title":restriction*)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</si>
  <si>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"Abstract":constraint* OR "Abstract":limitation OR "Abstract":restriction*)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</si>
  <si>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Terms":constraint* OR "Index Terms":limitation OR "Index Terms":restriction*)</t>
  </si>
  <si>
    <t>User Interface</t>
  </si>
  <si>
    <t>title:( "Heterogene*" OR "Homogene*" OR "Complex*" OR "Agil*" OR "Challenge*" ) AND title:( "ITSVN" OR "IT Service Value Networks" OR "ITSM" OR "IT Service*" OR "Service Value Network" OR "BSM" OR "IT Department" OR "Cloud*" OR "ITIL" ) AND title:( user interface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</si>
  <si>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 user interface )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</si>
  <si>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subject:( user interface )</t>
  </si>
  <si>
    <t>(Title((Heterogene*) or (Homogene*) or (Complex*) or (Agil*) or (Divers*)) AND TITLE((ITSVN) or (IT Service Value Network) or (ITSM) or (IT Service*) or (BSM) or (Business Service Management)) AND Title((user interface)))</t>
  </si>
  <si>
    <t>(ABS((Heterogene*) or (Homogene*) or (Complex*) or (Agil*) or (Divers*)) AND ABS((ITSVN) or (IT Service Value Network) or (ITSM) or (IT Service*) or (BSM) or (Business Service Management)) AND ABS((user interface)))</t>
  </si>
  <si>
    <t>(Key((Heterogene*) or (Homogene*) or (Complex*) or (Agil*) or (Divers*)) AND key((ITSVN) or (IT Service Value Network) or (ITSM) or (IT Service*) or (BSM) or (Business Service Management)) AND key((user interface)))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</si>
  <si>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 "Document Title": user interface)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</si>
  <si>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"Abstract":user interface)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</si>
  <si>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Terms":user interface)</t>
  </si>
  <si>
    <t>Terminology</t>
  </si>
  <si>
    <t>title:( "Heterogene*" OR "Homogene*" OR "Complex*" OR "Agil*" OR "Challenge*" ) AND title:( "ITSVN" OR "IT Service Value Networks" OR "ITSM" OR "IT Service*" OR "Service Value Network" OR "BSM" OR "IT Department" OR "Cloud*" OR "ITIL" ) AND title:"terminology"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</si>
  <si>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abstract:"terminology"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</si>
  <si>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subject:"terminology"</t>
  </si>
  <si>
    <t>(Title((Heterogene*) or (Homogene*) or (Complex*) or (Agil*) or (Divers*)) AND TITLE((ITSVN) or (IT Service Value Network) or (ITSM) or (IT Service*) or (BSM) or (Business Service Management)) AND Title((terminology)))</t>
  </si>
  <si>
    <t>(ABS((Heterogene*) or (Homogene*) or (Complex*) or (Agil*) or (Divers*)) AND ABS((ITSVN) or (IT Service Value Network) or (ITSM) or (IT Service*) or (BSM) or (Business Service Management)) AND ABS((terminology)))</t>
  </si>
  <si>
    <t>(Key((Heterogene*) or (Homogene*) or (Complex*) or (Agil*) or (Divers*)) AND key((ITSVN) or (IT Service Value Network) or (ITSM) or (IT Service*) or (BSM) or (Business Service Management)) AND key((terminology)))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</si>
  <si>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Title":terminology)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</si>
  <si>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"Abstract":terminology)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</si>
  <si>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Terms":terminology)</t>
  </si>
  <si>
    <t>Ecosystem</t>
  </si>
  <si>
    <t>title:( "Heterogene*" OR "Homogene*" OR "Complex*" OR "Agil*" OR "Challenge*" ) AND title:( "ITSVN" OR "IT Service Value Networks" OR "ITSM" OR "IT Service*" OR "Service Value Network" OR "BSM" OR "IT Department" OR "Cloud*" OR "ITIL" ) AND title:"ecosystem"</t>
  </si>
  <si>
    <t>abstract:( "Heterogene*" OR "Homogene*" OR "Complex*" OR "Agil*" OR "Challenge*" ) AND abstract:( SVN" OR "IT Service Value Networks" OR "ITSM" OR "IT Service*" OR "Service Value Network" OR "BSM" OR "IT Department" OR "Cloud*" OR "ITIL" ) AND abstract:"ecosystem"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</si>
  <si>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subject:"ecosystem"</t>
  </si>
  <si>
    <t>(Title((Heterogene*) or (Homogene*) or (Complex*) or (Agil*) or (Divers*)) AND TITLE((ITSVN) or (IT Service Value Network) or (ITSM) or (IT Service*) or (BSM) or (Business Service Management)) AND Title((eco*)))</t>
  </si>
  <si>
    <t>(ABS((Heterogene*) or (Homogene*) or (Complex*) or (Agil*) or (Divers*)) AND ABS((ITSVN) or (IT Service Value Network) or (ITSM) or (IT Service*) or (BSM) or (Business Service Management)) AND ABS((eco*)))</t>
  </si>
  <si>
    <t>(Key((Heterogene*) or (Homogene*) or (Complex*) or (Agil*) or (Divers*)) AND key((ITSVN) or (IT Service Value Network) or (ITSM) or (IT Service*) or (BSM) or (Business Service Management)) AND key((eco*)))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</si>
  <si>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Title":eco*)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</si>
  <si>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"Abstract":eco*)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</si>
  <si>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Terms":eco*)</t>
  </si>
  <si>
    <t>Requirements</t>
  </si>
  <si>
    <t>title:( "Heterogene*" OR "Homogene*" OR "Complex*" OR "Agil*" OR "Challenge*" ) AND title:( "ITSVN" OR "IT Service Value Networks" OR "ITSM" OR "IT Service*" OR "Service Value Network" OR "BSM" OR "IT Department" OR "Cloud*" OR "ITIL" ) AND title:( "requirements" OR "requests" OR "standards" OR "demand*"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</si>
  <si>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 "requirements" OR "requests" OR "standards" OR "demand*" )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</si>
  <si>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subject:( "requirements" OR "requests" OR "standards" OR "demand*" )</t>
  </si>
  <si>
    <t xml:space="preserve">(Title((Heterogene*) or (Homogene*) or (Complex*) or (Agil*) or (Divers*)) AND TITLE((ITSVN) or (IT Service Value Network) or (ITSM) or (IT Service*) or (BSM) or (Business Service Management)) AND Title((requirements) OR (requests) OR (standards) OR (demand*))) </t>
  </si>
  <si>
    <t xml:space="preserve">(ABS((Heterogene*) or (Homogene*) or (Complex*) or (Agil*) or (Divers*)) AND ABS((ITSVN) or (IT Service Value Network) or (ITSM) or (IT Service*) or (BSM) or (Business Service Management)) AND ABS((requirements) OR (requests) OR (standards) OR (demand*))) </t>
  </si>
  <si>
    <t>(Key((Heterogene*) or (Homogene*) or (Complex*) or (Agil*) or (Divers*)) AND key((ITSVN) or (IT Service Value Network) or (ITSM) or (IT Service*) or (BSM) or (Business Service Management)) AND key((requirements) OR (requests) OR (standards) OR (demand*)))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</si>
  <si>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Title":requirement* OR "Document Title":requests OR "Document Title":standards OR "Document Title":demand*)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</si>
  <si>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"Abstract":requirement* OR "Abstract":standards OR "Abstract":require OR "Abstract":demand)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</si>
  <si>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Terms":requirement* OR "Index Terms":standards OR "Index Terms":require OR "Index Terms":demand )</t>
  </si>
  <si>
    <t>Role</t>
  </si>
  <si>
    <t>title:( "Heterogene*" OR "Homogene*" OR "Complex*" OR "Agil*" OR "Challenge*" ) AND title:( "ITSVN" OR "IT Service Value Networks" OR "ITSM" OR "IT Service*" OR "Service Value Network" OR "BSM" OR "IT Department" OR "Cloud*" OR "ITIL" ) AND title:"role"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</si>
  <si>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abstract:"role"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</si>
  <si>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subject:"role"</t>
  </si>
  <si>
    <t>(Title((Heterogene*) or (Homogene*) or (Complex*) or (Agil*) or (Divers*)) AND TITLE((ITSVN) or (IT Service Value Network) or (ITSM) or (IT Service*) or (BSM) or (Business Service Management)) AND Title(role))</t>
  </si>
  <si>
    <t xml:space="preserve">(ABS((Heterogene*) or (Homogene*) or (Complex*) or (Agil*) or (Divers*)) AND ABS((ITSVN) or (IT Service Value Network) or (ITSM) or (IT Service*) or (BSM) or (Business Service Management)) AND ABS(role)) </t>
  </si>
  <si>
    <t>(Key((Heterogene*) or (Homogene*) or (Complex*) or (Agil*) or (Divers*)) AND key((ITSVN) or (IT Service Value Network) or (ITSM) or (IT Service*) or (BSM) or (Business Service Management)) AND key(role))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</si>
  <si>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Title":role)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</si>
  <si>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("Abstract":role)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</si>
  <si>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Terms":role)</t>
  </si>
  <si>
    <t>Procurement process</t>
  </si>
  <si>
    <t>title:( "Heterogene*" OR "Homogene*" OR "Complex*" OR "Agil*" OR "Challenge*" ) AND title:( "ITSVN" OR "IT Service Value Networks" OR "ITSM" OR "IT Service*" OR "Service Value Network" OR "BSM" OR "IT Department" OR "Cloud*" OR "ITIL" ) AND title:( "Procurement process" OR "purchase* process"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</si>
  <si>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 "Procurement process" OR "Purchas* process" )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</si>
  <si>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subject:( "Procurement process" OR "Purchas* process" )</t>
  </si>
  <si>
    <t>(Title((Heterogene*) or (Homogene*) or (Complex*) or (Agil*) or (Divers*)) AND TITLE((ITSVN) or (IT Service Value Network) or (ITSM) or (IT Service*) or (BSM) or (Business Service Management)) AND Title((Procurement process) or (Purchas* process)))</t>
  </si>
  <si>
    <t>(ABS((Heterogene*) or (Homogene*) or (Complex*) or (Agil*) or (Divers*)) AND ABS((ITSVN) or (IT Service Value Network) or (ITSM) or (IT Service*) or (BSM) or (Business Service Management)) AND ABS((Procurement process) or (Purchas* process)))</t>
  </si>
  <si>
    <t>(Key((Heterogene*) or (Homogene*) or (Complex*) or (Agil*) or (Divers*)) AND key((ITSVN) or (IT Service Value Network) or (ITSM) or (IT Service*) or (BSM) or (Business Service Management)) AND key((Procurement process) or (Purchas* process)))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</si>
  <si>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Title":procurement process OR "Document Title":purchase* process)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</si>
  <si>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"Abstract":procurement process OR "Abstract":purchase* process)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</si>
  <si>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Terms":procurement process OR "Index Terms":purchase* process)</t>
  </si>
  <si>
    <t>Legal Frameworks</t>
  </si>
  <si>
    <t>title:( "Heterogene*" OR "Homogene*" OR "Complex*" OR "Agil*" OR "Challenge*" ) AND title:( "ITSVN" OR "IT Service Value Networks" OR "ITSM" OR "IT Service*" OR "Service Value Network" OR "BSM" OR "IT Department" OR "Cloud*" OR "ITIL" ) AND title:( legal framework OR legal condition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</si>
  <si>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abstract:("legal framework" OR "legal condition" )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</si>
  <si>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subject:( legal framework OR legal condition )</t>
  </si>
  <si>
    <t>(Title((Heterogene*) or (Homogene*) or (Complex*) or (Agil*) or (Divers*)) AND TITLE((ITSVN) or (IT Service Value Network) or (ITSM) or (IT Service*) or (BSM) or (Business Service Management)) AND Title((Legal framework) or (legal condition)))</t>
  </si>
  <si>
    <t>(ABS((Heterogene*) or (Homogene*) or (Complex*) or (Agil*) or (Divers*)) AND ABS((ITSVN) or (IT Service Value Network) or (ITSM) or (IT Service*) or (BSM) or (Business Service Management)) AND ABS((legal framework) or (legal condition)))</t>
  </si>
  <si>
    <t>(Key((Heterogene*) or (Homogene*) or (Complex*) or (Agil*) or (Divers*)) AND key((ITSVN) or (IT Service Value Network) or (ITSM) or (IT Service*) or (BSM) or (Business Service Management)) AND key((legal framework) or (legal condition)))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</si>
  <si>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Title":legal framework OR "Document Title":legal condition)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</si>
  <si>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"Abstract":legal frameworks OR "Abstract":legal conditions)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</si>
  <si>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Terms":legal framework OR "Index Terms":legal conditions)</t>
  </si>
  <si>
    <t>Skills</t>
  </si>
  <si>
    <t>title:( "Heterogene*" OR "Homogene*" OR "Complex*" OR "Agil*" OR "Challenge*" ) AND title:( "ITSVN" OR "IT Service Value Networks" OR "ITSM" OR "IT Service*" OR "Service Value Network" OR "BSM" OR "IT Department" OR "Cloud*" OR "ITIL" ) AND title:"skills"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</si>
  <si>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subject:"skills"</t>
  </si>
  <si>
    <t>(Title((Heterogene*) or (Homogene*) or (Complex*) or (Agil*) or (Divers*)) AND TITLE((ITSVN) or (IT Service Value Network) or (ITSM) or (IT Service*) or (BSM) or (Business Service Management)) AND Title(skills))</t>
  </si>
  <si>
    <t xml:space="preserve">(ABS((Heterogene*) or (Homogene*) or (Complex*) or (Agil*) or (Divers*)) AND ABS((ITSVN) or (IT Service Value Network) or (ITSM) or (IT Service*) or (BSM) or (Business Service Management)) AND ABS(skills)) </t>
  </si>
  <si>
    <t>(Key((Heterogene*) or (Homogene*) or (Complex*) or (Agil*) or (Divers*)) AND key((ITSVN) or (IT Service Value Network) or (ITSM) or (IT Service*) or (BSM) or (Business Service Management)) AND key(skills))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</si>
  <si>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("Abstract":skills)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</si>
  <si>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Terms":skills)</t>
  </si>
  <si>
    <t>Cultural backgrounds</t>
  </si>
  <si>
    <t>title:( "Heterogene*" OR "Homogene*" OR "Complex*" OR "Agil*" OR "Challenge*" ) AND title:( "ITSVN" OR "IT Service Value Networks" OR "ITSM" OR "IT Service*" OR "Service Value Network" OR "BSM" OR "IT Department" OR "Cloud*" OR "ITIL" ) AND title:"cultural*"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</si>
  <si>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abstract:"cultural*"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</si>
  <si>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subject:"cultural*"</t>
  </si>
  <si>
    <t>(Title((Heterogene*) or (Homogene*) or (Complex*) or (Agil*) or (Divers*)) AND TITLE((ITSVN) or (IT Service Value Network) or (ITSM) or (IT Service*) or (BSM) or (Business Service Management)) AND Title(cultural))</t>
  </si>
  <si>
    <t>(ABS((Heterogene*) or (Homogene*) or (Complex*) or (Agil*) or (Divers*)) AND ABS((ITSVN) or (IT Service Value Network) or (ITSM) or (IT Service*) or (BSM) or (Business Service Management)) AND ABS(cultural))</t>
  </si>
  <si>
    <t>(Key((Heterogene*) or (Homogene*) or (Complex*) or (Agil*) or (Divers*)) AND key((ITSVN) or (IT Service Value Network) or (ITSM) or (IT Service*) or (BSM) or (Business Service Management)) AND key(cultural))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</si>
  <si>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Title":cultural)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</si>
  <si>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"Abstract":requirement* OR "Abstract":standards OR "Abstract":require OR "Abstract":cultural)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</si>
  <si>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Terms":cultural)</t>
  </si>
  <si>
    <t>Process support</t>
  </si>
  <si>
    <t>title:( "Heterogene*" OR "Homogene*" OR "Complex*" OR "Agil*" OR "Challenge*" ) AND title:( "ITSVN" OR "IT Service Value Networks" OR "ITSM" OR "IT Service*" OR "Service Value Network" OR "BSM" OR "IT Department" OR "Cloud*" OR "ITIL" ) AND title:"process support"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</si>
  <si>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abstract:"Process support"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</si>
  <si>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subject:"process support"</t>
  </si>
  <si>
    <t>(Title((Heterogene*) or (Homogene*) or (Complex*) or (Agil*) or (Divers*)) AND TITLE((ITSVN) or (IT Service Value Network) or (ITSM) or (IT Service*) or (BSM) or (Business Service Management)) AND Title(process support))</t>
  </si>
  <si>
    <t>(ABS((Heterogene*) or (Homogene*) or (Complex*) or (Agil*) or (Divers*)) AND ABS((ITSVN) or (IT Service Value Network) or (ITSM) or (IT Service*) or (BSM) or (Business Service Management)) AND ABS(process support))</t>
  </si>
  <si>
    <t>(Key((Heterogene*) or (Homogene*) or (Complex*) or (Agil*) or (Divers*)) AND key((ITSVN) or (IT Service Value Network) or (ITSM) or (IT Service*) or (BSM) or (Business Service Management)) AND key(process support))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</si>
  <si>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Title":process support)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</si>
  <si>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"Abstract":process support)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</si>
  <si>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Terms":process support)</t>
  </si>
  <si>
    <t>Support process</t>
  </si>
  <si>
    <t>Communication</t>
  </si>
  <si>
    <t>title:( "Heterogene*" OR "Homogene*" OR "Complex*" OR "Agil*" OR "Challenge*" ) AND title:( "ITSVN" OR "IT Service Value Networks" OR "ITSM" OR "IT Service*" OR "Service Value Network" OR "BSM" OR "IT Department" OR "Cloud*" OR "ITIL" ) AND title:"Communication"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</si>
  <si>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subject:"Communication"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</si>
  <si>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abstract:"Communication"</t>
  </si>
  <si>
    <t>(Title((Heterogene*) or (Homogene*) or (Complex*) or (Agil*) or (Divers*)) AND TITLE((ITSVN) or (IT Service Value Network) or (ITSM) or (IT Service*) or (BSM) or (Business Service Management)) AND Title(communication))</t>
  </si>
  <si>
    <t>(ABS((Heterogene*) or (Homogene*) or (Complex*) or (Agil*) or (Divers*)) AND ABS((ITSVN) or (IT Service Value Network) or (ITSM) or (IT Service*) or (BSM) or (Business Service Management)) AND ABS(communication))</t>
  </si>
  <si>
    <t>(Key((Heterogene*) or (Homogene*) or (Complex*) or (Agil*) or (Divers*)) AND key((ITSVN) or (IT Service Value Network) or (ITSM) or (IT Service*) or (BSM) or (Business Service Management)) AND key(communication))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</si>
  <si>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Title":communication)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</si>
  <si>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"Abstract":communication)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</si>
  <si>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Terms":communication)</t>
  </si>
  <si>
    <t>Interfacing mechanism</t>
  </si>
  <si>
    <t>title:( "Heterogene*" OR "Homogene*" OR "Complex*" OR "Agil*" OR "Challenge*" ) AND title:( "ITSVN" OR "IT Service Value Networks" OR "ITSM" OR "IT Service*" OR "Service Value Network" OR "BSM" OR "IT Department" OR "Cloud*" OR "ITIL" ) AND title:"Interfacing mechanism"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</si>
  <si>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abstract:"Interfacing mechanism"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</si>
  <si>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subject:"Interfacing mechanism"</t>
  </si>
  <si>
    <t>(Title((Heterogene*) or (Homogene*) or (Complex*) or (Agil*) or (Divers*)) AND TITLE((ITSVN) or (IT Service Value Network) or (ITSM) or (IT Service*) or (BSM) or (Business Service Management)) AND Title(interfacing mechanism))</t>
  </si>
  <si>
    <t>(ABS((Heterogene*) or (Homogene*) or (Complex*) or (Agil*) or (Divers*)) AND ABS((ITSVN) or (IT Service Value Network) or (ITSM) or (IT Service*) or (BSM) or (Business Service Management)) AND ABS(interfacing mechanism))</t>
  </si>
  <si>
    <t>(Key((Heterogene*) or (Homogene*) or (Complex*) or (Agil*) or (Divers*)) AND key((ITSVN) or (IT Service Value Network) or (ITSM) or (IT Service*) or (BSM) or (Business Service Management)) AND key(interfacing mechanism))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</si>
  <si>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Title":interfacing mechanism)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</si>
  <si>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"Abstract":interfacing mechanism)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</si>
  <si>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Terms":interfacing mechanism)</t>
  </si>
  <si>
    <t>Service interface</t>
  </si>
  <si>
    <t>title:( "Heterogene*" OR "Homogene*" OR "Complex*" OR "Agil*" OR "Challenge*" ) AND title:( "ITSVN" OR "IT Service Value Networks" OR "ITSM" OR "IT Service*" OR "Service Value Network" OR "BSM" OR "IT Department" OR "Cloud*" OR "ITIL" ) AND title:"service interface"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</si>
  <si>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abstract:"service interface"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</si>
  <si>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subject:"service interface"</t>
  </si>
  <si>
    <t>(Title((Heterogene*) or (Homogene*) or (Complex*) or (Agil*) or (Divers*)) AND TITLE((ITSVN) or (IT Service Value Network) or (ITSM) or (IT Service*) or (BSM) or (Business Service Management)) AND Title(service interface))</t>
  </si>
  <si>
    <t>(ABS((Heterogene*) or (Homogene*) or (Complex*) or (Agil*) or (Divers*)) AND ABS((ITSVN) or (IT Service Value Network) or (ITSM) or (IT Service*) or (BSM) or (Business Service Management)) AND ABS(service interface))</t>
  </si>
  <si>
    <t>(Key((Heterogene*) or (Homogene*) or (Complex*) or (Agil*) or (Divers*)) AND key((ITSVN) or (IT Service Value Network) or (ITSM) or (IT Service*) or (BSM) or (Business Service Management)) AND key(service interface))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</si>
  <si>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Title":service interface)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</si>
  <si>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"Abstract":service interface)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</si>
  <si>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Terms":service interface)</t>
  </si>
  <si>
    <t>Version</t>
  </si>
  <si>
    <t>title:( "Heterogene*" OR "Homogene*" OR "Complex*" OR "Agil*" OR "Challenge*" ) AND title:( "ITSVN" OR "IT Service Value Networks" OR "ITSM" OR "IT Service*" OR "Service Value Network" OR "BSM" OR "IT Department" OR "Cloud*" OR "ITIL" ) AND title:"version"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</si>
  <si>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abstract:"version"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</si>
  <si>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subject:"version"</t>
  </si>
  <si>
    <t>(Title((Heterogene*) or (Homogene*) or (Complex*) or (Agil*) or (Divers*)) AND TITLE((ITSVN) or (IT Service Value Network) or (ITSM) or (IT Service*) or (BSM) or (Business Service Management)) AND Title(version))</t>
  </si>
  <si>
    <t>(ABS((Heterogene*) or (Homogene*) or (Complex*) or (Agil*) or (Divers*)) AND ABS((ITSVN) or (IT Service Value Network) or (ITSM) or (IT Service*) or (BSM) or (Business Service Management)) AND ABS(version))</t>
  </si>
  <si>
    <t>(Key((Heterogene*) or (Homogene*) or (Complex*) or (Agil*) or (Divers*)) AND key((ITSVN) or (IT Service Value Network) or (ITSM) or (IT Service*) or (BSM) or (Business Service Management)) AND key(version))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</si>
  <si>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Title":version)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</si>
  <si>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"Abstract":version)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</si>
  <si>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Terms":version)</t>
  </si>
  <si>
    <t>Data integration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</si>
  <si>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abstract:"data integration"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</si>
  <si>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subject:"data integration"</t>
  </si>
  <si>
    <t>(Title((Heterogene*) or (Homogene*) or (Complex*) or (Agil*) or (Divers*)) AND TITLE((ITSVN) or (IT Service Value Network) or (ITSM) or (IT Service*) or (BSM) or (Business Service Management)) AND Title(data integration))</t>
  </si>
  <si>
    <t>(ABS((Heterogene*) or (Homogene*) or (Complex*) or (Agil*) or (Divers*)) AND ABS((ITSVN) or (IT Service Value Network) or (ITSM) or (IT Service*) or (BSM) or (Business Service Management)) AND ABS(data integration))</t>
  </si>
  <si>
    <t>(Key((Heterogene*) or (Homogene*) or (Complex*) or (Agil*) or (Divers*)) AND key((ITSVN) or (IT Service Value Network) or (ITSM) or (IT Service*) or (BSM) or (Business Service Management)) AND key(data integration))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</si>
  <si>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Title":data integration)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</si>
  <si>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"Abstract":data integration)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</si>
  <si>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Terms":data integration)</t>
  </si>
  <si>
    <t>Summe pro Datenbank</t>
  </si>
  <si>
    <t>Notizen:</t>
  </si>
  <si>
    <t>Attribut Verbung</t>
  </si>
  <si>
    <t xml:space="preserve">Preisgestaltungsrichtlinien </t>
  </si>
  <si>
    <t xml:space="preserve">Standardisierung </t>
  </si>
  <si>
    <t>Standardisierung (A)</t>
  </si>
  <si>
    <t xml:space="preserve">Kommunikation </t>
  </si>
  <si>
    <t>Regelungen in Serviceverträgen</t>
  </si>
  <si>
    <t xml:space="preserve">Mechaniken </t>
  </si>
  <si>
    <t>Einschränkungen</t>
  </si>
  <si>
    <t>Benutzerschnittstelle</t>
  </si>
  <si>
    <t>Serviceschnittstelle</t>
  </si>
  <si>
    <t>Terminologie</t>
  </si>
  <si>
    <t>Datenintegrität</t>
  </si>
  <si>
    <t>Ökosystem (A)</t>
  </si>
  <si>
    <t>Anforderung</t>
  </si>
  <si>
    <t>Rollen</t>
  </si>
  <si>
    <t>Beschaffungsprozess</t>
  </si>
  <si>
    <t>Rechtliche Rahmenbedingungen</t>
  </si>
  <si>
    <t>Fähigkeitsniveau</t>
  </si>
  <si>
    <t>Kultureller Hintergrund</t>
  </si>
  <si>
    <t>Support Prozess</t>
  </si>
  <si>
    <t>Oprescu</t>
  </si>
  <si>
    <t xml:space="preserve">ICOMF: Towards a multi-cloud ecosystem for dynamic resource composition and scaling </t>
  </si>
  <si>
    <t>Aggregating hierarchical service level agreements in business value networks</t>
  </si>
  <si>
    <t>Ul Haq</t>
  </si>
  <si>
    <t>International Conference on Business Process Management</t>
  </si>
  <si>
    <t>Nessi</t>
  </si>
  <si>
    <t>Organisation / Projekt</t>
  </si>
  <si>
    <t>Open Grid Forum</t>
  </si>
  <si>
    <t>Abdeladim</t>
  </si>
  <si>
    <t>Elasticity and scalability centric quality model for the cloud</t>
  </si>
  <si>
    <t>International Colloquium in Information Science and Technology</t>
  </si>
  <si>
    <t>NIST</t>
  </si>
  <si>
    <t>Agents Based Monitoring of Heterogeneous Cloud Infrastructures</t>
  </si>
  <si>
    <t>Aversa</t>
  </si>
  <si>
    <t>International Conference on Ubiquitous Intelligence and Computing</t>
  </si>
  <si>
    <t>A Quality Model for Evaluating Software-as-a-Service in Cloud Computing</t>
  </si>
  <si>
    <t>Lee</t>
  </si>
  <si>
    <t xml:space="preserve">Vukovic </t>
  </si>
  <si>
    <t xml:space="preserve">Cloud Migration using Automated Planning </t>
  </si>
  <si>
    <t>Network Operations and Management Symposium</t>
  </si>
  <si>
    <t xml:space="preserve">International Conference on Software Engineering Research, Management and Applications </t>
  </si>
  <si>
    <t>Atificial Intelligence</t>
  </si>
  <si>
    <t>Tata</t>
  </si>
  <si>
    <t>Managing Service Quality at the Platform and Application Levels with rSLa</t>
  </si>
  <si>
    <t>PaaS &amp; SaaS</t>
  </si>
  <si>
    <t>Stanik</t>
  </si>
  <si>
    <t>Service-level agreement aggregation for quality of service-aware federated cloud networking</t>
  </si>
  <si>
    <t xml:space="preserve">Hermes: On Collaboration across Heterogeneous Collaborative Editing Services in the Cloud </t>
  </si>
  <si>
    <t>Xia</t>
  </si>
  <si>
    <t>International Conference on Computer Supported Cooperative Work in Design</t>
  </si>
  <si>
    <t xml:space="preserve">Toward a Unified Intercloud Interoperability Conceptual Model for IaaS Cloud Service </t>
  </si>
  <si>
    <t>Nodehi</t>
  </si>
  <si>
    <t xml:space="preserve">Contracts in Cloud Computing </t>
  </si>
  <si>
    <t xml:space="preserve">Kafeza </t>
  </si>
  <si>
    <t xml:space="preserve">Service Deployment in Cloud </t>
  </si>
  <si>
    <t>Haji</t>
  </si>
  <si>
    <t>International Conference on Model-Driven Engineering and Software Development</t>
  </si>
  <si>
    <t>CloudServ: PaaS Resources Provisioning for Service-Based Applications</t>
  </si>
  <si>
    <t>Yangui</t>
  </si>
  <si>
    <t>Data On-Boarding in Federated Storage Clouds</t>
  </si>
  <si>
    <t>Vernik</t>
  </si>
  <si>
    <t>IEEE CLOUD</t>
  </si>
  <si>
    <t>Winds of Change: From Vendor Lock-In to the Meta Cloud</t>
  </si>
  <si>
    <t>IEEE internet computing</t>
  </si>
  <si>
    <t>Satzger</t>
  </si>
  <si>
    <t>Towards model-driven provisioning, deployment, monitoring, and adaptation of multi-cloud systems</t>
  </si>
  <si>
    <t>Ferry</t>
  </si>
  <si>
    <t>A federated multi-cloud PaaS infrastructure</t>
  </si>
  <si>
    <t>Paraiso</t>
  </si>
  <si>
    <t xml:space="preserve">Cloud Data Management Interface </t>
  </si>
  <si>
    <t>DMTF</t>
  </si>
  <si>
    <t>SNIA</t>
  </si>
  <si>
    <t>OASIS</t>
  </si>
  <si>
    <t>Jrad</t>
  </si>
  <si>
    <t>SLA based Service Brokering in Intercloud Environments</t>
  </si>
  <si>
    <t>CLOSER</t>
  </si>
  <si>
    <t>-------------------------</t>
  </si>
  <si>
    <t>Rückwärtssuche</t>
  </si>
  <si>
    <t>Dopplungen über alle Attribute</t>
  </si>
  <si>
    <t>Summe</t>
  </si>
  <si>
    <t>Sonstiges</t>
  </si>
  <si>
    <t>Sortiert</t>
  </si>
  <si>
    <t>Portabilität</t>
  </si>
  <si>
    <t>Lösung</t>
  </si>
  <si>
    <t>SLA Vereinabrung</t>
  </si>
  <si>
    <t>Jahr_2</t>
  </si>
  <si>
    <t>Jahr_2_sortiert</t>
  </si>
  <si>
    <t>Quelle</t>
  </si>
  <si>
    <t>Name</t>
  </si>
  <si>
    <t>Journal</t>
  </si>
  <si>
    <t>Konferenz</t>
  </si>
  <si>
    <t>Procedia Computer Science</t>
  </si>
  <si>
    <t>IEEEIntl Symp on Cyberspace Safety and Security</t>
  </si>
  <si>
    <t>IEEE International Conference on Advanced Information Networking and Applications</t>
  </si>
  <si>
    <t>IEEE International Conference on Cloud Computing in Emerging Markets</t>
  </si>
  <si>
    <t>International Conference on Enabling Technologies: Infrastructure for Collaborative Enterprises</t>
  </si>
  <si>
    <t xml:space="preserve">IEEE International Conference on Cloud Networking </t>
  </si>
  <si>
    <t xml:space="preserve">  Summe pro Datenbank</t>
  </si>
  <si>
    <t>Verteilung der Lösungskonzepte auf die Quellen</t>
  </si>
  <si>
    <t>2015 IEEE/WIC/ACM International Conference on Web Intelligence and Intelligent Agent Technology (WI-IAT)</t>
  </si>
  <si>
    <t>Federation Plattform</t>
  </si>
  <si>
    <t>Monitoring System</t>
  </si>
  <si>
    <t>Aggregator/Integrator</t>
  </si>
  <si>
    <t>Protokolltransmitter</t>
  </si>
  <si>
    <t>Infrastruktur Interpreter</t>
  </si>
  <si>
    <t>Einheitl. Servicebeschreibung</t>
  </si>
  <si>
    <t>ITSVN Akteure</t>
  </si>
  <si>
    <t>XRI Technology</t>
  </si>
  <si>
    <t>Erweiterung CM Tool</t>
  </si>
  <si>
    <t>Cloud Service Composition</t>
  </si>
  <si>
    <t>ILP For Ressource Allocation</t>
  </si>
  <si>
    <t>ICAF</t>
  </si>
  <si>
    <t>SLA Guided Data Integration</t>
  </si>
  <si>
    <t>SLA Management Aggregation</t>
  </si>
  <si>
    <t>Cloud Metrik Evaluation</t>
  </si>
  <si>
    <t>Monitoring System (rSLA)</t>
  </si>
  <si>
    <t>Collaboration SaaS (Hermes)</t>
  </si>
  <si>
    <t>Federation Plattform (MDA)</t>
  </si>
  <si>
    <t>Rechtliche Rahmenbedingung</t>
  </si>
  <si>
    <t>OVF Extension</t>
  </si>
  <si>
    <t>CloudServ</t>
  </si>
  <si>
    <t>Data Migration Process (VISION)</t>
  </si>
  <si>
    <t>Meta Cloud API</t>
  </si>
  <si>
    <t>CloudML (MDA)</t>
  </si>
  <si>
    <t>Cloud Service Broker</t>
  </si>
  <si>
    <t>Lösungsart</t>
  </si>
  <si>
    <t>Verteilung der 
Lösungskonzepte nach Art</t>
  </si>
  <si>
    <t>Verteilung der 
Lösungskonzepte 
auf die Kategorien</t>
  </si>
  <si>
    <t>Werkzeug_20</t>
  </si>
  <si>
    <t>Werkzeug_20a</t>
  </si>
  <si>
    <t>Methode_20</t>
  </si>
  <si>
    <t>Methode_20a</t>
  </si>
  <si>
    <t>Empfehlung_20</t>
  </si>
  <si>
    <t>Empfehlung_20a</t>
  </si>
  <si>
    <t>Werkzeug_19</t>
  </si>
  <si>
    <t>Werkzeug_19a</t>
  </si>
  <si>
    <t>Methode_19</t>
  </si>
  <si>
    <t>Methode_19a</t>
  </si>
  <si>
    <t>Empfehlung_19</t>
  </si>
  <si>
    <t>Empfehlung_19a</t>
  </si>
  <si>
    <t>Werkzeug_18</t>
  </si>
  <si>
    <t>Werkzeug_18a</t>
  </si>
  <si>
    <t>Methode_18</t>
  </si>
  <si>
    <t>Methode_18a</t>
  </si>
  <si>
    <t>Empfehlung_18</t>
  </si>
  <si>
    <t>Empfehlung_18a</t>
  </si>
  <si>
    <t>Werkzeug_17</t>
  </si>
  <si>
    <t>Werkzeug_17a</t>
  </si>
  <si>
    <t>Methode_17a</t>
  </si>
  <si>
    <t>Methode_17</t>
  </si>
  <si>
    <t>Empfehlung_17a</t>
  </si>
  <si>
    <t>Empfehlung_17</t>
  </si>
  <si>
    <t>Werkzeug_16</t>
  </si>
  <si>
    <t>Methode_16</t>
  </si>
  <si>
    <t>Empfehlung_16</t>
  </si>
  <si>
    <t>Empfehlung_16a</t>
  </si>
  <si>
    <t>Methode_16a</t>
  </si>
  <si>
    <t>Werkzeug_16a</t>
  </si>
  <si>
    <t>Werkzeug_15</t>
  </si>
  <si>
    <t>Methode_15</t>
  </si>
  <si>
    <t>Empfehlung_15</t>
  </si>
  <si>
    <t>Empfehlung_15a</t>
  </si>
  <si>
    <t>Methode_15a</t>
  </si>
  <si>
    <t>Werkzeug_1a</t>
  </si>
  <si>
    <t>Werkzeug_15a</t>
  </si>
  <si>
    <t>Werkzeug_14a</t>
  </si>
  <si>
    <t>Werkzeug_14</t>
  </si>
  <si>
    <t>Methode_14</t>
  </si>
  <si>
    <t>Empfehlung_14</t>
  </si>
  <si>
    <t>Methode_14a</t>
  </si>
  <si>
    <t>Empfehlung_14a</t>
  </si>
  <si>
    <t>Werkzeug_13</t>
  </si>
  <si>
    <t>Methode_13</t>
  </si>
  <si>
    <t>Empfehlung_13</t>
  </si>
  <si>
    <t>Empfehlung_13a</t>
  </si>
  <si>
    <t>Methode_13a</t>
  </si>
  <si>
    <t>Werkzeug_13a</t>
  </si>
  <si>
    <t>Werkzeug_12</t>
  </si>
  <si>
    <t>Werkzeug_12a</t>
  </si>
  <si>
    <t>Methode_12</t>
  </si>
  <si>
    <t>Methode_12a</t>
  </si>
  <si>
    <t>Empfehlung_11</t>
  </si>
  <si>
    <t>Werkzeug_10</t>
  </si>
  <si>
    <t>Methode_10</t>
  </si>
  <si>
    <t>Empfehlung_10</t>
  </si>
  <si>
    <t>Methode_10a</t>
  </si>
  <si>
    <t>Werkzeug_10a</t>
  </si>
  <si>
    <t>Empfehlung_10a</t>
  </si>
  <si>
    <t>Werkzeug_9</t>
  </si>
  <si>
    <t>Methode_9</t>
  </si>
  <si>
    <t>Empfehlung_9</t>
  </si>
  <si>
    <t>Empfehlung_9a</t>
  </si>
  <si>
    <t>Methode_9a</t>
  </si>
  <si>
    <t>Werkzeug_9a</t>
  </si>
  <si>
    <t>Werkzeug_8</t>
  </si>
  <si>
    <t>Methode_8</t>
  </si>
  <si>
    <t>Empfehlung_8</t>
  </si>
  <si>
    <t>Empfehlung_8a</t>
  </si>
  <si>
    <t>Methode_8a</t>
  </si>
  <si>
    <t>Werkzeug_8a</t>
  </si>
  <si>
    <t>Werkzeug_7</t>
  </si>
  <si>
    <t>Methode_7</t>
  </si>
  <si>
    <t>Empfehlung_7</t>
  </si>
  <si>
    <t>Werkzeug_7a</t>
  </si>
  <si>
    <t>Methode_7a</t>
  </si>
  <si>
    <t>Empfehlung_7a</t>
  </si>
  <si>
    <t>Werkzeug_6</t>
  </si>
  <si>
    <t>Methode_6</t>
  </si>
  <si>
    <t>Empfehlung_6</t>
  </si>
  <si>
    <t>Empfehlung_6a</t>
  </si>
  <si>
    <t>Methode_6a</t>
  </si>
  <si>
    <t>Werkzeug_6a</t>
  </si>
  <si>
    <t>Werkzeug_5</t>
  </si>
  <si>
    <t>Methode_5</t>
  </si>
  <si>
    <t>Empfehlung_5</t>
  </si>
  <si>
    <t>Empfehlung_5a</t>
  </si>
  <si>
    <t>Methode_5a</t>
  </si>
  <si>
    <t>Werkzeug_5a</t>
  </si>
  <si>
    <t>Werkzeug_4</t>
  </si>
  <si>
    <t>Methode_4</t>
  </si>
  <si>
    <t>Empfehlung_4</t>
  </si>
  <si>
    <t>Empfehlung_4a</t>
  </si>
  <si>
    <t>Methode_4a</t>
  </si>
  <si>
    <t>Werkzeug_4a</t>
  </si>
  <si>
    <t>Werkzeug_3</t>
  </si>
  <si>
    <t>Methode_3</t>
  </si>
  <si>
    <t>Empfehlung_3</t>
  </si>
  <si>
    <t>Methode_3a</t>
  </si>
  <si>
    <t>Werkzeug_3a</t>
  </si>
  <si>
    <t>Empfehlung_3a</t>
  </si>
  <si>
    <t>Werkzeug_2</t>
  </si>
  <si>
    <t>Werkzeug_2a</t>
  </si>
  <si>
    <t>Methode_2</t>
  </si>
  <si>
    <t>Methode_2a</t>
  </si>
  <si>
    <t>Empfehlung_2</t>
  </si>
  <si>
    <t>Empfehlung_2a</t>
  </si>
  <si>
    <t>Werkzeug_1</t>
  </si>
  <si>
    <t>Methode_1</t>
  </si>
  <si>
    <t>Methode_1a</t>
  </si>
  <si>
    <t>Empfehlung_1</t>
  </si>
  <si>
    <t>Empfehlung_12</t>
  </si>
  <si>
    <t>19</t>
  </si>
  <si>
    <t>20</t>
  </si>
  <si>
    <t>18</t>
  </si>
  <si>
    <t>17</t>
  </si>
  <si>
    <t>Empfehlung_1a</t>
  </si>
  <si>
    <t>2</t>
  </si>
  <si>
    <t>3</t>
  </si>
  <si>
    <t>4</t>
  </si>
  <si>
    <t>5</t>
  </si>
  <si>
    <t>6</t>
  </si>
  <si>
    <t>7</t>
  </si>
  <si>
    <t>8</t>
  </si>
  <si>
    <t>9</t>
  </si>
  <si>
    <t>Werkzeug_11</t>
  </si>
  <si>
    <t>10</t>
  </si>
  <si>
    <t>Empfehlung_11a</t>
  </si>
  <si>
    <t>Methode_11a</t>
  </si>
  <si>
    <t>Methode_11</t>
  </si>
  <si>
    <t>Werkzeug_11a</t>
  </si>
  <si>
    <t>11</t>
  </si>
  <si>
    <t>Empfehlung_12a</t>
  </si>
  <si>
    <t>12</t>
  </si>
  <si>
    <t>13</t>
  </si>
  <si>
    <t>14</t>
  </si>
  <si>
    <t>15</t>
  </si>
  <si>
    <t>16</t>
  </si>
  <si>
    <t>Analyse</t>
  </si>
  <si>
    <t>TOSCA</t>
  </si>
  <si>
    <t>OCCI</t>
  </si>
  <si>
    <t>OVF</t>
  </si>
  <si>
    <t>CDMI</t>
  </si>
  <si>
    <t>⎼ Monitoring System für "Federated Clouds"</t>
  </si>
  <si>
    <t>⎼ Entscheidungsunterstützung mit adapt. Mgmt.</t>
  </si>
  <si>
    <t>⎼ Schnittstelle zwischen Anbieter &amp; Kunde (REST/SOAP)</t>
  </si>
  <si>
    <t>⎼ Domain spezifische Modellierungssprache  (iCloudML)</t>
  </si>
  <si>
    <t xml:space="preserve">⎼ Xlet Architektur und rSLA für schnelle Anwendung </t>
  </si>
  <si>
    <t>⎼ Standardisierung der Services durch einheitl. Schnittstelle(DCCSOA)</t>
  </si>
  <si>
    <t>⎼ Zusammenschluss vieler heterogener Anbieter mittels Plattform</t>
  </si>
  <si>
    <t xml:space="preserve">⎼ Anordnung und Implementierung via XRI Technologie in Virtual Supply Chain </t>
  </si>
  <si>
    <t>⎼ Analyse Kompatibilitä verschiedener Services zur Erleichterung der Zusammenstellung</t>
  </si>
  <si>
    <t>Ressourcenverteilung</t>
  </si>
  <si>
    <t>⎼ Nutzung integer linear Programme (ILP)</t>
  </si>
  <si>
    <t>⎼ einheitliche Integration plattformbasierender Services via ontology-based Architektur</t>
  </si>
  <si>
    <t>⎼ Erweiterung CM Tools um Anbahnung, Ausführung &amp; Bewertung des Services</t>
  </si>
  <si>
    <t>Datenintegration</t>
  </si>
  <si>
    <t xml:space="preserve">⎼ Zur Datenintegration werden DaaS als RDF Views via Domain Ontologien abgebildet </t>
  </si>
  <si>
    <t>⎼ SLA geführte Datenintegration für Abfragen (queries) über mehrere Clouds hinweg</t>
  </si>
  <si>
    <t>⎼ Vereinfachung der Portierbarkeit, Kompatibilität, Auswahl und Implementierung d. Services</t>
  </si>
  <si>
    <t>⎼ Publisher-Subsciber Pattern zur gezielten Überwachung von Daten herterogener Anbieter</t>
  </si>
  <si>
    <t>⎼ Integration &amp; Kompatibilität multi-domain heterogener Cloud Anwendungen</t>
  </si>
  <si>
    <t>⎼ Service Delivery &amp; LiveCycle Management Ausführung (Bestandteil  von ICAF)</t>
  </si>
  <si>
    <t>⎼ Dynamische Ressourcen Zusammenstellung</t>
  </si>
  <si>
    <t>⎼ SLA-Views in einem Mehrebenenmodell zur geschützeren Anwendung</t>
  </si>
  <si>
    <t>1</t>
  </si>
  <si>
    <t>⎼ Agent basiertes Monitoring heterogener Infrastrukturen verschiedener Anbieter</t>
  </si>
  <si>
    <t>⎼ Evaluierung der Skalierbarkeit und Elastizität von Anbieter in der Cloud</t>
  </si>
  <si>
    <t>⎼ Automatisierung der Prozesse beim Auslagern zu Cloud Diensten</t>
  </si>
  <si>
    <t>⎼ Automatitisierte SLA Verhandlungenvia definierter QoS Parameter</t>
  </si>
  <si>
    <t>⎼ Cloud Federation Management Stack für die Anbindung von Cloud Middleware Komponenten</t>
  </si>
  <si>
    <t>Collaboration SaaS</t>
  </si>
  <si>
    <t>⎼ Kompatibilität heterogener Editierprogramme mit Hilfe von HERMES</t>
  </si>
  <si>
    <t>⎼ Transformation Engine zum Mapping der Workloads heterogener Anbieter (MDA)</t>
  </si>
  <si>
    <t>⎼ Konzeptualisierung rechtlicher Rahmeverträge, die in SLA präsent sein müssen</t>
  </si>
  <si>
    <t>⎼ Automat. Bereitstellung &amp; Anbindung an Multi-Cloud Systeme via FraSCAti Plattform</t>
  </si>
  <si>
    <t>Su</t>
  </si>
  <si>
    <t>Cultural sensemaking in offshore information technology service suppliers: a cultural frame perspective</t>
  </si>
  <si>
    <t>Mis Quarterly</t>
  </si>
  <si>
    <t>Cultural Frames</t>
  </si>
  <si>
    <t>Attribut:</t>
  </si>
  <si>
    <t>Ausblenden</t>
  </si>
  <si>
    <t>Nach Kategorie sortiert</t>
  </si>
  <si>
    <t>⎼ gnerische Architektur für einen Cloud Service Broker umgesetzt mittels bereits etablierter Standards</t>
  </si>
  <si>
    <t>Virtualisierungsinfrastruktur</t>
  </si>
  <si>
    <t>1.3.3 Überblick Literatur</t>
  </si>
  <si>
    <t>1.3.1 Suchstrings</t>
  </si>
  <si>
    <t>1.4.1 Quantitative Analyse</t>
  </si>
  <si>
    <t>1.4.2 Qualitative Analyse</t>
  </si>
  <si>
    <t>Vertragsmanagementanwendung</t>
  </si>
  <si>
    <t>⎼ Einheitliche Servicebeschreibung für funktionale &amp; nicht-funktionale Paramter</t>
  </si>
  <si>
    <t>Cloud Metrik Evaluierung</t>
  </si>
  <si>
    <t>Computer Software and Applications Conference (COMPSAC)</t>
  </si>
  <si>
    <t>Open-Source Plattform</t>
  </si>
  <si>
    <t>⎼ Erweiterung von OCCI,  Plattform erlaubt die Anbindung heterogener SaaS (CloudServ)</t>
  </si>
  <si>
    <t>Cloud Service Komposition</t>
  </si>
  <si>
    <t>⎼ Virtauel Appliances zur Implementierung &amp; Wiederverwendung heterogener Anbieter</t>
  </si>
  <si>
    <t>⎼ spezielle "Federatian" Layer dient als standard API, erlaubt anbieterunab. Portierbarkeit</t>
  </si>
  <si>
    <t>⎼ Metacloud erlaubt Entwicklung anbieterunab. Anwend. mittels abstrakter Anbieter "libraries" API</t>
  </si>
  <si>
    <t xml:space="preserve">⎼ Automat. Bereitstellung &amp; Anbindung an Multi-Cloud Systeme via CloudML </t>
  </si>
  <si>
    <t>⎼ Konstrukt von  "cultural frames" für die Kateg.: Kommunikation, Koordination &amp; Kontaktaufnahme</t>
  </si>
  <si>
    <t>Anbieter- &amp; Serviceauswahl</t>
  </si>
  <si>
    <t>BPM in Cloud Architectures: Business Process Management with SLAs and Events</t>
  </si>
  <si>
    <t>Muthusamy</t>
  </si>
  <si>
    <t>Elastic Business Process Management: State of the art and open challenges for BPM in the cloud</t>
  </si>
  <si>
    <t>Schulte</t>
  </si>
  <si>
    <t>Future Generation Computer Systems</t>
  </si>
  <si>
    <t>⎼ elastische Architektur für Geschäftsprozessmanagementsysteme</t>
  </si>
  <si>
    <t>⎼ SLA Ansatz für das Geschäftsprozessmanagement für SOA in Cloud Umgebungen</t>
  </si>
  <si>
    <t>Anzahl Attribute</t>
  </si>
  <si>
    <t>Anazhl</t>
  </si>
  <si>
    <t>Aggregator/
Integrator</t>
  </si>
  <si>
    <t>ITSVN 
Akteure</t>
  </si>
  <si>
    <t>Anzahl Lösungen 
umsetzbar für</t>
  </si>
  <si>
    <t>Anzahl pro 
Element</t>
  </si>
  <si>
    <t xml:space="preserve">Summe </t>
  </si>
  <si>
    <t>Autor(en)</t>
  </si>
  <si>
    <t xml:space="preserve">Abdeladim (2014) , Lee (2009) </t>
  </si>
  <si>
    <t xml:space="preserve">Abosi (2011) </t>
  </si>
  <si>
    <t xml:space="preserve">Allison (2015) </t>
  </si>
  <si>
    <t xml:space="preserve">Bochicchio (2011) </t>
  </si>
  <si>
    <t xml:space="preserve">Celesti  (2011) </t>
  </si>
  <si>
    <t xml:space="preserve">Dastjerdi  (2014) , Gonidis  (2014) </t>
  </si>
  <si>
    <t xml:space="preserve">Demchenko (2012) , Demchenko (2013) , Oprescu (2013) </t>
  </si>
  <si>
    <t xml:space="preserve">El-Awadi (2015) , Rekik  (2015) </t>
  </si>
  <si>
    <t xml:space="preserve">Haji (2014) </t>
  </si>
  <si>
    <t xml:space="preserve">Jrad (2012) </t>
  </si>
  <si>
    <t xml:space="preserve">Kafeza  (2014) </t>
  </si>
  <si>
    <t xml:space="preserve">Majda (2015) </t>
  </si>
  <si>
    <t xml:space="preserve">Satzger (2013) </t>
  </si>
  <si>
    <t xml:space="preserve">Su (2015) </t>
  </si>
  <si>
    <t xml:space="preserve">Xia (2014) </t>
  </si>
  <si>
    <t xml:space="preserve">Kompatibilität, </t>
  </si>
  <si>
    <t>Bahrami  (2015)</t>
  </si>
  <si>
    <t xml:space="preserve">Ludwig  (2015) , Tata (2016) </t>
  </si>
  <si>
    <t>Al-Hazmi  (2012) , Aversa (2013) , Stefano (2013)</t>
  </si>
  <si>
    <t>Bennani  (2015)</t>
  </si>
  <si>
    <t xml:space="preserve">Vernik (2013) </t>
  </si>
  <si>
    <t>Ghafour (2014), Schulte (2015)</t>
  </si>
  <si>
    <t xml:space="preserve">Vukovic  (2016) </t>
  </si>
  <si>
    <t>Chhetri (2015)</t>
  </si>
  <si>
    <t>Muthusamy (2010)</t>
  </si>
  <si>
    <t xml:space="preserve">Ul Haq (2009), Stanik (2015) </t>
  </si>
  <si>
    <t>1.3.2 Ergebnisse der Literaturanalyse</t>
  </si>
  <si>
    <t>Anzahl 
Groß</t>
  </si>
  <si>
    <t>Anzahl 
Klein</t>
  </si>
  <si>
    <t>Umsetzung durch</t>
  </si>
  <si>
    <t>gesuchtes
Attribut</t>
  </si>
  <si>
    <t>Lösungsreife</t>
  </si>
  <si>
    <t>Adressierte Ebene(n)</t>
  </si>
  <si>
    <t>Existierende Standards in Vorschlag ...</t>
  </si>
  <si>
    <t>Wirkungsgrad auf Attribut:</t>
  </si>
  <si>
    <t>übergeordneter Zweck</t>
  </si>
  <si>
    <t>Reifegrad</t>
  </si>
  <si>
    <t>Stichworte zur Konzeption</t>
  </si>
  <si>
    <t>Konzeption</t>
  </si>
  <si>
    <t>Suchattribut</t>
  </si>
  <si>
    <t xml:space="preserve"> groß</t>
  </si>
  <si>
    <t xml:space="preserve"> klein</t>
  </si>
  <si>
    <t>Standardisierung</t>
  </si>
  <si>
    <t>Regelungen in SLA</t>
  </si>
  <si>
    <t>Ökosystem</t>
  </si>
  <si>
    <t>Rechtl. Rahmenbeding.</t>
  </si>
  <si>
    <t>Preisgestaltungsrichtl.</t>
  </si>
  <si>
    <t>Kult. Hintergrund</t>
  </si>
  <si>
    <t>Dopplungen aller Arbeiten</t>
  </si>
  <si>
    <t>Dopplungen (manuell)</t>
  </si>
  <si>
    <t>Begriffsgruppe 1 &amp; 2 + 
   ...</t>
  </si>
  <si>
    <t>Dopplungen*</t>
  </si>
  <si>
    <t>* in den Felder der Datenbanken (Title, Schlüsselbegriffe, Zusammenfassung)</t>
  </si>
  <si>
    <t>Aggreg. bzw Integ.</t>
  </si>
  <si>
    <t>Aggreg./Integ.</t>
  </si>
  <si>
    <t>3-Ebenen-Modell</t>
  </si>
  <si>
    <t>Nur 
IaaS</t>
  </si>
  <si>
    <t>Nur 
PaaS</t>
  </si>
  <si>
    <t>Nur 
SaaS</t>
  </si>
  <si>
    <t>Nur 
DaaD</t>
  </si>
  <si>
    <t>Keine 
Ebene</t>
  </si>
  <si>
    <t>2 Ebenen</t>
  </si>
  <si>
    <t xml:space="preserve">Gesamt </t>
  </si>
  <si>
    <t>Application Programming Interface</t>
  </si>
  <si>
    <t>Mach-
barkeit</t>
  </si>
  <si>
    <t>Portierbarkeit</t>
  </si>
  <si>
    <t>OVF Erweiterung</t>
  </si>
  <si>
    <t>Empfehlung2</t>
  </si>
  <si>
    <t>Methode3</t>
  </si>
  <si>
    <t>Werkzeug4</t>
  </si>
  <si>
    <t>Gesamt5</t>
  </si>
  <si>
    <t>Empfehlung6</t>
  </si>
  <si>
    <t>Methode7</t>
  </si>
  <si>
    <t>Werkzeug8</t>
  </si>
  <si>
    <t>Gesamt9</t>
  </si>
  <si>
    <t>Empfehlung10</t>
  </si>
  <si>
    <t>Methode11</t>
  </si>
  <si>
    <t>Werkzeug12</t>
  </si>
  <si>
    <t>Gesamt13</t>
  </si>
  <si>
    <t>Empfehlung14</t>
  </si>
  <si>
    <t>Methode15</t>
  </si>
  <si>
    <t>Werkzeug16</t>
  </si>
  <si>
    <t>Gesamt17</t>
  </si>
  <si>
    <t>Empfehlung18</t>
  </si>
  <si>
    <t>Methode19</t>
  </si>
  <si>
    <t>Werkzeug20</t>
  </si>
  <si>
    <t>Gesamt21</t>
  </si>
  <si>
    <t>Empfehlung22</t>
  </si>
  <si>
    <t>Methode23</t>
  </si>
  <si>
    <t>Werkzeug24</t>
  </si>
  <si>
    <t>Gesamt25</t>
  </si>
  <si>
    <t>Empfehlung26</t>
  </si>
  <si>
    <t>Methode27</t>
  </si>
  <si>
    <t>Werkzeug28</t>
  </si>
  <si>
    <t>Gesamt29</t>
  </si>
  <si>
    <t>Empfehlung30</t>
  </si>
  <si>
    <t>Methode31</t>
  </si>
  <si>
    <t>Werkzeug32</t>
  </si>
  <si>
    <t>Gesamt33</t>
  </si>
  <si>
    <t>Empfehlung34</t>
  </si>
  <si>
    <t>Methode35</t>
  </si>
  <si>
    <t>Werkzeug36</t>
  </si>
  <si>
    <t>Gesamt37</t>
  </si>
  <si>
    <t>Empfehlung38</t>
  </si>
  <si>
    <t>Methode39</t>
  </si>
  <si>
    <t>Werkzeug40</t>
  </si>
  <si>
    <t>Gesamt41</t>
  </si>
  <si>
    <t>Empfehlung42</t>
  </si>
  <si>
    <t>Methode43</t>
  </si>
  <si>
    <t>Werkzeug44</t>
  </si>
  <si>
    <t>Gesamt45</t>
  </si>
  <si>
    <t>Empfehlung46</t>
  </si>
  <si>
    <t>Methode47</t>
  </si>
  <si>
    <t>Werkzeug48</t>
  </si>
  <si>
    <t>Gesamt49</t>
  </si>
  <si>
    <t>Empfehlung50</t>
  </si>
  <si>
    <t>Methode51</t>
  </si>
  <si>
    <t>Werkzeug52</t>
  </si>
  <si>
    <t>Gesamt53</t>
  </si>
  <si>
    <t>Empfehlung54</t>
  </si>
  <si>
    <t>Methode55</t>
  </si>
  <si>
    <t>Werkzeug56</t>
  </si>
  <si>
    <t>Gesamt57</t>
  </si>
  <si>
    <t>Empfehlung58</t>
  </si>
  <si>
    <t>Methode59</t>
  </si>
  <si>
    <t>Werkzeug60</t>
  </si>
  <si>
    <t>Gesamt61</t>
  </si>
  <si>
    <t>Empfehlung62</t>
  </si>
  <si>
    <t>Methode63</t>
  </si>
  <si>
    <t>Werkzeug64</t>
  </si>
  <si>
    <t>Gesamt65</t>
  </si>
  <si>
    <t>Empfehlung66</t>
  </si>
  <si>
    <t>Methode67</t>
  </si>
  <si>
    <t>Werkzeug68</t>
  </si>
  <si>
    <t>Gesamt69</t>
  </si>
  <si>
    <t>Empfehlung70</t>
  </si>
  <si>
    <t>Methode71</t>
  </si>
  <si>
    <t>Werkzeug72</t>
  </si>
  <si>
    <t>Gesamt73</t>
  </si>
  <si>
    <t>Empfehlung74</t>
  </si>
  <si>
    <t>Methode75</t>
  </si>
  <si>
    <t>Werkzeug76</t>
  </si>
  <si>
    <t>Gesamt77</t>
  </si>
  <si>
    <t>Contraints (A)</t>
  </si>
  <si>
    <t xml:space="preserve">Ferry (2013) , Moscato (2011) , Nodehi (2014) , Paraiso (2012), Yangui (2013) , Zangara (2015) </t>
  </si>
  <si>
    <t>Lösungsgruppe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</si>
</sst>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\-0;;@"/>
  </numFmts>
  <fonts count="3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scheme val="minor"/>
    </font>
    <font>
      <sz val="10"/>
      <color theme="1"/>
      <name val="Times New Roman"/>
    </font>
    <font>
      <b/>
      <sz val="10"/>
      <color theme="1"/>
      <name val="Times New Roman"/>
    </font>
    <font>
      <b/>
      <sz val="10"/>
      <color theme="0"/>
      <name val="Times New Roman"/>
    </font>
    <font>
      <i/>
      <sz val="10"/>
      <color theme="1"/>
      <name val="Times New Roman"/>
    </font>
    <font>
      <b/>
      <sz val="12"/>
      <color theme="0"/>
      <name val="Times New Roman"/>
    </font>
    <font>
      <sz val="12"/>
      <color theme="1"/>
      <name val="Times New Roman"/>
    </font>
    <font>
      <sz val="8"/>
      <name val="Calibri"/>
      <family val="2"/>
      <scheme val="minor"/>
    </font>
    <font>
      <sz val="10"/>
      <color rgb="FF000000"/>
      <name val="Times New Roman"/>
    </font>
    <font>
      <b/>
      <sz val="12"/>
      <color theme="1"/>
      <name val="Times New Roman"/>
    </font>
    <font>
      <b/>
      <sz val="22"/>
      <color theme="1"/>
      <name val="Times New Roman"/>
    </font>
    <font>
      <b/>
      <sz val="14"/>
      <color theme="0"/>
      <name val="Times New Roman"/>
    </font>
    <font>
      <b/>
      <sz val="16"/>
      <color theme="0"/>
      <name val="Times New Roman"/>
    </font>
    <font>
      <b/>
      <sz val="16"/>
      <color theme="1"/>
      <name val="Times New Roman"/>
    </font>
    <font>
      <sz val="12"/>
      <color rgb="FF000000"/>
      <name val="Times New Roman"/>
    </font>
    <font>
      <sz val="10"/>
      <color theme="0"/>
      <name val="Times New Roman"/>
    </font>
    <font>
      <b/>
      <sz val="11"/>
      <color theme="1"/>
      <name val="Times New Roman"/>
    </font>
    <font>
      <sz val="11"/>
      <color theme="0"/>
      <name val="Times New Roman"/>
    </font>
    <font>
      <b/>
      <sz val="20"/>
      <color theme="0"/>
      <name val="Times New Roman"/>
    </font>
    <font>
      <b/>
      <sz val="8"/>
      <color theme="1"/>
      <name val="Times New Roman"/>
    </font>
    <font>
      <b/>
      <sz val="8"/>
      <color theme="1" tint="4.9989318521683403E-2"/>
      <name val="Times New Roman"/>
    </font>
    <font>
      <sz val="14"/>
      <color theme="1"/>
      <name val="Times New Roman"/>
    </font>
    <font>
      <sz val="11"/>
      <color theme="1"/>
      <name val="Times New Roman"/>
    </font>
    <font>
      <sz val="1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D7EE"/>
        <bgColor rgb="FFBDD7EE"/>
      </patternFill>
    </fill>
    <fill>
      <patternFill patternType="solid">
        <fgColor rgb="FFDDEBF7"/>
        <bgColor rgb="FFDDEBF7"/>
      </patternFill>
    </fill>
    <fill>
      <patternFill patternType="solid">
        <fgColor rgb="FFB4C9E9"/>
        <bgColor indexed="64"/>
      </patternFill>
    </fill>
  </fills>
  <borders count="15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theme="1"/>
      </bottom>
      <diagonal/>
    </border>
    <border>
      <left style="thin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 style="thin">
        <color auto="1"/>
      </left>
      <right/>
      <top style="thin">
        <color theme="4" tint="0.3999755851924192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 style="thin">
        <color theme="4" tint="0.39997558519241921"/>
      </top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double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double">
        <color theme="1"/>
      </top>
      <bottom style="medium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/>
      <bottom/>
      <diagonal/>
    </border>
    <border>
      <left style="thin">
        <color theme="4" tint="0.39997558519241921"/>
      </left>
      <right/>
      <top style="medium">
        <color theme="1"/>
      </top>
      <bottom/>
      <diagonal/>
    </border>
    <border>
      <left style="medium">
        <color auto="1"/>
      </left>
      <right/>
      <top style="medium">
        <color theme="1"/>
      </top>
      <bottom/>
      <diagonal/>
    </border>
    <border>
      <left style="thin">
        <color theme="4" tint="0.59996337778862885"/>
      </left>
      <right/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auto="1"/>
      </left>
      <right/>
      <top style="thin">
        <color theme="4" tint="0.59996337778862885"/>
      </top>
      <bottom/>
      <diagonal/>
    </border>
    <border>
      <left style="thin">
        <color theme="1"/>
      </left>
      <right/>
      <top style="thin">
        <color theme="4" tint="0.59996337778862885"/>
      </top>
      <bottom/>
      <diagonal/>
    </border>
    <border>
      <left style="thin">
        <color theme="1"/>
      </left>
      <right/>
      <top style="thin">
        <color rgb="FF9BC2E6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auto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rgb="FF9BC2E6"/>
      </right>
      <top style="medium">
        <color rgb="FF000000"/>
      </top>
      <bottom style="thin">
        <color rgb="FF9BC2E6"/>
      </bottom>
      <diagonal/>
    </border>
    <border>
      <left style="thin">
        <color auto="1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 style="thin">
        <color auto="1"/>
      </left>
      <right style="thin">
        <color rgb="FF9BC2E6"/>
      </right>
      <top style="thin">
        <color rgb="FF9BC2E6"/>
      </top>
      <bottom style="thin">
        <color auto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auto="1"/>
      </left>
      <right style="thin">
        <color auto="1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auto="1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 style="thin">
        <color auto="1"/>
      </left>
      <right/>
      <top style="medium">
        <color auto="1"/>
      </top>
      <bottom style="dashDot">
        <color auto="1"/>
      </bottom>
      <diagonal/>
    </border>
    <border>
      <left/>
      <right/>
      <top style="medium">
        <color auto="1"/>
      </top>
      <bottom style="dashDot">
        <color auto="1"/>
      </bottom>
      <diagonal/>
    </border>
    <border>
      <left/>
      <right style="thin">
        <color auto="1"/>
      </right>
      <top style="medium">
        <color auto="1"/>
      </top>
      <bottom style="dashDot">
        <color auto="1"/>
      </bottom>
      <diagonal/>
    </border>
    <border>
      <left style="thin">
        <color auto="1"/>
      </left>
      <right style="thin">
        <color auto="1"/>
      </right>
      <top style="dashDot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theme="1"/>
      </bottom>
      <diagonal/>
    </border>
    <border>
      <left/>
      <right/>
      <top style="medium">
        <color auto="1"/>
      </top>
      <bottom/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/>
      <top style="double">
        <color theme="1"/>
      </top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medium">
        <color auto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double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auto="1"/>
      </bottom>
      <diagonal/>
    </border>
    <border>
      <left style="medium">
        <color theme="1"/>
      </left>
      <right/>
      <top style="medium">
        <color auto="1"/>
      </top>
      <bottom style="medium">
        <color auto="1"/>
      </bottom>
      <diagonal/>
    </border>
    <border>
      <left/>
      <right style="medium">
        <color theme="1"/>
      </right>
      <top style="medium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auto="1"/>
      </top>
      <bottom style="medium">
        <color auto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medium">
        <color theme="1"/>
      </right>
      <top style="thin">
        <color auto="1"/>
      </top>
      <bottom style="thin">
        <color theme="1"/>
      </bottom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thin">
        <color auto="1"/>
      </right>
      <top style="thin">
        <color theme="1"/>
      </top>
      <bottom style="double">
        <color theme="1"/>
      </bottom>
      <diagonal/>
    </border>
  </borders>
  <cellStyleXfs count="26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01">
    <xf numFmtId="0" fontId="0" fillId="0" borderId="0" xfId="0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" fillId="0" borderId="0" xfId="0" applyFont="1"/>
    <xf numFmtId="0" fontId="2" fillId="0" borderId="0" xfId="0" applyFont="1" applyFill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0" xfId="0" applyBorder="1"/>
    <xf numFmtId="0" fontId="0" fillId="0" borderId="10" xfId="0" applyBorder="1"/>
    <xf numFmtId="0" fontId="0" fillId="0" borderId="3" xfId="0" applyBorder="1"/>
    <xf numFmtId="0" fontId="0" fillId="0" borderId="0" xfId="0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Font="1" applyBorder="1" applyAlignment="1">
      <alignment horizontal="left" vertical="top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14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left" vertical="center"/>
    </xf>
    <xf numFmtId="0" fontId="8" fillId="0" borderId="1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31" xfId="0" applyFont="1" applyFill="1" applyBorder="1" applyAlignment="1">
      <alignment horizontal="center"/>
    </xf>
    <xf numFmtId="0" fontId="10" fillId="0" borderId="32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0" fillId="0" borderId="29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3" xfId="0" applyFont="1" applyBorder="1" applyAlignment="1">
      <alignment horizontal="center" vertical="center"/>
    </xf>
    <xf numFmtId="0" fontId="7" fillId="0" borderId="6" xfId="0" applyFont="1" applyBorder="1"/>
    <xf numFmtId="0" fontId="7" fillId="0" borderId="26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right" vertical="center" wrapText="1"/>
    </xf>
    <xf numFmtId="0" fontId="7" fillId="0" borderId="6" xfId="0" applyFont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8" xfId="0" applyFont="1" applyBorder="1" applyAlignment="1">
      <alignment horizontal="left" vertical="center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right" vertical="center" wrapText="1"/>
    </xf>
    <xf numFmtId="0" fontId="7" fillId="0" borderId="9" xfId="0" applyFont="1" applyBorder="1" applyAlignment="1">
      <alignment horizontal="left" vertical="center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vertical="top"/>
    </xf>
    <xf numFmtId="0" fontId="7" fillId="0" borderId="26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/>
    </xf>
    <xf numFmtId="0" fontId="7" fillId="0" borderId="38" xfId="0" applyFont="1" applyBorder="1" applyAlignment="1">
      <alignment horizontal="center" vertical="top" wrapText="1"/>
    </xf>
    <xf numFmtId="0" fontId="7" fillId="0" borderId="13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top"/>
    </xf>
    <xf numFmtId="0" fontId="7" fillId="0" borderId="3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top"/>
    </xf>
    <xf numFmtId="0" fontId="7" fillId="0" borderId="40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0" borderId="26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7" fillId="0" borderId="38" xfId="0" applyFont="1" applyBorder="1" applyAlignment="1">
      <alignment horizontal="left" vertical="center"/>
    </xf>
    <xf numFmtId="0" fontId="7" fillId="0" borderId="13" xfId="0" applyFont="1" applyBorder="1" applyAlignment="1">
      <alignment vertical="top"/>
    </xf>
    <xf numFmtId="0" fontId="8" fillId="0" borderId="13" xfId="0" applyFont="1" applyFill="1" applyBorder="1" applyAlignment="1">
      <alignment horizontal="left" vertical="center"/>
    </xf>
    <xf numFmtId="0" fontId="7" fillId="0" borderId="13" xfId="0" applyFont="1" applyFill="1" applyBorder="1" applyAlignment="1">
      <alignment horizontal="center" vertical="top"/>
    </xf>
    <xf numFmtId="0" fontId="8" fillId="0" borderId="0" xfId="0" applyFont="1" applyAlignment="1">
      <alignment horizontal="left" vertical="top"/>
    </xf>
    <xf numFmtId="0" fontId="7" fillId="0" borderId="0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vertical="top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8" xfId="0" applyBorder="1"/>
    <xf numFmtId="0" fontId="2" fillId="0" borderId="0" xfId="0" quotePrefix="1" applyFont="1" applyFill="1" applyAlignment="1">
      <alignment horizontal="left" vertical="top"/>
    </xf>
    <xf numFmtId="0" fontId="8" fillId="0" borderId="43" xfId="0" applyFont="1" applyFill="1" applyBorder="1" applyAlignment="1">
      <alignment horizontal="right" vertical="center"/>
    </xf>
    <xf numFmtId="0" fontId="7" fillId="0" borderId="44" xfId="0" applyFont="1" applyBorder="1" applyAlignment="1">
      <alignment horizontal="center" vertical="center"/>
    </xf>
    <xf numFmtId="0" fontId="7" fillId="0" borderId="0" xfId="0" applyFont="1" applyBorder="1" applyAlignment="1">
      <alignment horizontal="right" vertical="top"/>
    </xf>
    <xf numFmtId="0" fontId="14" fillId="0" borderId="0" xfId="0" applyFont="1" applyAlignment="1">
      <alignment horizontal="center" vertical="top"/>
    </xf>
    <xf numFmtId="164" fontId="0" fillId="0" borderId="0" xfId="0" applyNumberFormat="1"/>
    <xf numFmtId="0" fontId="7" fillId="0" borderId="13" xfId="0" applyFont="1" applyFill="1" applyBorder="1" applyAlignment="1">
      <alignment horizontal="center" vertical="center"/>
    </xf>
    <xf numFmtId="0" fontId="7" fillId="0" borderId="0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5" xfId="0" applyFont="1" applyBorder="1" applyAlignment="1">
      <alignment horizontal="center" vertical="top"/>
    </xf>
    <xf numFmtId="0" fontId="7" fillId="0" borderId="45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164" fontId="1" fillId="0" borderId="0" xfId="0" applyNumberFormat="1" applyFont="1" applyAlignment="1">
      <alignment horizontal="left" vertical="top" wrapText="1"/>
    </xf>
    <xf numFmtId="164" fontId="1" fillId="0" borderId="0" xfId="0" applyNumberFormat="1" applyFont="1" applyAlignment="1">
      <alignment horizontal="right" vertical="top"/>
    </xf>
    <xf numFmtId="164" fontId="1" fillId="0" borderId="0" xfId="0" applyNumberFormat="1" applyFont="1" applyAlignment="1">
      <alignment vertical="top"/>
    </xf>
    <xf numFmtId="164" fontId="1" fillId="0" borderId="0" xfId="0" applyNumberFormat="1" applyFont="1" applyAlignment="1">
      <alignment vertical="top" wrapText="1"/>
    </xf>
    <xf numFmtId="0" fontId="1" fillId="0" borderId="10" xfId="0" applyFont="1" applyBorder="1" applyAlignment="1">
      <alignment vertical="top"/>
    </xf>
    <xf numFmtId="0" fontId="0" fillId="0" borderId="10" xfId="0" applyFill="1" applyBorder="1"/>
    <xf numFmtId="164" fontId="0" fillId="0" borderId="0" xfId="0" applyNumberFormat="1" applyAlignment="1">
      <alignment vertical="top"/>
    </xf>
    <xf numFmtId="164" fontId="1" fillId="0" borderId="10" xfId="0" applyNumberFormat="1" applyFont="1" applyBorder="1" applyAlignment="1">
      <alignment vertical="top"/>
    </xf>
    <xf numFmtId="164" fontId="0" fillId="0" borderId="10" xfId="0" applyNumberFormat="1" applyBorder="1"/>
    <xf numFmtId="0" fontId="0" fillId="0" borderId="4" xfId="0" applyBorder="1"/>
    <xf numFmtId="0" fontId="0" fillId="0" borderId="10" xfId="0" applyBorder="1" applyAlignment="1">
      <alignment horizontal="left" vertical="top"/>
    </xf>
    <xf numFmtId="164" fontId="1" fillId="0" borderId="0" xfId="0" applyNumberFormat="1" applyFont="1" applyAlignment="1">
      <alignment horizontal="left" vertical="top"/>
    </xf>
    <xf numFmtId="164" fontId="0" fillId="0" borderId="8" xfId="0" applyNumberFormat="1" applyFont="1" applyBorder="1"/>
    <xf numFmtId="164" fontId="5" fillId="0" borderId="0" xfId="0" applyNumberFormat="1" applyFont="1" applyAlignment="1">
      <alignment horizontal="left" vertical="top"/>
    </xf>
    <xf numFmtId="164" fontId="0" fillId="0" borderId="0" xfId="0" applyNumberFormat="1" applyBorder="1"/>
    <xf numFmtId="0" fontId="1" fillId="0" borderId="0" xfId="0" applyFont="1" applyBorder="1"/>
    <xf numFmtId="164" fontId="1" fillId="0" borderId="0" xfId="0" applyNumberFormat="1" applyFont="1" applyBorder="1"/>
    <xf numFmtId="0" fontId="1" fillId="0" borderId="0" xfId="0" applyFont="1" applyAlignment="1">
      <alignment horizontal="left" vertical="top"/>
    </xf>
    <xf numFmtId="1" fontId="0" fillId="0" borderId="0" xfId="0" applyNumberFormat="1"/>
    <xf numFmtId="0" fontId="0" fillId="0" borderId="10" xfId="0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1" fillId="0" borderId="0" xfId="0" applyFont="1" applyAlignment="1">
      <alignment vertical="center" textRotation="90" wrapText="1"/>
    </xf>
    <xf numFmtId="164" fontId="1" fillId="0" borderId="0" xfId="0" applyNumberFormat="1" applyFont="1" applyAlignment="1">
      <alignment wrapText="1"/>
    </xf>
    <xf numFmtId="0" fontId="5" fillId="0" borderId="0" xfId="0" applyFont="1" applyAlignment="1">
      <alignment horizontal="left" vertical="top" wrapText="1"/>
    </xf>
    <xf numFmtId="164" fontId="0" fillId="0" borderId="0" xfId="0" applyNumberFormat="1" applyAlignment="1">
      <alignment horizontal="left" wrapText="1"/>
    </xf>
    <xf numFmtId="164" fontId="0" fillId="0" borderId="0" xfId="0" applyNumberFormat="1" applyBorder="1" applyAlignment="1">
      <alignment horizontal="left" wrapText="1"/>
    </xf>
    <xf numFmtId="0" fontId="0" fillId="0" borderId="0" xfId="0" applyBorder="1" applyAlignment="1">
      <alignment wrapText="1"/>
    </xf>
    <xf numFmtId="0" fontId="12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12" fillId="0" borderId="0" xfId="0" applyFont="1"/>
    <xf numFmtId="0" fontId="12" fillId="0" borderId="0" xfId="0" applyFont="1" applyBorder="1"/>
    <xf numFmtId="0" fontId="7" fillId="0" borderId="5" xfId="0" applyFont="1" applyBorder="1" applyAlignment="1">
      <alignment horizontal="left" vertical="center"/>
    </xf>
    <xf numFmtId="0" fontId="12" fillId="0" borderId="10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46" xfId="0" applyFont="1" applyBorder="1" applyAlignment="1">
      <alignment horizontal="center" vertical="center"/>
    </xf>
    <xf numFmtId="0" fontId="12" fillId="0" borderId="48" xfId="0" applyFont="1" applyBorder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vertical="top"/>
    </xf>
    <xf numFmtId="0" fontId="15" fillId="0" borderId="0" xfId="0" applyFont="1" applyBorder="1" applyAlignment="1">
      <alignment vertical="center"/>
    </xf>
    <xf numFmtId="0" fontId="12" fillId="0" borderId="0" xfId="0" applyFont="1" applyFill="1" applyBorder="1" applyAlignment="1">
      <alignment horizontal="center" vertical="top"/>
    </xf>
    <xf numFmtId="0" fontId="15" fillId="0" borderId="52" xfId="0" applyFont="1" applyFill="1" applyBorder="1" applyAlignment="1">
      <alignment horizontal="right" vertical="center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/>
    <xf numFmtId="0" fontId="1" fillId="4" borderId="0" xfId="0" applyFont="1" applyFill="1" applyAlignment="1">
      <alignment horizontal="right" vertical="top"/>
    </xf>
    <xf numFmtId="0" fontId="1" fillId="4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left" wrapText="1"/>
    </xf>
    <xf numFmtId="0" fontId="15" fillId="0" borderId="0" xfId="0" applyFont="1" applyFill="1" applyBorder="1"/>
    <xf numFmtId="0" fontId="15" fillId="0" borderId="0" xfId="0" applyNumberFormat="1" applyFont="1"/>
    <xf numFmtId="0" fontId="20" fillId="0" borderId="0" xfId="0" applyFont="1" applyFill="1" applyBorder="1"/>
    <xf numFmtId="0" fontId="12" fillId="0" borderId="0" xfId="0" applyFont="1" applyBorder="1" applyAlignment="1"/>
    <xf numFmtId="0" fontId="15" fillId="0" borderId="0" xfId="0" applyFont="1" applyBorder="1" applyAlignment="1"/>
    <xf numFmtId="0" fontId="15" fillId="0" borderId="0" xfId="0" applyFont="1" applyBorder="1"/>
    <xf numFmtId="0" fontId="15" fillId="0" borderId="0" xfId="0" applyFont="1" applyFill="1" applyBorder="1" applyAlignment="1">
      <alignment vertical="top"/>
    </xf>
    <xf numFmtId="0" fontId="15" fillId="0" borderId="0" xfId="0" applyFont="1" applyAlignment="1">
      <alignment vertical="top"/>
    </xf>
    <xf numFmtId="0" fontId="12" fillId="0" borderId="0" xfId="0" applyFont="1" applyFill="1" applyBorder="1"/>
    <xf numFmtId="0" fontId="12" fillId="0" borderId="0" xfId="0" applyFont="1" applyFill="1" applyBorder="1" applyAlignment="1">
      <alignment vertical="top"/>
    </xf>
    <xf numFmtId="0" fontId="12" fillId="0" borderId="0" xfId="0" applyFont="1" applyAlignment="1">
      <alignment vertical="top"/>
    </xf>
    <xf numFmtId="0" fontId="12" fillId="0" borderId="0" xfId="0" applyFont="1" applyFill="1" applyBorder="1" applyAlignment="1">
      <alignment horizontal="left"/>
    </xf>
    <xf numFmtId="0" fontId="12" fillId="0" borderId="0" xfId="0" applyNumberFormat="1" applyFont="1"/>
    <xf numFmtId="0" fontId="21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7" fillId="0" borderId="20" xfId="0" applyFont="1" applyBorder="1" applyAlignment="1">
      <alignment horizontal="left" vertical="center"/>
    </xf>
    <xf numFmtId="0" fontId="7" fillId="0" borderId="61" xfId="0" applyFont="1" applyBorder="1" applyAlignment="1">
      <alignment horizontal="left" vertical="center"/>
    </xf>
    <xf numFmtId="0" fontId="7" fillId="0" borderId="62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7" fillId="0" borderId="0" xfId="0" applyFont="1" applyBorder="1"/>
    <xf numFmtId="0" fontId="9" fillId="0" borderId="0" xfId="0" applyFont="1" applyFill="1" applyBorder="1" applyAlignment="1">
      <alignment horizontal="left" vertical="center"/>
    </xf>
    <xf numFmtId="0" fontId="12" fillId="0" borderId="41" xfId="0" applyFont="1" applyBorder="1" applyAlignment="1">
      <alignment horizontal="center" vertical="center" wrapText="1"/>
    </xf>
    <xf numFmtId="0" fontId="20" fillId="0" borderId="33" xfId="0" applyFont="1" applyBorder="1" applyAlignment="1">
      <alignment horizontal="center" vertical="center"/>
    </xf>
    <xf numFmtId="0" fontId="15" fillId="0" borderId="48" xfId="0" applyFont="1" applyBorder="1" applyAlignment="1">
      <alignment vertical="center"/>
    </xf>
    <xf numFmtId="0" fontId="15" fillId="0" borderId="50" xfId="0" applyFont="1" applyBorder="1" applyAlignment="1">
      <alignment vertical="center"/>
    </xf>
    <xf numFmtId="0" fontId="12" fillId="0" borderId="0" xfId="0" applyFont="1" applyAlignment="1">
      <alignment horizontal="left" vertical="center" wrapText="1"/>
    </xf>
    <xf numFmtId="0" fontId="19" fillId="0" borderId="0" xfId="0" applyFont="1" applyBorder="1" applyAlignment="1">
      <alignment vertical="center" textRotation="90"/>
    </xf>
    <xf numFmtId="0" fontId="11" fillId="0" borderId="0" xfId="0" applyFont="1" applyFill="1" applyBorder="1" applyAlignment="1">
      <alignment vertical="center" wrapText="1"/>
    </xf>
    <xf numFmtId="0" fontId="12" fillId="0" borderId="0" xfId="0" applyFont="1" applyFill="1"/>
    <xf numFmtId="0" fontId="16" fillId="0" borderId="0" xfId="0" applyFont="1" applyBorder="1" applyAlignment="1">
      <alignment vertical="center" wrapText="1"/>
    </xf>
    <xf numFmtId="0" fontId="1" fillId="0" borderId="54" xfId="0" applyFont="1" applyBorder="1" applyAlignment="1">
      <alignment vertical="top"/>
    </xf>
    <xf numFmtId="0" fontId="0" fillId="0" borderId="54" xfId="0" applyBorder="1"/>
    <xf numFmtId="0" fontId="0" fillId="0" borderId="12" xfId="0" applyBorder="1"/>
    <xf numFmtId="164" fontId="5" fillId="0" borderId="0" xfId="0" applyNumberFormat="1" applyFont="1"/>
    <xf numFmtId="164" fontId="0" fillId="0" borderId="8" xfId="0" applyNumberFormat="1" applyBorder="1"/>
    <xf numFmtId="164" fontId="5" fillId="0" borderId="0" xfId="0" applyNumberFormat="1" applyFont="1" applyBorder="1"/>
    <xf numFmtId="0" fontId="0" fillId="0" borderId="0" xfId="0" applyAlignment="1">
      <alignment horizontal="center"/>
    </xf>
    <xf numFmtId="164" fontId="5" fillId="0" borderId="0" xfId="0" applyNumberFormat="1" applyFon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left"/>
    </xf>
    <xf numFmtId="164" fontId="6" fillId="0" borderId="0" xfId="0" applyNumberFormat="1" applyFont="1"/>
    <xf numFmtId="164" fontId="1" fillId="0" borderId="0" xfId="0" applyNumberFormat="1" applyFont="1"/>
    <xf numFmtId="0" fontId="0" fillId="0" borderId="0" xfId="0" applyNumberFormat="1"/>
    <xf numFmtId="0" fontId="6" fillId="0" borderId="0" xfId="0" applyNumberFormat="1" applyFont="1"/>
    <xf numFmtId="0" fontId="0" fillId="0" borderId="0" xfId="0" applyNumberFormat="1" applyBorder="1"/>
    <xf numFmtId="0" fontId="12" fillId="0" borderId="0" xfId="0" applyFont="1" applyAlignment="1">
      <alignment textRotation="90"/>
    </xf>
    <xf numFmtId="164" fontId="5" fillId="0" borderId="0" xfId="0" applyNumberFormat="1" applyFont="1" applyBorder="1" applyAlignment="1">
      <alignment horizontal="left" vertical="top"/>
    </xf>
    <xf numFmtId="0" fontId="0" fillId="0" borderId="0" xfId="0" applyFill="1" applyBorder="1"/>
    <xf numFmtId="0" fontId="0" fillId="0" borderId="0" xfId="0" applyFont="1" applyBorder="1" applyAlignment="1">
      <alignment horizontal="left"/>
    </xf>
    <xf numFmtId="0" fontId="9" fillId="4" borderId="16" xfId="0" applyFont="1" applyFill="1" applyBorder="1" applyAlignment="1">
      <alignment horizontal="left" vertical="center"/>
    </xf>
    <xf numFmtId="0" fontId="21" fillId="4" borderId="21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12" fillId="0" borderId="60" xfId="0" applyFont="1" applyFill="1" applyBorder="1" applyAlignment="1">
      <alignment vertical="top"/>
    </xf>
    <xf numFmtId="0" fontId="12" fillId="0" borderId="70" xfId="0" applyFont="1" applyFill="1" applyBorder="1" applyAlignment="1">
      <alignment vertical="top"/>
    </xf>
    <xf numFmtId="0" fontId="12" fillId="0" borderId="0" xfId="0" applyFont="1" applyFill="1" applyBorder="1" applyAlignment="1"/>
    <xf numFmtId="164" fontId="1" fillId="0" borderId="0" xfId="0" applyNumberFormat="1" applyFont="1" applyAlignment="1">
      <alignment horizontal="left"/>
    </xf>
    <xf numFmtId="0" fontId="20" fillId="0" borderId="68" xfId="0" applyFont="1" applyBorder="1" applyAlignment="1">
      <alignment horizontal="center" vertical="center"/>
    </xf>
    <xf numFmtId="164" fontId="0" fillId="0" borderId="0" xfId="0" applyNumberFormat="1" applyAlignment="1">
      <alignment vertical="top" wrapText="1"/>
    </xf>
    <xf numFmtId="0" fontId="12" fillId="0" borderId="0" xfId="0" applyFont="1" applyBorder="1" applyAlignment="1">
      <alignment vertical="top"/>
    </xf>
    <xf numFmtId="164" fontId="1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0" xfId="0" applyBorder="1" applyAlignment="1">
      <alignment vertical="top" wrapText="1"/>
    </xf>
    <xf numFmtId="164" fontId="1" fillId="0" borderId="10" xfId="0" applyNumberFormat="1" applyFont="1" applyBorder="1"/>
    <xf numFmtId="0" fontId="14" fillId="0" borderId="0" xfId="0" applyFont="1" applyFill="1" applyBorder="1" applyAlignment="1">
      <alignment vertical="center" wrapText="1"/>
    </xf>
    <xf numFmtId="0" fontId="12" fillId="0" borderId="4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4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0" xfId="0" applyFont="1" applyAlignment="1">
      <alignment horizontal="left" wrapText="1"/>
    </xf>
    <xf numFmtId="0" fontId="12" fillId="0" borderId="72" xfId="0" applyFont="1" applyBorder="1" applyAlignment="1">
      <alignment horizontal="center" vertical="center"/>
    </xf>
    <xf numFmtId="0" fontId="12" fillId="0" borderId="75" xfId="0" applyFont="1" applyBorder="1" applyAlignment="1">
      <alignment horizontal="center" vertical="center"/>
    </xf>
    <xf numFmtId="0" fontId="12" fillId="0" borderId="76" xfId="0" applyFont="1" applyBorder="1" applyAlignment="1">
      <alignment horizontal="center" vertical="center"/>
    </xf>
    <xf numFmtId="0" fontId="12" fillId="0" borderId="77" xfId="0" applyFont="1" applyBorder="1" applyAlignment="1">
      <alignment horizontal="center" vertical="center"/>
    </xf>
    <xf numFmtId="0" fontId="12" fillId="0" borderId="58" xfId="0" applyFont="1" applyFill="1" applyBorder="1" applyAlignment="1">
      <alignment vertical="top"/>
    </xf>
    <xf numFmtId="0" fontId="12" fillId="0" borderId="69" xfId="0" applyFont="1" applyFill="1" applyBorder="1" applyAlignment="1">
      <alignment vertical="top"/>
    </xf>
    <xf numFmtId="0" fontId="12" fillId="0" borderId="3" xfId="0" applyFont="1" applyFill="1" applyBorder="1" applyAlignment="1">
      <alignment vertical="top"/>
    </xf>
    <xf numFmtId="0" fontId="12" fillId="0" borderId="84" xfId="0" applyFont="1" applyFill="1" applyBorder="1" applyAlignment="1">
      <alignment vertical="top"/>
    </xf>
    <xf numFmtId="0" fontId="12" fillId="0" borderId="84" xfId="0" applyFont="1" applyFill="1" applyBorder="1" applyAlignment="1">
      <alignment horizontal="left" vertical="top"/>
    </xf>
    <xf numFmtId="0" fontId="12" fillId="0" borderId="85" xfId="0" applyFont="1" applyFill="1" applyBorder="1" applyAlignment="1">
      <alignment vertical="top"/>
    </xf>
    <xf numFmtId="0" fontId="12" fillId="0" borderId="88" xfId="0" applyFont="1" applyFill="1" applyBorder="1" applyAlignment="1">
      <alignment vertical="top"/>
    </xf>
    <xf numFmtId="0" fontId="12" fillId="0" borderId="71" xfId="0" applyFont="1" applyFill="1" applyBorder="1" applyAlignment="1">
      <alignment vertical="top"/>
    </xf>
    <xf numFmtId="0" fontId="12" fillId="0" borderId="89" xfId="0" applyFont="1" applyFill="1" applyBorder="1" applyAlignment="1">
      <alignment vertical="top"/>
    </xf>
    <xf numFmtId="0" fontId="12" fillId="0" borderId="70" xfId="0" applyFont="1" applyFill="1" applyBorder="1" applyAlignment="1">
      <alignment horizontal="left" vertical="top"/>
    </xf>
    <xf numFmtId="0" fontId="12" fillId="0" borderId="70" xfId="0" applyFont="1" applyFill="1" applyBorder="1" applyAlignment="1">
      <alignment horizontal="left" vertical="top" wrapText="1"/>
    </xf>
    <xf numFmtId="0" fontId="12" fillId="0" borderId="71" xfId="0" applyFont="1" applyFill="1" applyBorder="1" applyAlignment="1">
      <alignment horizontal="left" vertical="top"/>
    </xf>
    <xf numFmtId="0" fontId="20" fillId="0" borderId="70" xfId="0" applyFont="1" applyFill="1" applyBorder="1" applyAlignment="1">
      <alignment vertical="top"/>
    </xf>
    <xf numFmtId="0" fontId="12" fillId="0" borderId="70" xfId="0" applyFont="1" applyFill="1" applyBorder="1"/>
    <xf numFmtId="0" fontId="12" fillId="0" borderId="90" xfId="0" applyFont="1" applyFill="1" applyBorder="1" applyAlignment="1">
      <alignment vertical="top"/>
    </xf>
    <xf numFmtId="0" fontId="12" fillId="0" borderId="82" xfId="0" applyNumberFormat="1" applyFont="1" applyFill="1" applyBorder="1" applyAlignment="1">
      <alignment horizontal="center" vertical="top"/>
    </xf>
    <xf numFmtId="0" fontId="12" fillId="0" borderId="87" xfId="0" applyNumberFormat="1" applyFont="1" applyFill="1" applyBorder="1" applyAlignment="1">
      <alignment horizontal="center" vertical="top"/>
    </xf>
    <xf numFmtId="0" fontId="12" fillId="0" borderId="69" xfId="0" applyFont="1" applyFill="1" applyBorder="1" applyAlignment="1">
      <alignment horizontal="center" vertical="center"/>
    </xf>
    <xf numFmtId="0" fontId="12" fillId="0" borderId="82" xfId="0" applyFont="1" applyFill="1" applyBorder="1" applyAlignment="1">
      <alignment horizontal="center" vertical="center"/>
    </xf>
    <xf numFmtId="0" fontId="12" fillId="0" borderId="70" xfId="0" applyFont="1" applyFill="1" applyBorder="1" applyAlignment="1">
      <alignment horizontal="center" vertical="center"/>
    </xf>
    <xf numFmtId="0" fontId="12" fillId="0" borderId="87" xfId="0" applyFont="1" applyFill="1" applyBorder="1" applyAlignment="1">
      <alignment horizontal="center" vertical="center"/>
    </xf>
    <xf numFmtId="1" fontId="12" fillId="0" borderId="83" xfId="0" applyNumberFormat="1" applyFont="1" applyFill="1" applyBorder="1" applyAlignment="1">
      <alignment horizontal="center" vertical="center"/>
    </xf>
    <xf numFmtId="1" fontId="12" fillId="0" borderId="86" xfId="0" applyNumberFormat="1" applyFont="1" applyFill="1" applyBorder="1" applyAlignment="1">
      <alignment horizontal="center" vertical="center"/>
    </xf>
    <xf numFmtId="0" fontId="12" fillId="0" borderId="58" xfId="0" applyNumberFormat="1" applyFont="1" applyFill="1" applyBorder="1" applyAlignment="1">
      <alignment vertical="center"/>
    </xf>
    <xf numFmtId="0" fontId="12" fillId="0" borderId="60" xfId="0" applyNumberFormat="1" applyFont="1" applyFill="1" applyBorder="1" applyAlignment="1">
      <alignment vertical="center"/>
    </xf>
    <xf numFmtId="0" fontId="12" fillId="0" borderId="60" xfId="0" applyFont="1" applyFill="1" applyBorder="1" applyAlignment="1">
      <alignment vertical="center"/>
    </xf>
    <xf numFmtId="0" fontId="0" fillId="0" borderId="6" xfId="0" applyBorder="1"/>
    <xf numFmtId="0" fontId="12" fillId="0" borderId="92" xfId="0" applyFont="1" applyBorder="1" applyAlignment="1">
      <alignment horizontal="center" vertical="center"/>
    </xf>
    <xf numFmtId="0" fontId="12" fillId="0" borderId="93" xfId="0" applyFont="1" applyBorder="1" applyAlignment="1">
      <alignment horizontal="center" vertical="center"/>
    </xf>
    <xf numFmtId="0" fontId="17" fillId="0" borderId="0" xfId="0" applyFont="1" applyFill="1" applyBorder="1" applyAlignment="1">
      <alignment horizontal="center" textRotation="90" wrapText="1"/>
    </xf>
    <xf numFmtId="0" fontId="12" fillId="0" borderId="0" xfId="0" applyFont="1" applyFill="1" applyBorder="1" applyAlignment="1">
      <alignment vertical="top" wrapText="1"/>
    </xf>
    <xf numFmtId="0" fontId="7" fillId="0" borderId="0" xfId="0" applyFont="1" applyAlignment="1">
      <alignment horizontal="left" vertical="center" wrapText="1"/>
    </xf>
    <xf numFmtId="0" fontId="7" fillId="0" borderId="10" xfId="0" applyFont="1" applyBorder="1" applyAlignment="1">
      <alignment horizontal="left" vertical="center" wrapText="1"/>
    </xf>
    <xf numFmtId="0" fontId="0" fillId="0" borderId="10" xfId="0" applyBorder="1" applyAlignment="1">
      <alignment vertical="top"/>
    </xf>
    <xf numFmtId="164" fontId="0" fillId="0" borderId="0" xfId="0" applyNumberFormat="1" applyAlignment="1">
      <alignment horizontal="left"/>
    </xf>
    <xf numFmtId="0" fontId="7" fillId="0" borderId="0" xfId="0" applyFont="1" applyBorder="1" applyAlignment="1">
      <alignment vertical="top" wrapText="1"/>
    </xf>
    <xf numFmtId="0" fontId="7" fillId="0" borderId="0" xfId="0" applyFont="1" applyAlignment="1">
      <alignment horizontal="left" wrapText="1"/>
    </xf>
    <xf numFmtId="0" fontId="15" fillId="0" borderId="0" xfId="0" applyFont="1" applyBorder="1" applyAlignment="1">
      <alignment vertical="center" wrapText="1"/>
    </xf>
    <xf numFmtId="164" fontId="15" fillId="0" borderId="0" xfId="0" applyNumberFormat="1" applyFont="1" applyBorder="1" applyAlignment="1">
      <alignment vertical="center" wrapText="1"/>
    </xf>
    <xf numFmtId="0" fontId="0" fillId="0" borderId="0" xfId="0" applyAlignment="1">
      <alignment vertical="top" wrapText="1"/>
    </xf>
    <xf numFmtId="0" fontId="20" fillId="9" borderId="103" xfId="0" applyFont="1" applyFill="1" applyBorder="1" applyAlignment="1">
      <alignment vertical="top"/>
    </xf>
    <xf numFmtId="0" fontId="20" fillId="10" borderId="104" xfId="0" applyFont="1" applyFill="1" applyBorder="1" applyAlignment="1">
      <alignment horizontal="left" vertical="top"/>
    </xf>
    <xf numFmtId="0" fontId="20" fillId="9" borderId="104" xfId="0" applyFont="1" applyFill="1" applyBorder="1" applyAlignment="1">
      <alignment horizontal="left" vertical="top"/>
    </xf>
    <xf numFmtId="0" fontId="20" fillId="9" borderId="104" xfId="0" applyFont="1" applyFill="1" applyBorder="1" applyAlignment="1">
      <alignment vertical="top"/>
    </xf>
    <xf numFmtId="0" fontId="20" fillId="10" borderId="104" xfId="0" applyFont="1" applyFill="1" applyBorder="1" applyAlignment="1">
      <alignment vertical="top"/>
    </xf>
    <xf numFmtId="0" fontId="20" fillId="9" borderId="105" xfId="0" applyFont="1" applyFill="1" applyBorder="1" applyAlignment="1">
      <alignment horizontal="left" vertical="top"/>
    </xf>
    <xf numFmtId="164" fontId="0" fillId="0" borderId="10" xfId="0" applyNumberFormat="1" applyBorder="1" applyAlignment="1">
      <alignment horizontal="left"/>
    </xf>
    <xf numFmtId="0" fontId="11" fillId="2" borderId="10" xfId="0" applyFont="1" applyFill="1" applyBorder="1" applyAlignment="1">
      <alignment vertical="top" wrapText="1"/>
    </xf>
    <xf numFmtId="0" fontId="11" fillId="2" borderId="10" xfId="0" applyFont="1" applyFill="1" applyBorder="1" applyAlignment="1">
      <alignment horizontal="left" vertical="top" wrapText="1"/>
    </xf>
    <xf numFmtId="0" fontId="15" fillId="0" borderId="0" xfId="0" applyFont="1" applyFill="1" applyAlignment="1">
      <alignment vertical="top"/>
    </xf>
    <xf numFmtId="0" fontId="23" fillId="0" borderId="26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vertical="center"/>
    </xf>
    <xf numFmtId="0" fontId="23" fillId="0" borderId="0" xfId="0" applyFont="1" applyFill="1" applyBorder="1" applyAlignment="1">
      <alignment horizontal="center" vertical="center"/>
    </xf>
    <xf numFmtId="0" fontId="18" fillId="4" borderId="54" xfId="0" applyFont="1" applyFill="1" applyBorder="1" applyAlignment="1"/>
    <xf numFmtId="0" fontId="9" fillId="4" borderId="54" xfId="0" applyFont="1" applyFill="1" applyBorder="1" applyAlignment="1">
      <alignment horizontal="center"/>
    </xf>
    <xf numFmtId="0" fontId="11" fillId="2" borderId="57" xfId="0" applyFont="1" applyFill="1" applyBorder="1" applyAlignment="1">
      <alignment horizontal="left" vertical="top" wrapText="1"/>
    </xf>
    <xf numFmtId="0" fontId="11" fillId="2" borderId="112" xfId="0" applyFont="1" applyFill="1" applyBorder="1" applyAlignment="1">
      <alignment horizontal="center" vertical="top"/>
    </xf>
    <xf numFmtId="0" fontId="11" fillId="2" borderId="113" xfId="0" applyNumberFormat="1" applyFont="1" applyFill="1" applyBorder="1" applyAlignment="1">
      <alignment horizontal="left" vertical="top" wrapText="1"/>
    </xf>
    <xf numFmtId="0" fontId="11" fillId="2" borderId="114" xfId="0" applyFont="1" applyFill="1" applyBorder="1" applyAlignment="1">
      <alignment horizontal="left" vertical="top" wrapText="1"/>
    </xf>
    <xf numFmtId="0" fontId="11" fillId="8" borderId="115" xfId="0" applyFont="1" applyFill="1" applyBorder="1" applyAlignment="1">
      <alignment horizontal="left" vertical="top" wrapText="1"/>
    </xf>
    <xf numFmtId="0" fontId="25" fillId="7" borderId="10" xfId="0" applyFont="1" applyFill="1" applyBorder="1" applyAlignment="1">
      <alignment horizontal="center" textRotation="90"/>
    </xf>
    <xf numFmtId="0" fontId="25" fillId="7" borderId="91" xfId="0" applyFont="1" applyFill="1" applyBorder="1" applyAlignment="1">
      <alignment horizontal="center" textRotation="90"/>
    </xf>
    <xf numFmtId="0" fontId="25" fillId="6" borderId="10" xfId="0" applyFont="1" applyFill="1" applyBorder="1" applyAlignment="1">
      <alignment horizontal="center" textRotation="90"/>
    </xf>
    <xf numFmtId="0" fontId="25" fillId="6" borderId="91" xfId="0" applyFont="1" applyFill="1" applyBorder="1" applyAlignment="1">
      <alignment horizontal="center" textRotation="90"/>
    </xf>
    <xf numFmtId="0" fontId="26" fillId="2" borderId="10" xfId="0" applyFont="1" applyFill="1" applyBorder="1" applyAlignment="1">
      <alignment horizontal="center" textRotation="90" wrapText="1"/>
    </xf>
    <xf numFmtId="0" fontId="26" fillId="2" borderId="91" xfId="0" applyFont="1" applyFill="1" applyBorder="1" applyAlignment="1">
      <alignment horizontal="center" textRotation="90" wrapText="1"/>
    </xf>
    <xf numFmtId="0" fontId="11" fillId="2" borderId="0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vertical="top"/>
    </xf>
    <xf numFmtId="0" fontId="12" fillId="2" borderId="0" xfId="0" applyFont="1" applyFill="1" applyBorder="1"/>
    <xf numFmtId="0" fontId="23" fillId="4" borderId="120" xfId="0" applyFont="1" applyFill="1" applyBorder="1" applyAlignment="1">
      <alignment vertical="center"/>
    </xf>
    <xf numFmtId="0" fontId="15" fillId="11" borderId="51" xfId="0" applyFont="1" applyFill="1" applyBorder="1" applyAlignment="1">
      <alignment horizontal="right" vertical="center"/>
    </xf>
    <xf numFmtId="0" fontId="15" fillId="11" borderId="50" xfId="0" applyFont="1" applyFill="1" applyBorder="1" applyAlignment="1">
      <alignment horizontal="center" vertical="center"/>
    </xf>
    <xf numFmtId="0" fontId="12" fillId="11" borderId="10" xfId="0" applyFont="1" applyFill="1" applyBorder="1" applyAlignment="1">
      <alignment horizontal="center" vertical="center" wrapText="1"/>
    </xf>
    <xf numFmtId="0" fontId="15" fillId="11" borderId="6" xfId="0" applyFont="1" applyFill="1" applyBorder="1" applyAlignment="1">
      <alignment horizontal="left" vertical="center"/>
    </xf>
    <xf numFmtId="0" fontId="12" fillId="11" borderId="7" xfId="0" applyFont="1" applyFill="1" applyBorder="1" applyAlignment="1">
      <alignment horizontal="center" vertical="center" wrapText="1"/>
    </xf>
    <xf numFmtId="0" fontId="15" fillId="11" borderId="9" xfId="0" applyFont="1" applyFill="1" applyBorder="1" applyAlignment="1">
      <alignment horizontal="left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6" xfId="0" applyFont="1" applyFill="1" applyBorder="1" applyAlignment="1">
      <alignment horizontal="left" vertical="center"/>
    </xf>
    <xf numFmtId="0" fontId="12" fillId="11" borderId="3" xfId="0" applyFont="1" applyFill="1" applyBorder="1" applyAlignment="1">
      <alignment horizontal="center" vertical="center" wrapText="1"/>
    </xf>
    <xf numFmtId="0" fontId="15" fillId="11" borderId="5" xfId="0" applyFont="1" applyFill="1" applyBorder="1" applyAlignment="1">
      <alignment horizontal="left" vertical="center"/>
    </xf>
    <xf numFmtId="0" fontId="15" fillId="0" borderId="53" xfId="0" applyFont="1" applyBorder="1" applyAlignment="1">
      <alignment horizontal="center" vertical="center"/>
    </xf>
    <xf numFmtId="0" fontId="15" fillId="0" borderId="5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top"/>
    </xf>
    <xf numFmtId="164" fontId="1" fillId="0" borderId="8" xfId="0" applyNumberFormat="1" applyFont="1" applyBorder="1" applyAlignment="1">
      <alignment horizontal="left"/>
    </xf>
    <xf numFmtId="0" fontId="12" fillId="0" borderId="127" xfId="0" applyFont="1" applyBorder="1" applyAlignment="1">
      <alignment horizontal="center" vertical="center"/>
    </xf>
    <xf numFmtId="0" fontId="12" fillId="0" borderId="128" xfId="0" applyFont="1" applyBorder="1" applyAlignment="1">
      <alignment horizontal="center" vertical="center"/>
    </xf>
    <xf numFmtId="0" fontId="12" fillId="0" borderId="129" xfId="0" applyFont="1" applyBorder="1" applyAlignment="1">
      <alignment horizontal="center" vertical="center"/>
    </xf>
    <xf numFmtId="0" fontId="12" fillId="0" borderId="130" xfId="0" applyFont="1" applyBorder="1" applyAlignment="1">
      <alignment horizontal="center" vertical="center"/>
    </xf>
    <xf numFmtId="0" fontId="12" fillId="0" borderId="131" xfId="0" applyFont="1" applyBorder="1" applyAlignment="1">
      <alignment horizontal="center" vertical="center"/>
    </xf>
    <xf numFmtId="0" fontId="12" fillId="0" borderId="132" xfId="0" applyFont="1" applyBorder="1" applyAlignment="1">
      <alignment horizontal="center" vertical="center"/>
    </xf>
    <xf numFmtId="0" fontId="12" fillId="0" borderId="133" xfId="0" applyFont="1" applyBorder="1" applyAlignment="1">
      <alignment horizontal="center" vertical="center"/>
    </xf>
    <xf numFmtId="0" fontId="12" fillId="0" borderId="134" xfId="0" applyFont="1" applyBorder="1" applyAlignment="1">
      <alignment horizontal="center" vertical="center"/>
    </xf>
    <xf numFmtId="0" fontId="17" fillId="0" borderId="0" xfId="0" applyFont="1" applyFill="1" applyBorder="1" applyAlignment="1">
      <alignment vertical="center" textRotation="90"/>
    </xf>
    <xf numFmtId="0" fontId="17" fillId="0" borderId="0" xfId="0" applyFont="1" applyFill="1" applyBorder="1" applyAlignment="1">
      <alignment vertical="center"/>
    </xf>
    <xf numFmtId="0" fontId="17" fillId="4" borderId="73" xfId="0" applyFont="1" applyFill="1" applyBorder="1" applyAlignment="1">
      <alignment horizontal="right" vertical="center"/>
    </xf>
    <xf numFmtId="0" fontId="12" fillId="0" borderId="135" xfId="0" applyFont="1" applyBorder="1" applyAlignment="1">
      <alignment horizontal="center" vertical="center"/>
    </xf>
    <xf numFmtId="0" fontId="12" fillId="0" borderId="136" xfId="0" applyFont="1" applyBorder="1" applyAlignment="1">
      <alignment horizontal="center" vertical="center"/>
    </xf>
    <xf numFmtId="0" fontId="12" fillId="0" borderId="137" xfId="0" applyFont="1" applyBorder="1" applyAlignment="1">
      <alignment horizontal="center" vertical="center"/>
    </xf>
    <xf numFmtId="0" fontId="12" fillId="0" borderId="138" xfId="0" applyFont="1" applyBorder="1" applyAlignment="1">
      <alignment horizontal="center" vertical="center"/>
    </xf>
    <xf numFmtId="0" fontId="28" fillId="11" borderId="144" xfId="0" applyFont="1" applyFill="1" applyBorder="1" applyAlignment="1">
      <alignment horizontal="right" vertical="center"/>
    </xf>
    <xf numFmtId="0" fontId="28" fillId="11" borderId="146" xfId="0" applyFont="1" applyFill="1" applyBorder="1" applyAlignment="1">
      <alignment horizontal="right" vertical="center"/>
    </xf>
    <xf numFmtId="0" fontId="28" fillId="0" borderId="147" xfId="0" applyFont="1" applyFill="1" applyBorder="1" applyAlignment="1">
      <alignment horizontal="right" vertical="center"/>
    </xf>
    <xf numFmtId="0" fontId="28" fillId="11" borderId="145" xfId="0" applyFont="1" applyFill="1" applyBorder="1" applyAlignment="1">
      <alignment horizontal="right" vertical="center"/>
    </xf>
    <xf numFmtId="0" fontId="12" fillId="0" borderId="14" xfId="0" applyFont="1" applyBorder="1" applyAlignment="1"/>
    <xf numFmtId="164" fontId="5" fillId="0" borderId="0" xfId="0" applyNumberFormat="1" applyFont="1" applyFill="1" applyBorder="1"/>
    <xf numFmtId="0" fontId="21" fillId="5" borderId="119" xfId="0" applyFont="1" applyFill="1" applyBorder="1" applyAlignment="1"/>
    <xf numFmtId="0" fontId="21" fillId="5" borderId="117" xfId="0" applyFont="1" applyFill="1" applyBorder="1" applyAlignment="1"/>
    <xf numFmtId="0" fontId="21" fillId="5" borderId="118" xfId="0" applyFont="1" applyFill="1" applyBorder="1" applyAlignment="1">
      <alignment horizontal="left"/>
    </xf>
    <xf numFmtId="0" fontId="9" fillId="4" borderId="120" xfId="0" applyFont="1" applyFill="1" applyBorder="1" applyAlignment="1">
      <alignment horizontal="center"/>
    </xf>
    <xf numFmtId="0" fontId="21" fillId="3" borderId="119" xfId="0" applyFont="1" applyFill="1" applyBorder="1" applyAlignment="1"/>
    <xf numFmtId="0" fontId="21" fillId="3" borderId="117" xfId="0" applyFont="1" applyFill="1" applyBorder="1" applyAlignment="1"/>
    <xf numFmtId="0" fontId="21" fillId="3" borderId="118" xfId="0" applyFont="1" applyFill="1" applyBorder="1" applyAlignment="1">
      <alignment horizontal="left"/>
    </xf>
    <xf numFmtId="0" fontId="0" fillId="0" borderId="9" xfId="0" applyBorder="1"/>
    <xf numFmtId="0" fontId="1" fillId="0" borderId="8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0" fillId="0" borderId="0" xfId="0" applyBorder="1" applyAlignment="1">
      <alignment horizontal="right"/>
    </xf>
    <xf numFmtId="0" fontId="1" fillId="0" borderId="8" xfId="0" applyFont="1" applyFill="1" applyBorder="1" applyAlignment="1">
      <alignment horizontal="right"/>
    </xf>
    <xf numFmtId="164" fontId="0" fillId="0" borderId="7" xfId="0" applyNumberFormat="1" applyBorder="1"/>
    <xf numFmtId="0" fontId="1" fillId="0" borderId="6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6" xfId="0" applyBorder="1" applyAlignment="1">
      <alignment horizontal="center"/>
    </xf>
    <xf numFmtId="164" fontId="6" fillId="0" borderId="6" xfId="0" applyNumberFormat="1" applyFont="1" applyBorder="1" applyAlignment="1"/>
    <xf numFmtId="164" fontId="0" fillId="0" borderId="9" xfId="0" applyNumberFormat="1" applyBorder="1" applyAlignment="1">
      <alignment horizontal="center"/>
    </xf>
    <xf numFmtId="164" fontId="5" fillId="0" borderId="6" xfId="0" applyNumberFormat="1" applyFont="1" applyBorder="1" applyAlignment="1">
      <alignment horizontal="center"/>
    </xf>
    <xf numFmtId="164" fontId="6" fillId="0" borderId="10" xfId="0" applyNumberFormat="1" applyFont="1" applyBorder="1" applyAlignment="1"/>
    <xf numFmtId="164" fontId="5" fillId="0" borderId="10" xfId="0" applyNumberFormat="1" applyFont="1" applyBorder="1"/>
    <xf numFmtId="0" fontId="1" fillId="0" borderId="6" xfId="0" applyFont="1" applyBorder="1"/>
    <xf numFmtId="164" fontId="6" fillId="0" borderId="6" xfId="0" applyNumberFormat="1" applyFont="1" applyBorder="1"/>
    <xf numFmtId="164" fontId="6" fillId="0" borderId="10" xfId="0" applyNumberFormat="1" applyFont="1" applyBorder="1"/>
    <xf numFmtId="164" fontId="6" fillId="0" borderId="6" xfId="0" applyNumberFormat="1" applyFont="1" applyBorder="1" applyAlignment="1">
      <alignment horizontal="center"/>
    </xf>
    <xf numFmtId="164" fontId="15" fillId="0" borderId="6" xfId="0" applyNumberFormat="1" applyFont="1" applyBorder="1" applyAlignment="1">
      <alignment vertical="center" wrapText="1"/>
    </xf>
    <xf numFmtId="164" fontId="1" fillId="0" borderId="9" xfId="0" applyNumberFormat="1" applyFon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6" xfId="0" applyNumberFormat="1" applyBorder="1"/>
    <xf numFmtId="0" fontId="15" fillId="0" borderId="7" xfId="0" applyFont="1" applyBorder="1" applyAlignment="1">
      <alignment horizontal="left" vertical="center" wrapText="1"/>
    </xf>
    <xf numFmtId="0" fontId="15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9" fillId="0" borderId="0" xfId="0" applyFont="1" applyBorder="1" applyAlignment="1">
      <alignment vertical="center" textRotation="90" wrapText="1"/>
    </xf>
    <xf numFmtId="0" fontId="19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164" fontId="28" fillId="0" borderId="54" xfId="0" applyNumberFormat="1" applyFont="1" applyBorder="1" applyAlignment="1">
      <alignment horizontal="left" vertical="top" wrapText="1"/>
    </xf>
    <xf numFmtId="0" fontId="1" fillId="0" borderId="0" xfId="0" applyFont="1" applyAlignment="1">
      <alignment vertical="top" wrapText="1"/>
    </xf>
    <xf numFmtId="164" fontId="6" fillId="0" borderId="0" xfId="0" applyNumberFormat="1" applyFont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164" fontId="0" fillId="0" borderId="0" xfId="0" applyNumberFormat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0" xfId="0" applyNumberFormat="1" applyAlignment="1">
      <alignment vertical="top" wrapText="1"/>
    </xf>
    <xf numFmtId="164" fontId="28" fillId="0" borderId="12" xfId="0" applyNumberFormat="1" applyFont="1" applyBorder="1" applyAlignment="1">
      <alignment horizontal="left" vertical="top" wrapText="1"/>
    </xf>
    <xf numFmtId="0" fontId="29" fillId="11" borderId="152" xfId="0" applyFont="1" applyFill="1" applyBorder="1" applyAlignment="1">
      <alignment horizontal="center" vertical="center" wrapText="1"/>
    </xf>
    <xf numFmtId="0" fontId="29" fillId="11" borderId="141" xfId="0" applyFont="1" applyFill="1" applyBorder="1" applyAlignment="1">
      <alignment horizontal="center" vertical="center" wrapText="1"/>
    </xf>
    <xf numFmtId="0" fontId="29" fillId="11" borderId="143" xfId="0" applyFont="1" applyFill="1" applyBorder="1" applyAlignment="1">
      <alignment horizontal="center" vertical="center" wrapText="1"/>
    </xf>
    <xf numFmtId="0" fontId="29" fillId="11" borderId="94" xfId="0" applyFont="1" applyFill="1" applyBorder="1" applyAlignment="1">
      <alignment horizontal="center" vertical="center" wrapText="1"/>
    </xf>
    <xf numFmtId="0" fontId="29" fillId="11" borderId="153" xfId="0" applyFont="1" applyFill="1" applyBorder="1" applyAlignment="1">
      <alignment horizontal="center" vertical="center" wrapText="1"/>
    </xf>
    <xf numFmtId="0" fontId="29" fillId="11" borderId="94" xfId="0" applyFont="1" applyFill="1" applyBorder="1" applyAlignment="1">
      <alignment horizontal="center" textRotation="90"/>
    </xf>
    <xf numFmtId="0" fontId="29" fillId="11" borderId="141" xfId="0" applyFont="1" applyFill="1" applyBorder="1" applyAlignment="1">
      <alignment horizontal="center" textRotation="90"/>
    </xf>
    <xf numFmtId="0" fontId="29" fillId="11" borderId="143" xfId="0" applyFont="1" applyFill="1" applyBorder="1" applyAlignment="1">
      <alignment horizontal="center" textRotation="90"/>
    </xf>
    <xf numFmtId="0" fontId="29" fillId="11" borderId="142" xfId="0" applyFont="1" applyFill="1" applyBorder="1" applyAlignment="1">
      <alignment horizontal="center" textRotation="90"/>
    </xf>
    <xf numFmtId="0" fontId="16" fillId="0" borderId="8" xfId="0" applyFont="1" applyBorder="1" applyAlignment="1">
      <alignment horizontal="center" vertical="center"/>
    </xf>
    <xf numFmtId="0" fontId="9" fillId="4" borderId="63" xfId="0" applyFont="1" applyFill="1" applyBorder="1" applyAlignment="1">
      <alignment horizontal="center" vertical="center"/>
    </xf>
    <xf numFmtId="0" fontId="9" fillId="4" borderId="64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right" vertical="center"/>
    </xf>
    <xf numFmtId="0" fontId="8" fillId="0" borderId="42" xfId="0" applyFont="1" applyBorder="1" applyAlignment="1">
      <alignment horizontal="right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18" xfId="0" applyFont="1" applyFill="1" applyBorder="1" applyAlignment="1">
      <alignment horizontal="center" vertical="center"/>
    </xf>
    <xf numFmtId="0" fontId="8" fillId="0" borderId="1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9" fillId="4" borderId="17" xfId="0" applyFont="1" applyFill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/>
    </xf>
    <xf numFmtId="0" fontId="9" fillId="4" borderId="35" xfId="0" applyFont="1" applyFill="1" applyBorder="1" applyAlignment="1">
      <alignment horizontal="center" vertical="center" textRotation="90"/>
    </xf>
    <xf numFmtId="0" fontId="9" fillId="4" borderId="37" xfId="0" applyFont="1" applyFill="1" applyBorder="1" applyAlignment="1">
      <alignment horizontal="center" vertical="center" textRotation="90"/>
    </xf>
    <xf numFmtId="0" fontId="9" fillId="4" borderId="39" xfId="0" applyFont="1" applyFill="1" applyBorder="1" applyAlignment="1">
      <alignment horizontal="center" vertical="center" textRotation="90"/>
    </xf>
    <xf numFmtId="0" fontId="9" fillId="4" borderId="25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9" fillId="4" borderId="34" xfId="0" applyFont="1" applyFill="1" applyBorder="1" applyAlignment="1">
      <alignment horizontal="center" vertical="center" textRotation="90"/>
    </xf>
    <xf numFmtId="0" fontId="9" fillId="4" borderId="26" xfId="0" applyFont="1" applyFill="1" applyBorder="1" applyAlignment="1">
      <alignment horizontal="center" vertical="center" textRotation="90"/>
    </xf>
    <xf numFmtId="0" fontId="9" fillId="4" borderId="31" xfId="0" applyFont="1" applyFill="1" applyBorder="1" applyAlignment="1">
      <alignment horizontal="center" vertical="center" textRotation="90"/>
    </xf>
    <xf numFmtId="0" fontId="17" fillId="4" borderId="63" xfId="0" applyFont="1" applyFill="1" applyBorder="1" applyAlignment="1">
      <alignment horizontal="center" vertical="center"/>
    </xf>
    <xf numFmtId="0" fontId="17" fillId="4" borderId="64" xfId="0" applyFont="1" applyFill="1" applyBorder="1" applyAlignment="1">
      <alignment horizontal="center" vertical="center"/>
    </xf>
    <xf numFmtId="0" fontId="11" fillId="4" borderId="35" xfId="0" applyFont="1" applyFill="1" applyBorder="1" applyAlignment="1">
      <alignment horizontal="center" vertical="center" textRotation="90"/>
    </xf>
    <xf numFmtId="0" fontId="11" fillId="4" borderId="37" xfId="0" applyFont="1" applyFill="1" applyBorder="1" applyAlignment="1">
      <alignment horizontal="center" vertical="center" textRotation="90"/>
    </xf>
    <xf numFmtId="0" fontId="11" fillId="4" borderId="39" xfId="0" applyFont="1" applyFill="1" applyBorder="1" applyAlignment="1">
      <alignment horizontal="center" vertical="center" textRotation="90"/>
    </xf>
    <xf numFmtId="0" fontId="15" fillId="11" borderId="10" xfId="0" applyFont="1" applyFill="1" applyBorder="1" applyAlignment="1">
      <alignment horizontal="left" vertical="center" wrapText="1"/>
    </xf>
    <xf numFmtId="0" fontId="15" fillId="11" borderId="6" xfId="0" applyFont="1" applyFill="1" applyBorder="1" applyAlignment="1">
      <alignment horizontal="left" vertical="center" wrapText="1"/>
    </xf>
    <xf numFmtId="0" fontId="22" fillId="0" borderId="65" xfId="0" applyFont="1" applyBorder="1" applyAlignment="1">
      <alignment horizontal="right" vertical="center"/>
    </xf>
    <xf numFmtId="0" fontId="22" fillId="0" borderId="66" xfId="0" applyFont="1" applyBorder="1" applyAlignment="1">
      <alignment horizontal="right" vertical="center"/>
    </xf>
    <xf numFmtId="0" fontId="17" fillId="4" borderId="126" xfId="0" applyFont="1" applyFill="1" applyBorder="1" applyAlignment="1">
      <alignment horizontal="center" vertical="center"/>
    </xf>
    <xf numFmtId="0" fontId="17" fillId="4" borderId="23" xfId="0" applyFont="1" applyFill="1" applyBorder="1" applyAlignment="1">
      <alignment horizontal="center" vertical="center"/>
    </xf>
    <xf numFmtId="0" fontId="17" fillId="4" borderId="24" xfId="0" applyFont="1" applyFill="1" applyBorder="1" applyAlignment="1">
      <alignment horizontal="center" vertical="center"/>
    </xf>
    <xf numFmtId="0" fontId="17" fillId="4" borderId="25" xfId="0" applyFont="1" applyFill="1" applyBorder="1" applyAlignment="1">
      <alignment horizontal="center" vertical="center"/>
    </xf>
    <xf numFmtId="0" fontId="17" fillId="4" borderId="67" xfId="0" applyFont="1" applyFill="1" applyBorder="1" applyAlignment="1">
      <alignment horizontal="center" vertical="center"/>
    </xf>
    <xf numFmtId="0" fontId="9" fillId="4" borderId="117" xfId="0" applyFont="1" applyFill="1" applyBorder="1" applyAlignment="1">
      <alignment horizontal="left"/>
    </xf>
    <xf numFmtId="0" fontId="9" fillId="4" borderId="118" xfId="0" applyFont="1" applyFill="1" applyBorder="1" applyAlignment="1">
      <alignment horizontal="left"/>
    </xf>
    <xf numFmtId="0" fontId="9" fillId="4" borderId="106" xfId="0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0" fontId="9" fillId="4" borderId="107" xfId="0" applyFont="1" applyFill="1" applyBorder="1" applyAlignment="1">
      <alignment horizontal="center"/>
    </xf>
    <xf numFmtId="0" fontId="9" fillId="4" borderId="108" xfId="0" applyFont="1" applyFill="1" applyBorder="1" applyAlignment="1">
      <alignment horizontal="center"/>
    </xf>
    <xf numFmtId="0" fontId="9" fillId="4" borderId="57" xfId="0" applyFont="1" applyFill="1" applyBorder="1" applyAlignment="1">
      <alignment horizontal="center"/>
    </xf>
    <xf numFmtId="0" fontId="9" fillId="4" borderId="109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 wrapText="1"/>
    </xf>
    <xf numFmtId="0" fontId="9" fillId="4" borderId="0" xfId="0" applyFont="1" applyFill="1" applyBorder="1" applyAlignment="1">
      <alignment horizontal="center" wrapText="1"/>
    </xf>
    <xf numFmtId="0" fontId="9" fillId="4" borderId="107" xfId="0" applyFont="1" applyFill="1" applyBorder="1" applyAlignment="1">
      <alignment horizontal="center" wrapText="1"/>
    </xf>
    <xf numFmtId="0" fontId="9" fillId="4" borderId="56" xfId="0" applyFont="1" applyFill="1" applyBorder="1" applyAlignment="1">
      <alignment horizontal="center" wrapText="1"/>
    </xf>
    <xf numFmtId="0" fontId="9" fillId="4" borderId="57" xfId="0" applyFont="1" applyFill="1" applyBorder="1" applyAlignment="1">
      <alignment horizontal="center" wrapText="1"/>
    </xf>
    <xf numFmtId="0" fontId="9" fillId="4" borderId="109" xfId="0" applyFont="1" applyFill="1" applyBorder="1" applyAlignment="1">
      <alignment horizontal="center" wrapText="1"/>
    </xf>
    <xf numFmtId="0" fontId="9" fillId="4" borderId="6" xfId="0" applyFont="1" applyFill="1" applyBorder="1" applyAlignment="1">
      <alignment horizontal="center" wrapText="1"/>
    </xf>
    <xf numFmtId="0" fontId="9" fillId="4" borderId="55" xfId="0" applyFont="1" applyFill="1" applyBorder="1" applyAlignment="1">
      <alignment horizontal="center" wrapText="1"/>
    </xf>
    <xf numFmtId="0" fontId="24" fillId="4" borderId="121" xfId="0" applyFont="1" applyFill="1" applyBorder="1" applyAlignment="1">
      <alignment horizontal="center" vertical="top"/>
    </xf>
    <xf numFmtId="0" fontId="24" fillId="4" borderId="122" xfId="0" applyFont="1" applyFill="1" applyBorder="1" applyAlignment="1">
      <alignment horizontal="center" vertical="top"/>
    </xf>
    <xf numFmtId="0" fontId="24" fillId="4" borderId="123" xfId="0" applyFont="1" applyFill="1" applyBorder="1" applyAlignment="1">
      <alignment horizontal="center" vertical="top"/>
    </xf>
    <xf numFmtId="0" fontId="18" fillId="4" borderId="116" xfId="0" applyFont="1" applyFill="1" applyBorder="1" applyAlignment="1">
      <alignment horizontal="center" vertical="top"/>
    </xf>
    <xf numFmtId="0" fontId="18" fillId="4" borderId="117" xfId="0" applyFont="1" applyFill="1" applyBorder="1" applyAlignment="1">
      <alignment horizontal="center" vertical="top"/>
    </xf>
    <xf numFmtId="0" fontId="9" fillId="4" borderId="124" xfId="0" applyFont="1" applyFill="1" applyBorder="1" applyAlignment="1">
      <alignment horizontal="center"/>
    </xf>
    <xf numFmtId="0" fontId="9" fillId="4" borderId="125" xfId="0" applyFont="1" applyFill="1" applyBorder="1" applyAlignment="1">
      <alignment horizontal="center"/>
    </xf>
    <xf numFmtId="0" fontId="9" fillId="4" borderId="54" xfId="0" applyFont="1" applyFill="1" applyBorder="1" applyAlignment="1">
      <alignment horizontal="center"/>
    </xf>
    <xf numFmtId="0" fontId="9" fillId="4" borderId="81" xfId="0" applyFont="1" applyFill="1" applyBorder="1" applyAlignment="1">
      <alignment horizontal="center"/>
    </xf>
    <xf numFmtId="0" fontId="9" fillId="4" borderId="110" xfId="0" applyFont="1" applyFill="1" applyBorder="1" applyAlignment="1">
      <alignment horizontal="center"/>
    </xf>
    <xf numFmtId="0" fontId="9" fillId="4" borderId="6" xfId="0" applyFont="1" applyFill="1" applyBorder="1" applyAlignment="1">
      <alignment horizontal="center"/>
    </xf>
    <xf numFmtId="0" fontId="9" fillId="4" borderId="111" xfId="0" applyFont="1" applyFill="1" applyBorder="1" applyAlignment="1">
      <alignment horizontal="center"/>
    </xf>
    <xf numFmtId="0" fontId="9" fillId="4" borderId="54" xfId="0" applyFont="1" applyFill="1" applyBorder="1" applyAlignment="1">
      <alignment horizontal="center" wrapText="1"/>
    </xf>
    <xf numFmtId="0" fontId="16" fillId="0" borderId="0" xfId="0" applyFont="1" applyBorder="1" applyAlignment="1">
      <alignment horizontal="center" vertical="center" wrapText="1"/>
    </xf>
    <xf numFmtId="0" fontId="24" fillId="4" borderId="73" xfId="0" applyFont="1" applyFill="1" applyBorder="1" applyAlignment="1">
      <alignment horizontal="center" vertical="center" wrapText="1"/>
    </xf>
    <xf numFmtId="0" fontId="17" fillId="4" borderId="59" xfId="0" applyFont="1" applyFill="1" applyBorder="1" applyAlignment="1">
      <alignment horizontal="center" vertical="center" wrapText="1"/>
    </xf>
    <xf numFmtId="0" fontId="17" fillId="4" borderId="74" xfId="0" applyFont="1" applyFill="1" applyBorder="1" applyAlignment="1">
      <alignment horizontal="center" vertical="center" wrapText="1"/>
    </xf>
    <xf numFmtId="0" fontId="7" fillId="0" borderId="53" xfId="0" applyFont="1" applyBorder="1" applyAlignment="1">
      <alignment vertical="center" wrapText="1"/>
    </xf>
    <xf numFmtId="0" fontId="7" fillId="0" borderId="101" xfId="0" applyFont="1" applyBorder="1" applyAlignment="1">
      <alignment vertical="center" wrapText="1"/>
    </xf>
    <xf numFmtId="0" fontId="15" fillId="0" borderId="139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7" fillId="0" borderId="53" xfId="0" applyFont="1" applyBorder="1" applyAlignment="1">
      <alignment vertical="center"/>
    </xf>
    <xf numFmtId="0" fontId="7" fillId="0" borderId="100" xfId="0" applyFont="1" applyBorder="1" applyAlignment="1">
      <alignment vertical="center" wrapText="1"/>
    </xf>
    <xf numFmtId="0" fontId="7" fillId="0" borderId="97" xfId="0" applyFont="1" applyBorder="1" applyAlignment="1">
      <alignment vertical="center" wrapText="1"/>
    </xf>
    <xf numFmtId="0" fontId="7" fillId="0" borderId="98" xfId="0" applyFont="1" applyBorder="1" applyAlignment="1">
      <alignment vertical="center" wrapText="1"/>
    </xf>
    <xf numFmtId="0" fontId="11" fillId="4" borderId="96" xfId="0" applyFont="1" applyFill="1" applyBorder="1" applyAlignment="1">
      <alignment vertical="center" wrapText="1"/>
    </xf>
    <xf numFmtId="0" fontId="24" fillId="4" borderId="148" xfId="0" applyFont="1" applyFill="1" applyBorder="1" applyAlignment="1">
      <alignment horizontal="center" vertical="center" wrapText="1"/>
    </xf>
    <xf numFmtId="0" fontId="24" fillId="4" borderId="149" xfId="0" applyFont="1" applyFill="1" applyBorder="1" applyAlignment="1">
      <alignment horizontal="center" vertical="center" wrapText="1"/>
    </xf>
    <xf numFmtId="0" fontId="24" fillId="4" borderId="150" xfId="0" applyFont="1" applyFill="1" applyBorder="1" applyAlignment="1">
      <alignment horizontal="center" vertical="center" wrapText="1"/>
    </xf>
    <xf numFmtId="0" fontId="24" fillId="4" borderId="151" xfId="0" applyFont="1" applyFill="1" applyBorder="1" applyAlignment="1">
      <alignment horizontal="center" vertical="center" wrapText="1"/>
    </xf>
    <xf numFmtId="0" fontId="24" fillId="4" borderId="4" xfId="0" applyFont="1" applyFill="1" applyBorder="1" applyAlignment="1">
      <alignment horizontal="center" vertical="center" wrapText="1"/>
    </xf>
    <xf numFmtId="0" fontId="24" fillId="4" borderId="5" xfId="0" applyFont="1" applyFill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/>
    </xf>
    <xf numFmtId="0" fontId="15" fillId="0" borderId="140" xfId="0" applyFont="1" applyBorder="1" applyAlignment="1">
      <alignment horizontal="center" vertical="center"/>
    </xf>
    <xf numFmtId="0" fontId="11" fillId="4" borderId="102" xfId="0" applyFont="1" applyFill="1" applyBorder="1" applyAlignment="1">
      <alignment vertical="center" wrapText="1"/>
    </xf>
    <xf numFmtId="0" fontId="11" fillId="4" borderId="29" xfId="0" applyFont="1" applyFill="1" applyBorder="1" applyAlignment="1">
      <alignment vertical="center" wrapText="1"/>
    </xf>
    <xf numFmtId="0" fontId="11" fillId="4" borderId="30" xfId="0" applyFont="1" applyFill="1" applyBorder="1" applyAlignment="1">
      <alignment vertical="center" wrapText="1"/>
    </xf>
    <xf numFmtId="0" fontId="7" fillId="0" borderId="101" xfId="0" applyFont="1" applyBorder="1" applyAlignment="1">
      <alignment vertical="center"/>
    </xf>
    <xf numFmtId="0" fontId="24" fillId="4" borderId="80" xfId="0" applyFont="1" applyFill="1" applyBorder="1" applyAlignment="1">
      <alignment horizontal="center" vertical="center" wrapText="1"/>
    </xf>
    <xf numFmtId="0" fontId="24" fillId="4" borderId="78" xfId="0" applyFont="1" applyFill="1" applyBorder="1" applyAlignment="1">
      <alignment horizontal="center" vertical="center" wrapText="1"/>
    </xf>
    <xf numFmtId="0" fontId="24" fillId="4" borderId="79" xfId="0" applyFont="1" applyFill="1" applyBorder="1" applyAlignment="1">
      <alignment horizontal="center" vertical="center" wrapText="1"/>
    </xf>
    <xf numFmtId="0" fontId="11" fillId="4" borderId="95" xfId="0" applyFont="1" applyFill="1" applyBorder="1" applyAlignment="1">
      <alignment vertical="center" wrapText="1"/>
    </xf>
    <xf numFmtId="0" fontId="7" fillId="0" borderId="99" xfId="0" applyFont="1" applyBorder="1" applyAlignment="1">
      <alignment vertical="center" wrapText="1"/>
    </xf>
    <xf numFmtId="0" fontId="7" fillId="0" borderId="98" xfId="0" applyFont="1" applyBorder="1" applyAlignment="1">
      <alignment vertical="center"/>
    </xf>
    <xf numFmtId="0" fontId="0" fillId="0" borderId="1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1" fillId="0" borderId="1" xfId="0" applyFont="1" applyBorder="1" applyAlignment="1">
      <alignment horizontal="center" vertical="top" wrapText="1"/>
    </xf>
    <xf numFmtId="0" fontId="1" fillId="0" borderId="11" xfId="0" applyFont="1" applyBorder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0" borderId="53" xfId="0" applyFont="1" applyBorder="1" applyAlignment="1">
      <alignment horizontal="center" vertical="top" wrapText="1"/>
    </xf>
  </cellXfs>
  <cellStyles count="262">
    <cellStyle name="Besuchter Link" xfId="2" builtinId="9" hidden="1"/>
    <cellStyle name="Besuchter Link" xfId="4" builtinId="9" hidden="1"/>
    <cellStyle name="Besuchter Link" xfId="6" builtinId="9" hidden="1"/>
    <cellStyle name="Besuchter Link" xfId="8" builtinId="9" hidden="1"/>
    <cellStyle name="Besuchter Link" xfId="10" builtinId="9" hidden="1"/>
    <cellStyle name="Besuchter Link" xfId="12" builtinId="9" hidden="1"/>
    <cellStyle name="Besuchter Link" xfId="14" builtinId="9" hidden="1"/>
    <cellStyle name="Besuchter Link" xfId="16" builtinId="9" hidden="1"/>
    <cellStyle name="Besuchter Link" xfId="18" builtinId="9" hidden="1"/>
    <cellStyle name="Besuchter Link" xfId="20" builtinId="9" hidden="1"/>
    <cellStyle name="Besuchter Link" xfId="22" builtinId="9" hidden="1"/>
    <cellStyle name="Besuchter Link" xfId="24" builtinId="9" hidden="1"/>
    <cellStyle name="Besuchter Link" xfId="26" builtinId="9" hidden="1"/>
    <cellStyle name="Besuchter Link" xfId="28" builtinId="9" hidden="1"/>
    <cellStyle name="Besuchter Link" xfId="30" builtinId="9" hidden="1"/>
    <cellStyle name="Besuchter Link" xfId="32" builtinId="9" hidden="1"/>
    <cellStyle name="Besuchter Link" xfId="34" builtinId="9" hidden="1"/>
    <cellStyle name="Besuchter Link" xfId="36" builtinId="9" hidden="1"/>
    <cellStyle name="Besuchter Link" xfId="38" builtinId="9" hidden="1"/>
    <cellStyle name="Besuchter Link" xfId="40" builtinId="9" hidden="1"/>
    <cellStyle name="Besuchter Link" xfId="42" builtinId="9" hidden="1"/>
    <cellStyle name="Besuchter Link" xfId="44" builtinId="9" hidden="1"/>
    <cellStyle name="Besuchter Link" xfId="46" builtinId="9" hidden="1"/>
    <cellStyle name="Besuchter Link" xfId="48" builtinId="9" hidden="1"/>
    <cellStyle name="Besuchter Link" xfId="50" builtinId="9" hidden="1"/>
    <cellStyle name="Besuchter Link" xfId="52" builtinId="9" hidden="1"/>
    <cellStyle name="Besuchter Link" xfId="54" builtinId="9" hidden="1"/>
    <cellStyle name="Besuchter Link" xfId="56" builtinId="9" hidden="1"/>
    <cellStyle name="Besuchter Link" xfId="58" builtinId="9" hidden="1"/>
    <cellStyle name="Besuchter Link" xfId="60" builtinId="9" hidden="1"/>
    <cellStyle name="Besuchter Link" xfId="62" builtinId="9" hidden="1"/>
    <cellStyle name="Besuchter Link" xfId="64" builtinId="9" hidden="1"/>
    <cellStyle name="Besuchter Link" xfId="66" builtinId="9" hidden="1"/>
    <cellStyle name="Besuchter Link" xfId="68" builtinId="9" hidden="1"/>
    <cellStyle name="Besuchter Link" xfId="70" builtinId="9" hidden="1"/>
    <cellStyle name="Besuchter Link" xfId="72" builtinId="9" hidden="1"/>
    <cellStyle name="Besuchter Link" xfId="74" builtinId="9" hidden="1"/>
    <cellStyle name="Besuchter Link" xfId="76" builtinId="9" hidden="1"/>
    <cellStyle name="Besuchter Link" xfId="78" builtinId="9" hidden="1"/>
    <cellStyle name="Besuchter Link" xfId="80" builtinId="9" hidden="1"/>
    <cellStyle name="Besuchter Link" xfId="82" builtinId="9" hidden="1"/>
    <cellStyle name="Besuchter Link" xfId="84" builtinId="9" hidden="1"/>
    <cellStyle name="Besuchter Link" xfId="86" builtinId="9" hidden="1"/>
    <cellStyle name="Besuchter Link" xfId="88" builtinId="9" hidden="1"/>
    <cellStyle name="Besuchter Link" xfId="90" builtinId="9" hidden="1"/>
    <cellStyle name="Besuchter Link" xfId="92" builtinId="9" hidden="1"/>
    <cellStyle name="Besuchter Link" xfId="94" builtinId="9" hidden="1"/>
    <cellStyle name="Besuchter Link" xfId="96" builtinId="9" hidden="1"/>
    <cellStyle name="Besuchter Link" xfId="98" builtinId="9" hidden="1"/>
    <cellStyle name="Besuchter Link" xfId="100" builtinId="9" hidden="1"/>
    <cellStyle name="Besuchter Link" xfId="102" builtinId="9" hidden="1"/>
    <cellStyle name="Besuchter Link" xfId="104" builtinId="9" hidden="1"/>
    <cellStyle name="Besuchter Link" xfId="106" builtinId="9" hidden="1"/>
    <cellStyle name="Besuchter Link" xfId="108" builtinId="9" hidden="1"/>
    <cellStyle name="Besuchter Link" xfId="110" builtinId="9" hidden="1"/>
    <cellStyle name="Besuchter Link" xfId="112" builtinId="9" hidden="1"/>
    <cellStyle name="Besuchter Link" xfId="114" builtinId="9" hidden="1"/>
    <cellStyle name="Besuchter Link" xfId="116" builtinId="9" hidden="1"/>
    <cellStyle name="Besuchter Link" xfId="118" builtinId="9" hidden="1"/>
    <cellStyle name="Besuchter Link" xfId="120" builtinId="9" hidden="1"/>
    <cellStyle name="Besuchter Link" xfId="122" builtinId="9" hidden="1"/>
    <cellStyle name="Besuchter Link" xfId="124" builtinId="9" hidden="1"/>
    <cellStyle name="Besuchter Link" xfId="126" builtinId="9" hidden="1"/>
    <cellStyle name="Besuchter Link" xfId="128" builtinId="9" hidden="1"/>
    <cellStyle name="Besuchter Link" xfId="130" builtinId="9" hidden="1"/>
    <cellStyle name="Besuchter Link" xfId="132" builtinId="9" hidden="1"/>
    <cellStyle name="Besuchter Link" xfId="134" builtinId="9" hidden="1"/>
    <cellStyle name="Besuchter Link" xfId="136" builtinId="9" hidden="1"/>
    <cellStyle name="Besuchter Link" xfId="138" builtinId="9" hidden="1"/>
    <cellStyle name="Besuchter Link" xfId="140" builtinId="9" hidden="1"/>
    <cellStyle name="Besuchter Link" xfId="142" builtinId="9" hidden="1"/>
    <cellStyle name="Besuchter Link" xfId="144" builtinId="9" hidden="1"/>
    <cellStyle name="Besuchter Link" xfId="146" builtinId="9" hidden="1"/>
    <cellStyle name="Besuchter Link" xfId="148" builtinId="9" hidden="1"/>
    <cellStyle name="Besuchter Link" xfId="150" builtinId="9" hidden="1"/>
    <cellStyle name="Besuchter Link" xfId="152" builtinId="9" hidden="1"/>
    <cellStyle name="Besuchter Link" xfId="154" builtinId="9" hidden="1"/>
    <cellStyle name="Besuchter Link" xfId="156" builtinId="9" hidden="1"/>
    <cellStyle name="Besuchter Link" xfId="158" builtinId="9" hidden="1"/>
    <cellStyle name="Besuchter Link" xfId="160" builtinId="9" hidden="1"/>
    <cellStyle name="Besuchter Link" xfId="162" builtinId="9" hidden="1"/>
    <cellStyle name="Besuchter Link" xfId="164" builtinId="9" hidden="1"/>
    <cellStyle name="Besuchter Link" xfId="166" builtinId="9" hidden="1"/>
    <cellStyle name="Besuchter Link" xfId="168" builtinId="9" hidden="1"/>
    <cellStyle name="Besuchter Link" xfId="170" builtinId="9" hidden="1"/>
    <cellStyle name="Besuchter Link" xfId="172" builtinId="9" hidden="1"/>
    <cellStyle name="Besuchter Link" xfId="174" builtinId="9" hidden="1"/>
    <cellStyle name="Besuchter Link" xfId="176" builtinId="9" hidden="1"/>
    <cellStyle name="Besuchter Link" xfId="178" builtinId="9" hidden="1"/>
    <cellStyle name="Besuchter Link" xfId="180" builtinId="9" hidden="1"/>
    <cellStyle name="Besuchter Link" xfId="182" builtinId="9" hidden="1"/>
    <cellStyle name="Besuchter Link" xfId="184" builtinId="9" hidden="1"/>
    <cellStyle name="Besuchter Link" xfId="186" builtinId="9" hidden="1"/>
    <cellStyle name="Besuchter Link" xfId="188" builtinId="9" hidden="1"/>
    <cellStyle name="Besuchter Link" xfId="190" builtinId="9" hidden="1"/>
    <cellStyle name="Besuchter Link" xfId="192" builtinId="9" hidden="1"/>
    <cellStyle name="Besuchter Link" xfId="194" builtinId="9" hidden="1"/>
    <cellStyle name="Besuchter Link" xfId="196" builtinId="9" hidden="1"/>
    <cellStyle name="Besuchter Link" xfId="197" builtinId="9" hidden="1"/>
    <cellStyle name="Besuchter Link" xfId="198" builtinId="9" hidden="1"/>
    <cellStyle name="Besuchter Link" xfId="199" builtinId="9" hidden="1"/>
    <cellStyle name="Besuchter Link" xfId="200" builtinId="9" hidden="1"/>
    <cellStyle name="Besuchter Link" xfId="201" builtinId="9" hidden="1"/>
    <cellStyle name="Besuchter Link" xfId="202" builtinId="9" hidden="1"/>
    <cellStyle name="Besuchter Link" xfId="203" builtinId="9" hidden="1"/>
    <cellStyle name="Besuchter Link" xfId="204" builtinId="9" hidden="1"/>
    <cellStyle name="Besuchter Link" xfId="205" builtinId="9" hidden="1"/>
    <cellStyle name="Besuchter Link" xfId="206" builtinId="9" hidden="1"/>
    <cellStyle name="Besuchter Link" xfId="207" builtinId="9" hidden="1"/>
    <cellStyle name="Besuchter Link" xfId="208" builtinId="9" hidden="1"/>
    <cellStyle name="Besuchter Link" xfId="209" builtinId="9" hidden="1"/>
    <cellStyle name="Besuchter Link" xfId="210" builtinId="9" hidden="1"/>
    <cellStyle name="Besuchter Link" xfId="211" builtinId="9" hidden="1"/>
    <cellStyle name="Besuchter Link" xfId="212" builtinId="9" hidden="1"/>
    <cellStyle name="Besuchter Link" xfId="213" builtinId="9" hidden="1"/>
    <cellStyle name="Besuchter Link" xfId="214" builtinId="9" hidden="1"/>
    <cellStyle name="Besuchter Link" xfId="215" builtinId="9" hidden="1"/>
    <cellStyle name="Besuchter Link" xfId="216" builtinId="9" hidden="1"/>
    <cellStyle name="Besuchter Link" xfId="217" builtinId="9" hidden="1"/>
    <cellStyle name="Besuchter Link" xfId="218" builtinId="9" hidden="1"/>
    <cellStyle name="Besuchter Link" xfId="219" builtinId="9" hidden="1"/>
    <cellStyle name="Besuchter Link" xfId="220" builtinId="9" hidden="1"/>
    <cellStyle name="Besuchter Link" xfId="221" builtinId="9" hidden="1"/>
    <cellStyle name="Besuchter Link" xfId="222" builtinId="9" hidden="1"/>
    <cellStyle name="Besuchter Link" xfId="223" builtinId="9" hidden="1"/>
    <cellStyle name="Besuchter Link" xfId="224" builtinId="9" hidden="1"/>
    <cellStyle name="Besuchter Link" xfId="225" builtinId="9" hidden="1"/>
    <cellStyle name="Besuchter Link" xfId="226" builtinId="9" hidden="1"/>
    <cellStyle name="Besuchter Link" xfId="227" builtinId="9" hidden="1"/>
    <cellStyle name="Besuchter Link" xfId="228" builtinId="9" hidden="1"/>
    <cellStyle name="Besuchter Link" xfId="229" builtinId="9" hidden="1"/>
    <cellStyle name="Besuchter Link" xfId="230" builtinId="9" hidden="1"/>
    <cellStyle name="Besuchter Link" xfId="231" builtinId="9" hidden="1"/>
    <cellStyle name="Besuchter Link" xfId="232" builtinId="9" hidden="1"/>
    <cellStyle name="Besuchter Link" xfId="233" builtinId="9" hidden="1"/>
    <cellStyle name="Besuchter Link" xfId="234" builtinId="9" hidden="1"/>
    <cellStyle name="Besuchter Link" xfId="235" builtinId="9" hidden="1"/>
    <cellStyle name="Besuchter Link" xfId="236" builtinId="9" hidden="1"/>
    <cellStyle name="Besuchter Link" xfId="237" builtinId="9" hidden="1"/>
    <cellStyle name="Besuchter Link" xfId="238" builtinId="9" hidden="1"/>
    <cellStyle name="Besuchter Link" xfId="239" builtinId="9" hidden="1"/>
    <cellStyle name="Besuchter Link" xfId="240" builtinId="9" hidden="1"/>
    <cellStyle name="Besuchter Link" xfId="241" builtinId="9" hidden="1"/>
    <cellStyle name="Besuchter Link" xfId="242" builtinId="9" hidden="1"/>
    <cellStyle name="Besuchter Link" xfId="243" builtinId="9" hidden="1"/>
    <cellStyle name="Besuchter Link" xfId="244" builtinId="9" hidden="1"/>
    <cellStyle name="Besuchter Link" xfId="245" builtinId="9" hidden="1"/>
    <cellStyle name="Besuchter Link" xfId="246" builtinId="9" hidden="1"/>
    <cellStyle name="Besuchter Link" xfId="247" builtinId="9" hidden="1"/>
    <cellStyle name="Besuchter Link" xfId="248" builtinId="9" hidden="1"/>
    <cellStyle name="Besuchter Link" xfId="249" builtinId="9" hidden="1"/>
    <cellStyle name="Besuchter Link" xfId="250" builtinId="9" hidden="1"/>
    <cellStyle name="Besuchter Link" xfId="251" builtinId="9" hidden="1"/>
    <cellStyle name="Besuchter Link" xfId="252" builtinId="9" hidden="1"/>
    <cellStyle name="Besuchter Link" xfId="253" builtinId="9" hidden="1"/>
    <cellStyle name="Besuchter Link" xfId="254" builtinId="9" hidden="1"/>
    <cellStyle name="Besuchter Link" xfId="255" builtinId="9" hidden="1"/>
    <cellStyle name="Besuchter Link" xfId="256" builtinId="9" hidden="1"/>
    <cellStyle name="Besuchter Link" xfId="257" builtinId="9" hidden="1"/>
    <cellStyle name="Besuchter Link" xfId="258" builtinId="9" hidden="1"/>
    <cellStyle name="Besuchter Link" xfId="259" builtinId="9" hidden="1"/>
    <cellStyle name="Besuchter Link" xfId="26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260" builtinId="8" hidden="1"/>
    <cellStyle name="Stand." xfId="0" builtinId="0"/>
  </cellStyles>
  <dxfs count="307"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0;\-0;;@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164" formatCode="0;\-0;;@"/>
      <alignment vertical="top" textRotation="0" wrapText="1" justifyLastLine="0" shrinkToFit="0"/>
    </dxf>
    <dxf>
      <numFmt numFmtId="0" formatCode="General"/>
      <alignment horizontal="general" vertical="top" textRotation="0" wrapText="1" justifyLastLine="0" shrinkToFit="0"/>
    </dxf>
    <dxf>
      <numFmt numFmtId="164" formatCode="0;\-0;;@"/>
      <alignment horizontal="left" vertical="bottom" textRotation="0" wrapText="1" indent="0" justifyLastLine="0" shrinkToFit="0" readingOrder="0"/>
    </dxf>
    <dxf>
      <alignment wrapText="1" justifyLastLine="0" shrinkToFit="0"/>
    </dxf>
    <dxf>
      <alignment wrapText="1" justifyLastLine="0" shrinkToFit="0"/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fgColor theme="7" tint="-0.24994659260841701"/>
          <bgColor theme="7" tint="-0.24994659260841701"/>
        </patternFill>
      </fill>
    </dxf>
    <dxf>
      <font>
        <color theme="0"/>
      </font>
      <fill>
        <patternFill>
          <fgColor rgb="FFC06D6E"/>
          <bgColor rgb="FFC06D6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5999633777886288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auto="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theme="4" tint="0.39997558519241921"/>
        </top>
        <bottom/>
      </border>
    </dxf>
    <dxf>
      <border outline="0">
        <right style="thin">
          <color auto="1"/>
        </right>
        <top style="medium">
          <color theme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theme="7" tint="-0.249977111117893"/>
        </patternFill>
      </fill>
      <alignment horizontal="center" vertical="top" textRotation="9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fgColor theme="9"/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8" tint="0.39994506668294322"/>
      </font>
      <fill>
        <patternFill>
          <fgColor theme="8" tint="0.39994506668294322"/>
          <bgColor theme="8" tint="0.39994506668294322"/>
        </patternFill>
      </fill>
    </dxf>
    <dxf>
      <font>
        <color theme="3"/>
      </font>
      <fill>
        <patternFill>
          <fgColor theme="3"/>
          <bgColor theme="3"/>
        </patternFill>
      </fill>
    </dxf>
    <dxf>
      <alignment horizontal="left" textRotation="0" wrapText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alignment horizontal="left" textRotation="0" wrapText="0" indent="0" justifyLastLine="0" shrinkToFit="0"/>
    </dxf>
    <dxf>
      <alignment horizontal="left" textRotation="0" wrapText="0" indent="0" justifyLastLine="0" shrinkToFit="0"/>
    </dxf>
    <dxf>
      <alignment horizontal="left" textRotation="0" wrapText="0" indent="0" justifyLastLine="0" shrinkToFit="0"/>
    </dxf>
    <dxf>
      <alignment horizontal="center" vertical="top" textRotation="0" wrapText="1" indent="0" justifyLastLine="0" shrinkToFit="0"/>
    </dxf>
    <dxf>
      <numFmt numFmtId="1" formatCode="0"/>
      <alignment horizontal="right" textRotation="0" wrapTex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</dxfs>
  <tableStyles count="0" defaultTableStyle="TableStyleMedium9" defaultPivotStyle="PivotStyleMedium7"/>
  <colors>
    <mruColors>
      <color rgb="FFB4C9E9"/>
      <color rgb="FF245D91"/>
      <color rgb="FF636363"/>
      <color rgb="FFC06D6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 sz="1200" b="1">
                <a:latin typeface="Times New Roman" charset="0"/>
                <a:ea typeface="Times New Roman" charset="0"/>
                <a:cs typeface="Times New Roman" charset="0"/>
              </a:rPr>
              <a:t>Verteilung der Lösungskonzepte nach</a:t>
            </a:r>
            <a:r>
              <a:rPr lang="de-DE" sz="1200" b="1" baseline="0">
                <a:latin typeface="Times New Roman" charset="0"/>
                <a:ea typeface="Times New Roman" charset="0"/>
                <a:cs typeface="Times New Roman" charset="0"/>
              </a:rPr>
              <a:t> Quelle</a:t>
            </a:r>
            <a:endParaRPr lang="de-DE" sz="1200" b="1">
              <a:latin typeface="Times New Roman" charset="0"/>
              <a:ea typeface="Times New Roman" charset="0"/>
              <a:cs typeface="Times New Roman" charset="0"/>
            </a:endParaRPr>
          </a:p>
        </c:rich>
      </c:tx>
      <c:layout>
        <c:manualLayout>
          <c:xMode val="edge"/>
          <c:yMode val="edge"/>
          <c:x val="0.231684405206407"/>
          <c:y val="0.89455902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84041019603973"/>
          <c:y val="0.109104882861202"/>
          <c:w val="0.411636318897638"/>
          <c:h val="0.738308738762055"/>
        </c:manualLayout>
      </c:layout>
      <c:pieChart>
        <c:varyColors val="1"/>
        <c:ser>
          <c:idx val="0"/>
          <c:order val="0"/>
          <c:tx>
            <c:strRef>
              <c:f>'(Auswertung_1)'!$AK$4</c:f>
              <c:strCache>
                <c:ptCount val="1"/>
                <c:pt idx="0">
                  <c:v>Verteilung der Lösungskonzepte auf die Quellen</c:v>
                </c:pt>
              </c:strCache>
            </c:strRef>
          </c:tx>
          <c:dPt>
            <c:idx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dLbl>
              <c:idx val="0"/>
              <c:layout>
                <c:manualLayout>
                  <c:x val="-0.14988334186786"/>
                  <c:y val="-0.22703268203146"/>
                </c:manualLayout>
              </c:layout>
              <c:tx>
                <c:rich>
                  <a:bodyPr/>
                  <a:lstStyle/>
                  <a:p>
                    <a:fld id="{BF05E681-0452-5E43-AEC6-31E8CCA23C34}" type="CATEGORYNAME">
                      <a:rPr lang="mr-IN"/>
                      <a:pPr/>
                      <a:t>[RUBRIKENNAME]</a:t>
                    </a:fld>
                    <a:r>
                      <a:rPr lang="mr-IN" baseline="0"/>
                      <a:t>; </a:t>
                    </a:r>
                    <a:fld id="{C660EE9C-46BE-C944-83AC-3D1F5D513146}" type="VALUE">
                      <a:rPr lang="mr-IN" baseline="0"/>
                      <a:pPr/>
                      <a:t>[WERT]</a:t>
                    </a:fld>
                    <a:r>
                      <a:rPr lang="mr-IN" baseline="0"/>
                      <a:t>;</a:t>
                    </a:r>
                  </a:p>
                  <a:p>
                    <a:fld id="{ECAE9E94-5D80-1C4A-BA83-70107BB3DFF2}" type="PERCENTAGE">
                      <a:rPr lang="mr-IN" baseline="0"/>
                      <a:pPr/>
                      <a:t>[PROZENTSATZ]</a:t>
                    </a:fld>
                    <a:endParaRPr lang="de-DE"/>
                  </a:p>
                </c:rich>
              </c:tx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1A6DC29B-F45D-3A42-8B34-B6CDB964BBDF}" type="CATEGORYNAME">
                      <a:rPr lang="mr-IN"/>
                      <a:pPr/>
                      <a:t>[RUBRIKENNAME]</a:t>
                    </a:fld>
                    <a:r>
                      <a:rPr lang="mr-IN" baseline="0"/>
                      <a:t>; </a:t>
                    </a:r>
                    <a:fld id="{3DB394D4-7330-BA49-913F-DECD398F4526}" type="VALUE">
                      <a:rPr lang="mr-IN" baseline="0"/>
                      <a:pPr/>
                      <a:t>[WERT]</a:t>
                    </a:fld>
                    <a:r>
                      <a:rPr lang="mr-IN" baseline="0"/>
                      <a:t>; </a:t>
                    </a:r>
                  </a:p>
                  <a:p>
                    <a:fld id="{EC8624C8-B518-A84E-A827-5811A3DF89AA}" type="PERCENTAGE">
                      <a:rPr lang="mr-IN" baseline="0"/>
                      <a:pPr/>
                      <a:t>[PROZENTSATZ]</a:t>
                    </a:fld>
                    <a:endParaRPr lang="de-DE"/>
                  </a:p>
                </c:rich>
              </c:tx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'(Auswertung_1)'!$AJ$5:$AJ$6</c:f>
              <c:strCache>
                <c:ptCount val="2"/>
                <c:pt idx="0">
                  <c:v>Konferenz</c:v>
                </c:pt>
                <c:pt idx="1">
                  <c:v>Journal</c:v>
                </c:pt>
              </c:strCache>
            </c:strRef>
          </c:cat>
          <c:val>
            <c:numRef>
              <c:f>'(Auswertung_1)'!$AK$5:$AK$6</c:f>
              <c:numCache>
                <c:formatCode>0;\-0;;@</c:formatCode>
                <c:ptCount val="2"/>
                <c:pt idx="0">
                  <c:v>31.0</c:v>
                </c:pt>
                <c:pt idx="1">
                  <c:v>10.0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Verteilung der Lösungsvorschläge auf die Kategorien</a:t>
            </a:r>
          </a:p>
        </c:rich>
      </c:tx>
      <c:layout>
        <c:manualLayout>
          <c:xMode val="edge"/>
          <c:yMode val="edge"/>
          <c:x val="0.217049753867792"/>
          <c:y val="0.894115970651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92569289387253"/>
          <c:y val="0.140276989288764"/>
          <c:w val="0.386204865942956"/>
          <c:h val="0.695580808080808"/>
        </c:manualLayout>
      </c:layout>
      <c:pieChart>
        <c:varyColors val="1"/>
        <c:ser>
          <c:idx val="0"/>
          <c:order val="0"/>
          <c:tx>
            <c:strRef>
              <c:f>'(Auswertung_1)'!$T$4</c:f>
              <c:strCache>
                <c:ptCount val="1"/>
                <c:pt idx="0">
                  <c:v>Verteilung der _x000d_Lösungskonzepte _x000d_auf die Kategorien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0.00573141805701302"/>
                  <c:y val="0.01784754295110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4534085548421"/>
                      <c:h val="0.145346342021687"/>
                    </c:manualLayout>
                  </c15:layout>
                </c:ext>
              </c:extLst>
            </c:dLbl>
            <c:dLbl>
              <c:idx val="1"/>
              <c:layout>
                <c:manualLayout>
                  <c:x val="0.0125205633670611"/>
                  <c:y val="0.0173524136799037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0491758087201125"/>
                  <c:y val="-0.20589235619188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00543571606336033"/>
                  <c:y val="0.059729797979797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003876770573"/>
                      <c:h val="0.191593434343434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0.0191042254334704"/>
                  <c:y val="0.0019124518687064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027606357886"/>
                      <c:h val="0.210369705557706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'(Auswertung_1)'!$S$5:$S$9</c:f>
              <c:strCache>
                <c:ptCount val="5"/>
                <c:pt idx="0">
                  <c:v>Anbieter- &amp; Serviceauswahl</c:v>
                </c:pt>
                <c:pt idx="1">
                  <c:v>Sonstiges</c:v>
                </c:pt>
                <c:pt idx="2">
                  <c:v>Kompatibilität</c:v>
                </c:pt>
                <c:pt idx="3">
                  <c:v>Portierbarkeit</c:v>
                </c:pt>
                <c:pt idx="4">
                  <c:v>SLA Vereinbarung</c:v>
                </c:pt>
              </c:strCache>
            </c:strRef>
          </c:cat>
          <c:val>
            <c:numRef>
              <c:f>'(Auswertung_1)'!$T$5:$T$9</c:f>
              <c:numCache>
                <c:formatCode>0;\-0;;@</c:formatCode>
                <c:ptCount val="5"/>
                <c:pt idx="0">
                  <c:v>6.0</c:v>
                </c:pt>
                <c:pt idx="1">
                  <c:v>2.0</c:v>
                </c:pt>
                <c:pt idx="2">
                  <c:v>23.0</c:v>
                </c:pt>
                <c:pt idx="3">
                  <c:v>6.0</c:v>
                </c:pt>
                <c:pt idx="4">
                  <c:v>4.0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Verteilung der Lösungsvorschläge nach Reifegrad</a:t>
            </a:r>
          </a:p>
        </c:rich>
      </c:tx>
      <c:layout>
        <c:manualLayout>
          <c:xMode val="edge"/>
          <c:yMode val="edge"/>
          <c:x val="0.255600867810599"/>
          <c:y val="0.894243772502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74226421697288"/>
          <c:y val="0.0771255451804584"/>
          <c:w val="0.454052318460192"/>
          <c:h val="0.7595670754910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168471653104103"/>
                  <c:y val="-0.031065792634837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11768907191966"/>
                  <c:y val="-0.10067995372039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9058267258668"/>
                  <c:y val="0.15206614506032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'(Auswertung_1)'!$BI$6:$BI$8</c:f>
              <c:strCache>
                <c:ptCount val="3"/>
                <c:pt idx="0">
                  <c:v>Empfehlung</c:v>
                </c:pt>
                <c:pt idx="1">
                  <c:v>Methode</c:v>
                </c:pt>
                <c:pt idx="2">
                  <c:v>Werkzeug</c:v>
                </c:pt>
              </c:strCache>
            </c:strRef>
          </c:cat>
          <c:val>
            <c:numRef>
              <c:f>'(Auswertung_1)'!$BJ$6:$BJ$8</c:f>
              <c:numCache>
                <c:formatCode>0;\-0;;@</c:formatCode>
                <c:ptCount val="3"/>
                <c:pt idx="0">
                  <c:v>24.0</c:v>
                </c:pt>
                <c:pt idx="1">
                  <c:v>8.0</c:v>
                </c:pt>
                <c:pt idx="2">
                  <c:v>9.0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20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Kategorie: </a:t>
            </a:r>
            <a:r>
              <a:rPr lang="de-DE" sz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Anbieter &amp; Serviceauswahl</a:t>
            </a:r>
          </a:p>
        </c:rich>
      </c:tx>
      <c:layout>
        <c:manualLayout>
          <c:xMode val="edge"/>
          <c:yMode val="edge"/>
          <c:x val="0.247985551493398"/>
          <c:y val="0.865173855289889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046345986"/>
          <c:y val="0.205655555555556"/>
          <c:w val="0.728424537616646"/>
          <c:h val="0.5663520513883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'(Auswertung_1)'!$AT$7</c:f>
              <c:strCache>
                <c:ptCount val="1"/>
                <c:pt idx="0">
                  <c:v>Cloud Metrik Evaluierung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'(Auswertung_1)'!$AU$7</c:f>
              <c:numCache>
                <c:formatCode>0;\-0;;@</c:formatCode>
                <c:ptCount val="1"/>
                <c:pt idx="0">
                  <c:v>2.0</c:v>
                </c:pt>
              </c:numCache>
            </c:numRef>
          </c:val>
        </c:ser>
        <c:ser>
          <c:idx val="1"/>
          <c:order val="1"/>
          <c:tx>
            <c:strRef>
              <c:f>'(Auswertung_1)'!$AT$8</c:f>
              <c:strCache>
                <c:ptCount val="1"/>
                <c:pt idx="0">
                  <c:v>Vertragsmanagementanwendung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'(Auswertung_1)'!$AU$8</c:f>
              <c:numCache>
                <c:formatCode>0;\-0;;@</c:formatCode>
                <c:ptCount val="1"/>
                <c:pt idx="0">
                  <c:v>1.0</c:v>
                </c:pt>
              </c:numCache>
            </c:numRef>
          </c:val>
        </c:ser>
        <c:ser>
          <c:idx val="2"/>
          <c:order val="2"/>
          <c:tx>
            <c:strRef>
              <c:f>'(Auswertung_1)'!$AT$9</c:f>
              <c:strCache>
                <c:ptCount val="1"/>
                <c:pt idx="0">
                  <c:v>Atificial Intelligence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'(Auswertung_1)'!$AU$9</c:f>
              <c:numCache>
                <c:formatCode>0;\-0;;@</c:formatCode>
                <c:ptCount val="1"/>
                <c:pt idx="0">
                  <c:v>1.0</c:v>
                </c:pt>
              </c:numCache>
            </c:numRef>
          </c:val>
        </c:ser>
        <c:ser>
          <c:idx val="3"/>
          <c:order val="3"/>
          <c:tx>
            <c:strRef>
              <c:f>'(Auswertung_1)'!$AT$10</c:f>
              <c:strCache>
                <c:ptCount val="1"/>
                <c:pt idx="0">
                  <c:v>Einheitl. Servicebeschreibung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'(Auswertung_1)'!$AU$10</c:f>
              <c:numCache>
                <c:formatCode>0;\-0;;@</c:formatCode>
                <c:ptCount val="1"/>
                <c:pt idx="0">
                  <c:v>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-655618128"/>
        <c:axId val="-655616064"/>
      </c:barChart>
      <c:catAx>
        <c:axId val="-6556181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655616064"/>
        <c:crosses val="autoZero"/>
        <c:auto val="1"/>
        <c:lblAlgn val="ctr"/>
        <c:lblOffset val="100"/>
        <c:noMultiLvlLbl val="0"/>
      </c:catAx>
      <c:valAx>
        <c:axId val="-65561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;\-0;;@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65561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aseline="0">
                <a:solidFill>
                  <a:schemeClr val="tx1"/>
                </a:solidFill>
              </a:rPr>
              <a:t>Kategorie: Kompatibilität</a:t>
            </a:r>
          </a:p>
        </c:rich>
      </c:tx>
      <c:layout>
        <c:manualLayout>
          <c:xMode val="edge"/>
          <c:yMode val="edge"/>
          <c:x val="0.35761429598583"/>
          <c:y val="0.96037779368488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0176244673202"/>
          <c:y val="0.0320806435683567"/>
          <c:w val="0.818554267576241"/>
          <c:h val="0.9066489194551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'(Auswertung_1)'!$AW$7</c:f>
              <c:strCache>
                <c:ptCount val="1"/>
                <c:pt idx="0">
                  <c:v>Monitoring System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'(Auswertung_1)'!$AX$7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1"/>
          <c:order val="1"/>
          <c:tx>
            <c:strRef>
              <c:f>'(Auswertung_1)'!$AW$8</c:f>
              <c:strCache>
                <c:ptCount val="1"/>
                <c:pt idx="0">
                  <c:v>Infrastruktur Interpreter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'(Auswertung_1)'!$AX$8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2"/>
          <c:order val="2"/>
          <c:tx>
            <c:strRef>
              <c:f>'(Auswertung_1)'!$AW$9</c:f>
              <c:strCache>
                <c:ptCount val="1"/>
                <c:pt idx="0">
                  <c:v>Virtualisierungsinfrastruktur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'(Auswertung_1)'!$AX$9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3"/>
          <c:order val="3"/>
          <c:tx>
            <c:strRef>
              <c:f>'(Auswertung_1)'!$AW$10</c:f>
              <c:strCache>
                <c:ptCount val="1"/>
                <c:pt idx="0">
                  <c:v>Cloud Service Komposition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'(Auswertung_1)'!$AX$10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4"/>
          <c:order val="4"/>
          <c:tx>
            <c:strRef>
              <c:f>'(Auswertung_1)'!$AW$11</c:f>
              <c:strCache>
                <c:ptCount val="1"/>
                <c:pt idx="0">
                  <c:v>Application Programming Interface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'(Auswertung_1)'!$AX$11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5"/>
          <c:order val="5"/>
          <c:tx>
            <c:strRef>
              <c:f>'(Auswertung_1)'!$AW$12</c:f>
              <c:strCache>
                <c:ptCount val="1"/>
                <c:pt idx="0">
                  <c:v>Open-Source Plattform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'(Auswertung_1)'!$AX$12</c:f>
              <c:numCache>
                <c:formatCode>General</c:formatCode>
                <c:ptCount val="1"/>
                <c:pt idx="0">
                  <c:v>6.0</c:v>
                </c:pt>
              </c:numCache>
            </c:numRef>
          </c:val>
        </c:ser>
        <c:ser>
          <c:idx val="6"/>
          <c:order val="6"/>
          <c:tx>
            <c:strRef>
              <c:f>'(Auswertung_1)'!$AW$13</c:f>
              <c:strCache>
                <c:ptCount val="1"/>
                <c:pt idx="0">
                  <c:v>Datenintegration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'(Auswertung_1)'!$AX$13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7"/>
          <c:order val="7"/>
          <c:tx>
            <c:strRef>
              <c:f>'(Auswertung_1)'!$AW$14</c:f>
              <c:strCache>
                <c:ptCount val="1"/>
                <c:pt idx="0">
                  <c:v>Cloud Service Broker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'(Auswertung_1)'!$AX$14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8"/>
          <c:order val="8"/>
          <c:tx>
            <c:strRef>
              <c:f>'(Auswertung_1)'!$AW$15</c:f>
              <c:strCache>
                <c:ptCount val="1"/>
                <c:pt idx="0">
                  <c:v>Protokolltransmitter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'(Auswertung_1)'!$AX$15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9"/>
          <c:order val="9"/>
          <c:tx>
            <c:strRef>
              <c:f>'(Auswertung_1)'!$AW$16</c:f>
              <c:strCache>
                <c:ptCount val="1"/>
                <c:pt idx="0">
                  <c:v>SLA Management Aggregation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'(Auswertung_1)'!$AX$16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0"/>
          <c:order val="10"/>
          <c:tx>
            <c:strRef>
              <c:f>'(Auswertung_1)'!$AW$17</c:f>
              <c:strCache>
                <c:ptCount val="1"/>
                <c:pt idx="0">
                  <c:v>Atificial Intelligence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1"/>
          <c:order val="11"/>
          <c:tx>
            <c:strRef>
              <c:f>'(Auswertung_1)'!$AW$18</c:f>
              <c:strCache>
                <c:ptCount val="1"/>
                <c:pt idx="0">
                  <c:v>Collaboration SaaS</c:v>
                </c:pt>
              </c:strCache>
            </c:strRef>
          </c:tx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'(Auswertung_1)'!$AX$18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-661738800"/>
        <c:axId val="-661736048"/>
      </c:barChart>
      <c:catAx>
        <c:axId val="-6617388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661736048"/>
        <c:crosses val="autoZero"/>
        <c:auto val="1"/>
        <c:lblAlgn val="ctr"/>
        <c:lblOffset val="100"/>
        <c:noMultiLvlLbl val="0"/>
      </c:catAx>
      <c:valAx>
        <c:axId val="-66173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661738800"/>
        <c:crosses val="autoZero"/>
        <c:crossBetween val="between"/>
        <c:majorUnit val="1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r>
              <a:rPr lang="de-DE" sz="120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Kategorie:</a:t>
            </a:r>
            <a:r>
              <a:rPr lang="de-DE" sz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 </a:t>
            </a:r>
            <a:r>
              <a:rPr lang="de-DE" sz="120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Portabilität</a:t>
            </a:r>
          </a:p>
        </c:rich>
      </c:tx>
      <c:layout>
        <c:manualLayout>
          <c:xMode val="edge"/>
          <c:yMode val="edge"/>
          <c:x val="0.325042150240633"/>
          <c:y val="0.840268401312705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812507102849257"/>
          <c:y val="0.153194444444444"/>
          <c:w val="0.74449275803774"/>
          <c:h val="0.5558745261009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'(Auswertung_1)'!$AZ$7</c:f>
              <c:strCache>
                <c:ptCount val="1"/>
                <c:pt idx="0">
                  <c:v>Open-Source Plattform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'(Auswertung_1)'!$BA$7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strRef>
              <c:f>'(Auswertung_1)'!$AZ$8</c:f>
              <c:strCache>
                <c:ptCount val="1"/>
                <c:pt idx="0">
                  <c:v>OVF Erweiterung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'(Auswertung_1)'!$BA$8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2"/>
          <c:order val="2"/>
          <c:tx>
            <c:strRef>
              <c:f>'(Auswertung_1)'!$AZ$9</c:f>
              <c:strCache>
                <c:ptCount val="1"/>
                <c:pt idx="0">
                  <c:v>Monitoring System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'(Auswertung_1)'!$BA$9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3"/>
          <c:order val="3"/>
          <c:tx>
            <c:strRef>
              <c:f>'(Auswertung_1)'!$AZ$10</c:f>
              <c:strCache>
                <c:ptCount val="1"/>
                <c:pt idx="0">
                  <c:v>Meta Cloud API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'(Auswertung_1)'!$BA$10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4"/>
          <c:order val="4"/>
          <c:tx>
            <c:strRef>
              <c:f>'(Auswertung_1)'!$AZ$11</c:f>
              <c:strCache>
                <c:ptCount val="1"/>
                <c:pt idx="0">
                  <c:v>Datenintegration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'(Auswertung_1)'!$BA$11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-661686144"/>
        <c:axId val="-661683392"/>
      </c:barChart>
      <c:catAx>
        <c:axId val="-661686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661683392"/>
        <c:crosses val="autoZero"/>
        <c:auto val="1"/>
        <c:lblAlgn val="ctr"/>
        <c:lblOffset val="100"/>
        <c:noMultiLvlLbl val="0"/>
      </c:catAx>
      <c:valAx>
        <c:axId val="-6616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661686144"/>
        <c:crosses val="autoZero"/>
        <c:crossBetween val="between"/>
        <c:majorUnit val="1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 sz="120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Kategorie: SLA Vereinbarungen</a:t>
            </a:r>
          </a:p>
        </c:rich>
      </c:tx>
      <c:layout>
        <c:manualLayout>
          <c:xMode val="edge"/>
          <c:yMode val="edge"/>
          <c:x val="0.276243563544336"/>
          <c:y val="0.83133419284263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864126018542062"/>
          <c:y val="0.115079279473627"/>
          <c:w val="0.755368908394783"/>
          <c:h val="0.59398950131233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'(Auswertung_1)'!$BC$7</c:f>
              <c:strCache>
                <c:ptCount val="1"/>
                <c:pt idx="0">
                  <c:v>Datenintegration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'(Auswertung_1)'!$BD$7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strRef>
              <c:f>'(Auswertung_1)'!$BC$8</c:f>
              <c:strCache>
                <c:ptCount val="1"/>
                <c:pt idx="0">
                  <c:v>Rechtliche Rahmenbedingung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'(Auswertung_1)'!$BD$8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2"/>
          <c:order val="2"/>
          <c:tx>
            <c:strRef>
              <c:f>'(Auswertung_1)'!$BC$9</c:f>
              <c:strCache>
                <c:ptCount val="1"/>
                <c:pt idx="0">
                  <c:v>SLA Management Aggregation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'(Auswertung_1)'!$BD$9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-619691264"/>
        <c:axId val="-619688000"/>
      </c:barChart>
      <c:catAx>
        <c:axId val="-6196912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619688000"/>
        <c:crosses val="autoZero"/>
        <c:auto val="1"/>
        <c:lblAlgn val="ctr"/>
        <c:lblOffset val="100"/>
        <c:noMultiLvlLbl val="0"/>
      </c:catAx>
      <c:valAx>
        <c:axId val="-61968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619691264"/>
        <c:crosses val="autoZero"/>
        <c:crossBetween val="between"/>
        <c:majorUnit val="1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Kategorie: Sonstiges</a:t>
            </a:r>
          </a:p>
        </c:rich>
      </c:tx>
      <c:layout>
        <c:manualLayout>
          <c:xMode val="edge"/>
          <c:yMode val="edge"/>
          <c:x val="0.360799575167637"/>
          <c:y val="0.8498249726519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0863125721110054"/>
          <c:y val="0.196183810357039"/>
          <c:w val="0.762777075496124"/>
          <c:h val="0.51288505603466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'(Auswertung_1)'!$BF$8</c:f>
              <c:strCache>
                <c:ptCount val="1"/>
                <c:pt idx="0">
                  <c:v>Ressourcenverteilung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'(Auswertung_1)'!$BG$8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strRef>
              <c:f>'(Auswertung_1)'!$BF$9</c:f>
              <c:strCache>
                <c:ptCount val="1"/>
                <c:pt idx="0">
                  <c:v>Cultural Frames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'(Auswertung_1)'!$BG$9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-619665152"/>
        <c:axId val="-619662400"/>
      </c:barChart>
      <c:catAx>
        <c:axId val="-61966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619662400"/>
        <c:crosses val="autoZero"/>
        <c:auto val="1"/>
        <c:lblAlgn val="ctr"/>
        <c:lblOffset val="100"/>
        <c:noMultiLvlLbl val="0"/>
      </c:catAx>
      <c:valAx>
        <c:axId val="-61966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619665152"/>
        <c:crosses val="autoZero"/>
        <c:crossBetween val="between"/>
        <c:majorUnit val="1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Verteilung der Lösungskonzepte nach Erscheinungsjahr</a:t>
            </a:r>
          </a:p>
        </c:rich>
      </c:tx>
      <c:layout>
        <c:manualLayout>
          <c:xMode val="edge"/>
          <c:yMode val="edge"/>
          <c:x val="0.213363802150413"/>
          <c:y val="0.880166636910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0333333333333333"/>
          <c:y val="0.131669542303228"/>
          <c:w val="0.895919072615923"/>
          <c:h val="0.624357059949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'(Auswertung_1)'!$Q$4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'(Auswertung_1)'!$P$5:$P$12</c:f>
              <c:numCache>
                <c:formatCode>0;\-0;;@</c:formatCode>
                <c:ptCount val="8"/>
                <c:pt idx="0">
                  <c:v>2016.0</c:v>
                </c:pt>
                <c:pt idx="1">
                  <c:v>2015.0</c:v>
                </c:pt>
                <c:pt idx="2">
                  <c:v>2014.0</c:v>
                </c:pt>
                <c:pt idx="3">
                  <c:v>2013.0</c:v>
                </c:pt>
                <c:pt idx="4">
                  <c:v>2012.0</c:v>
                </c:pt>
                <c:pt idx="5">
                  <c:v>2011.0</c:v>
                </c:pt>
                <c:pt idx="6">
                  <c:v>2010.0</c:v>
                </c:pt>
                <c:pt idx="7">
                  <c:v>2009.0</c:v>
                </c:pt>
              </c:numCache>
            </c:numRef>
          </c:cat>
          <c:val>
            <c:numRef>
              <c:f>'(Auswertung_1)'!$Q$5:$Q$12</c:f>
              <c:numCache>
                <c:formatCode>0;\-0;;@</c:formatCode>
                <c:ptCount val="8"/>
                <c:pt idx="0">
                  <c:v>2.0</c:v>
                </c:pt>
                <c:pt idx="1">
                  <c:v>12.0</c:v>
                </c:pt>
                <c:pt idx="2">
                  <c:v>8.0</c:v>
                </c:pt>
                <c:pt idx="3">
                  <c:v>8.0</c:v>
                </c:pt>
                <c:pt idx="4">
                  <c:v>4.0</c:v>
                </c:pt>
                <c:pt idx="5">
                  <c:v>4.0</c:v>
                </c:pt>
                <c:pt idx="6">
                  <c:v>1.0</c:v>
                </c:pt>
                <c:pt idx="7">
                  <c:v>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96753280"/>
        <c:axId val="-696750800"/>
      </c:barChart>
      <c:catAx>
        <c:axId val="-696753280"/>
        <c:scaling>
          <c:orientation val="maxMin"/>
        </c:scaling>
        <c:delete val="0"/>
        <c:axPos val="b"/>
        <c:numFmt formatCode="0;\-0;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696750800"/>
        <c:crosses val="autoZero"/>
        <c:auto val="1"/>
        <c:lblAlgn val="ctr"/>
        <c:lblOffset val="100"/>
        <c:noMultiLvlLbl val="0"/>
      </c:catAx>
      <c:valAx>
        <c:axId val="-696750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;\-0;;@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69675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Umsetzbarkeit der Lösungenvorschläge</a:t>
            </a:r>
          </a:p>
        </c:rich>
      </c:tx>
      <c:layout>
        <c:manualLayout>
          <c:xMode val="edge"/>
          <c:yMode val="edge"/>
          <c:x val="0.301585364176178"/>
          <c:y val="0.8945781010866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78558048485615"/>
          <c:y val="0.0648847853535353"/>
          <c:w val="0.413810503266197"/>
          <c:h val="0.845486233401425"/>
        </c:manualLayout>
      </c:layout>
      <c:pieChart>
        <c:varyColors val="1"/>
        <c:ser>
          <c:idx val="0"/>
          <c:order val="0"/>
          <c:tx>
            <c:strRef>
              <c:f>'(Auswertung_1)'!$BK$4</c:f>
              <c:strCache>
                <c:ptCount val="1"/>
                <c:pt idx="0">
                  <c:v>Anzahl Lösungen _x000d_umsetzbar für</c:v>
                </c:pt>
              </c:strCache>
            </c:strRef>
          </c:tx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225037679635471"/>
                  <c:y val="-0.007294513297930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98B3524-AF55-064B-BEFD-787B6AEA12E9}" type="CATEGORYNAME">
                      <a:rPr lang="mr-IN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[RUBRIKENNAME]</a:t>
                    </a:fld>
                    <a:r>
                      <a:rPr lang="mr-IN" baseline="0"/>
                      <a:t>; </a:t>
                    </a:r>
                    <a:fld id="{6AC64187-D5D6-7043-ADCE-35A9F572A626}" type="VALUE">
                      <a:rPr lang="mr-IN" baseline="0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[WERT]</a:t>
                    </a:fld>
                    <a:r>
                      <a:rPr lang="mr-IN" baseline="0"/>
                      <a:t>; </a:t>
                    </a:r>
                  </a:p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2CD10364-E561-FC42-9466-8D695299ED86}" type="PERCENTAGE">
                      <a:rPr lang="mr-IN" baseline="0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[PROZENTSATZ]</a:t>
                    </a:fld>
                    <a:endParaRPr lang="de-DE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8572905713284"/>
                      <c:h val="0.179692920398909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1"/>
              <c:layout>
                <c:manualLayout>
                  <c:x val="0.207316684192079"/>
                  <c:y val="-0.070160218897562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'(Auswertung_1)'!$BK$5:$BL$5</c:f>
              <c:strCache>
                <c:ptCount val="2"/>
                <c:pt idx="0">
                  <c:v>Aggreg./Integ.</c:v>
                </c:pt>
                <c:pt idx="1">
                  <c:v>ITSVN Akteure</c:v>
                </c:pt>
              </c:strCache>
            </c:strRef>
          </c:cat>
          <c:val>
            <c:numRef>
              <c:f>'(Auswertung_1)'!$BK$6:$BL$6</c:f>
              <c:numCache>
                <c:formatCode>0;\-0;;@</c:formatCode>
                <c:ptCount val="2"/>
                <c:pt idx="0">
                  <c:v>21.0</c:v>
                </c:pt>
                <c:pt idx="1">
                  <c:v>20.0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Verteilung äauf die Elemente</a:t>
            </a:r>
          </a:p>
        </c:rich>
      </c:tx>
      <c:layout>
        <c:manualLayout>
          <c:xMode val="edge"/>
          <c:yMode val="edge"/>
          <c:x val="0.215123786756587"/>
          <c:y val="0.9036827651515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303399184686406"/>
          <c:y val="0.106907828282828"/>
          <c:w val="0.411575104543112"/>
          <c:h val="0.74127430555555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170224734776162"/>
                  <c:y val="-0.020129638057734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7006374793439"/>
                      <c:h val="0.203703703703704"/>
                    </c:manualLayout>
                  </c15:layout>
                </c:ext>
              </c:extLst>
            </c:dLbl>
            <c:dLbl>
              <c:idx val="1"/>
              <c:layout>
                <c:manualLayout>
                  <c:x val="0.201011025711119"/>
                  <c:y val="-0.01285574273604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436389058448"/>
                      <c:h val="0.254421478565179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'(Auswertung_1)'!$BM$5:$BN$5</c:f>
              <c:strCache>
                <c:ptCount val="2"/>
                <c:pt idx="0">
                  <c:v>Akteur</c:v>
                </c:pt>
                <c:pt idx="1">
                  <c:v>Schnittstelle</c:v>
                </c:pt>
              </c:strCache>
            </c:strRef>
          </c:cat>
          <c:val>
            <c:numRef>
              <c:f>'(Auswertung_1)'!$BM$6:$BN$6</c:f>
              <c:numCache>
                <c:formatCode>General</c:formatCode>
                <c:ptCount val="2"/>
                <c:pt idx="0">
                  <c:v>74.0</c:v>
                </c:pt>
                <c:pt idx="1">
                  <c:v>73.0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Verteilung</a:t>
            </a:r>
            <a:r>
              <a:rPr lang="de-DE" sz="1200" b="1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 der Umsetzung nach ITSVN Akteur &amp; Aggr. bzw. Integr.</a:t>
            </a:r>
          </a:p>
        </c:rich>
      </c:tx>
      <c:layout>
        <c:manualLayout>
          <c:xMode val="edge"/>
          <c:yMode val="edge"/>
          <c:x val="0.127158600576959"/>
          <c:y val="0.9094002525252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0333871968425001"/>
          <c:y val="0.176249053030303"/>
          <c:w val="0.942128858806333"/>
          <c:h val="0.544341856060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'(Auswertung_1)'!$AD$5</c:f>
              <c:strCache>
                <c:ptCount val="1"/>
                <c:pt idx="0">
                  <c:v>ITSVN Akteure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'(Auswertung_1)'!$AE$4:$AH$4</c:f>
              <c:strCache>
                <c:ptCount val="4"/>
                <c:pt idx="0">
                  <c:v>Kompatibilität</c:v>
                </c:pt>
                <c:pt idx="1">
                  <c:v>Portierbarkeit</c:v>
                </c:pt>
                <c:pt idx="2">
                  <c:v>SLA Vereinbarung</c:v>
                </c:pt>
                <c:pt idx="3">
                  <c:v>Anbieter- &amp; Serviceauswahl</c:v>
                </c:pt>
              </c:strCache>
            </c:strRef>
          </c:cat>
          <c:val>
            <c:numRef>
              <c:f>'(Auswertung_1)'!$AE$5:$AH$5</c:f>
              <c:numCache>
                <c:formatCode>General</c:formatCode>
                <c:ptCount val="4"/>
                <c:pt idx="0">
                  <c:v>10.0</c:v>
                </c:pt>
                <c:pt idx="1">
                  <c:v>5.0</c:v>
                </c:pt>
                <c:pt idx="2">
                  <c:v>4.0</c:v>
                </c:pt>
                <c:pt idx="3">
                  <c:v>0.0</c:v>
                </c:pt>
              </c:numCache>
            </c:numRef>
          </c:val>
        </c:ser>
        <c:ser>
          <c:idx val="1"/>
          <c:order val="1"/>
          <c:tx>
            <c:strRef>
              <c:f>'(Auswertung_1)'!$AD$6</c:f>
              <c:strCache>
                <c:ptCount val="1"/>
                <c:pt idx="0">
                  <c:v>Aggreg. bzw Integ.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'(Auswertung_1)'!$AE$4:$AH$4</c:f>
              <c:strCache>
                <c:ptCount val="4"/>
                <c:pt idx="0">
                  <c:v>Kompatibilität</c:v>
                </c:pt>
                <c:pt idx="1">
                  <c:v>Portierbarkeit</c:v>
                </c:pt>
                <c:pt idx="2">
                  <c:v>SLA Vereinbarung</c:v>
                </c:pt>
                <c:pt idx="3">
                  <c:v>Anbieter- &amp; Serviceauswahl</c:v>
                </c:pt>
              </c:strCache>
            </c:strRef>
          </c:cat>
          <c:val>
            <c:numRef>
              <c:f>'(Auswertung_1)'!$AE$6:$AH$6</c:f>
              <c:numCache>
                <c:formatCode>General</c:formatCode>
                <c:ptCount val="4"/>
                <c:pt idx="0">
                  <c:v>13.0</c:v>
                </c:pt>
                <c:pt idx="1">
                  <c:v>1.0</c:v>
                </c:pt>
                <c:pt idx="2">
                  <c:v>0.0</c:v>
                </c:pt>
                <c:pt idx="3">
                  <c:v>6.0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-655549984"/>
        <c:axId val="-655547232"/>
      </c:barChart>
      <c:catAx>
        <c:axId val="-65554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de-DE"/>
          </a:p>
        </c:txPr>
        <c:crossAx val="-655547232"/>
        <c:crosses val="autoZero"/>
        <c:auto val="1"/>
        <c:lblAlgn val="ctr"/>
        <c:lblOffset val="100"/>
        <c:noMultiLvlLbl val="0"/>
      </c:catAx>
      <c:valAx>
        <c:axId val="-655547232"/>
        <c:scaling>
          <c:orientation val="minMax"/>
        </c:scaling>
        <c:delete val="1"/>
        <c:axPos val="l"/>
        <c:majorTickMark val="out"/>
        <c:minorTickMark val="none"/>
        <c:tickLblPos val="nextTo"/>
        <c:crossAx val="-655549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11302289835847"/>
          <c:y val="0.0922679377963752"/>
          <c:w val="0.227383659287231"/>
          <c:h val="0.2972845631436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Bezug der Lösung zum</a:t>
            </a:r>
            <a:r>
              <a:rPr lang="de-DE" sz="1200" b="1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 3-Ebenen-Modell</a:t>
            </a:r>
            <a:endParaRPr lang="de-DE" sz="1200" b="1">
              <a:solidFill>
                <a:schemeClr val="tx1"/>
              </a:solidFill>
              <a:latin typeface="Times New Roman" charset="0"/>
              <a:ea typeface="Times New Roman" charset="0"/>
              <a:cs typeface="Times New Roman" charset="0"/>
            </a:endParaRPr>
          </a:p>
        </c:rich>
      </c:tx>
      <c:layout>
        <c:manualLayout>
          <c:xMode val="edge"/>
          <c:yMode val="edge"/>
          <c:x val="0.253052492110017"/>
          <c:y val="0.8779356060606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90568395082555"/>
          <c:y val="0.0919021464646465"/>
          <c:w val="0.374229628380041"/>
          <c:h val="0.67223832070707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63636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245D9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019963765823897"/>
                  <c:y val="0.0922032828282828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F449C57-0185-FF4B-8457-B2E9AAB00BF0}" type="CATEGORY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tx1"/>
                          </a:solidFill>
                        </a:defRPr>
                      </a:pPr>
                      <a:t>[RUBRIKENNAME]</a:t>
                    </a:fld>
                    <a:r>
                      <a:rPr lang="en-US" baseline="0">
                        <a:solidFill>
                          <a:schemeClr val="bg1"/>
                        </a:solidFill>
                      </a:rPr>
                      <a:t>
</a:t>
                    </a:r>
                    <a:fld id="{A1118D7E-10B1-1445-A98C-DB90BA087823}" type="PERCENTAGE">
                      <a:rPr lang="en-US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tx1"/>
                          </a:solidFill>
                        </a:defRPr>
                      </a:pPr>
                      <a:t>[PROZENTSATZ]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layout>
                <c:manualLayout>
                  <c:x val="-0.0278805467108084"/>
                  <c:y val="-0.17145265151515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0.0531723355052751"/>
                  <c:y val="-0.15727856691919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0856075462679853"/>
                      <c:h val="0.14413794191919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'(Auswertung_1)'!$BP$4:$BU$4</c:f>
              <c:strCache>
                <c:ptCount val="6"/>
                <c:pt idx="0">
                  <c:v>Nur _x000d_IaaS</c:v>
                </c:pt>
                <c:pt idx="1">
                  <c:v>Nur _x000d_PaaS</c:v>
                </c:pt>
                <c:pt idx="2">
                  <c:v>Nur _x000d_SaaS</c:v>
                </c:pt>
                <c:pt idx="3">
                  <c:v>Alle Ebene</c:v>
                </c:pt>
                <c:pt idx="4">
                  <c:v>Keine _x000d_Ebene</c:v>
                </c:pt>
                <c:pt idx="5">
                  <c:v>2 Ebenen</c:v>
                </c:pt>
              </c:strCache>
            </c:strRef>
          </c:cat>
          <c:val>
            <c:numRef>
              <c:f>'(Auswertung_1)'!$BP$5:$BU$5</c:f>
              <c:numCache>
                <c:formatCode>0;\-0;;@</c:formatCode>
                <c:ptCount val="6"/>
                <c:pt idx="0">
                  <c:v>17.0</c:v>
                </c:pt>
                <c:pt idx="1">
                  <c:v>2.0</c:v>
                </c:pt>
                <c:pt idx="2">
                  <c:v>5.0</c:v>
                </c:pt>
                <c:pt idx="3">
                  <c:v>11.0</c:v>
                </c:pt>
                <c:pt idx="4">
                  <c:v>3.0</c:v>
                </c:pt>
                <c:pt idx="5">
                  <c:v>3.0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'(Auswertung_1)'!#REF!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21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1.3.2 Ergeb. Literaturanalyse'!A1"/><Relationship Id="rId2" Type="http://schemas.openxmlformats.org/officeDocument/2006/relationships/hyperlink" Target="#'1.3 Literatur Recherche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1.4 Analyse &amp; Synthese'!A1"/><Relationship Id="rId2" Type="http://schemas.openxmlformats.org/officeDocument/2006/relationships/hyperlink" Target="#'1.3.3 &#220;berblick Literatur'!A1"/><Relationship Id="rId3" Type="http://schemas.openxmlformats.org/officeDocument/2006/relationships/hyperlink" Target="#'1.3.1 Suchstrings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1.3 Literatur Recherche'!A1"/><Relationship Id="rId2" Type="http://schemas.openxmlformats.org/officeDocument/2006/relationships/hyperlink" Target="#'1.3.2 Ergeb. Literaturanalyse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Relationship Id="rId2" Type="http://schemas.openxmlformats.org/officeDocument/2006/relationships/hyperlink" Target="#'1.4.1 Quantitat. Analyse'!A1"/></Relationships>
</file>

<file path=xl/drawings/_rels/drawing5.xml.rels><?xml version="1.0" encoding="UTF-8" standalone="yes"?>
<Relationships xmlns="http://schemas.openxmlformats.org/package/2006/relationships"><Relationship Id="rId11" Type="http://schemas.openxmlformats.org/officeDocument/2006/relationships/chart" Target="../charts/chart9.xml"/><Relationship Id="rId12" Type="http://schemas.openxmlformats.org/officeDocument/2006/relationships/chart" Target="../charts/chart10.xml"/><Relationship Id="rId13" Type="http://schemas.openxmlformats.org/officeDocument/2006/relationships/chart" Target="../charts/chart11.xml"/><Relationship Id="rId14" Type="http://schemas.openxmlformats.org/officeDocument/2006/relationships/chart" Target="../charts/chart12.xml"/><Relationship Id="rId15" Type="http://schemas.openxmlformats.org/officeDocument/2006/relationships/chart" Target="../charts/chart13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hyperlink" Target="#'1.4 Analyse &amp; Synthese'!A1"/><Relationship Id="rId5" Type="http://schemas.openxmlformats.org/officeDocument/2006/relationships/chart" Target="../charts/chart4.xml"/><Relationship Id="rId6" Type="http://schemas.openxmlformats.org/officeDocument/2006/relationships/chart" Target="../charts/chart5.xml"/><Relationship Id="rId7" Type="http://schemas.openxmlformats.org/officeDocument/2006/relationships/chart" Target="../charts/chart6.xml"/><Relationship Id="rId8" Type="http://schemas.openxmlformats.org/officeDocument/2006/relationships/chart" Target="../charts/chart7.xml"/><Relationship Id="rId9" Type="http://schemas.openxmlformats.org/officeDocument/2006/relationships/chart" Target="../charts/chart8.xml"/><Relationship Id="rId10" Type="http://schemas.openxmlformats.org/officeDocument/2006/relationships/hyperlink" Target="#'1.4.2 Qualitat. Analyse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1.4 Analyse &amp; Synthes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177800</xdr:colOff>
      <xdr:row>0</xdr:row>
      <xdr:rowOff>177800</xdr:rowOff>
    </xdr:from>
    <xdr:to>
      <xdr:col>0</xdr:col>
      <xdr:colOff>645800</xdr:colOff>
      <xdr:row>0</xdr:row>
      <xdr:rowOff>645800</xdr:rowOff>
    </xdr:to>
    <xdr:sp macro="" textlink="">
      <xdr:nvSpPr>
        <xdr:cNvPr id="5" name="Interaktive Schaltfläche: Zurückkehren 4"/>
        <xdr:cNvSpPr/>
      </xdr:nvSpPr>
      <xdr:spPr bwMode="auto">
        <a:xfrm>
          <a:off x="177800" y="177800"/>
          <a:ext cx="468000" cy="468000"/>
        </a:xfrm>
        <a:prstGeom prst="actionButtonReturn">
          <a:avLst/>
        </a:prstGeom>
        <a:solidFill>
          <a:schemeClr val="accent5">
            <a:lumMod val="60000"/>
            <a:lumOff val="40000"/>
          </a:schemeClr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>
              <a:effectLst>
                <a:outerShdw blurRad="63500"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lIns="72000" tIns="72000" rIns="72000" bIns="72000" anchor="ctr"/>
        <a:lstStyle>
          <a:defPPr>
            <a:defRPr lang="de-DE"/>
          </a:defPPr>
          <a:lvl1pPr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1pPr>
          <a:lvl2pPr marL="4572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2pPr>
          <a:lvl3pPr marL="9144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3pPr>
          <a:lvl4pPr marL="13716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4pPr>
          <a:lvl5pPr marL="18288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5pPr>
          <a:lvl6pPr marL="22860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6pPr>
          <a:lvl7pPr marL="27432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7pPr>
          <a:lvl8pPr marL="32004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8pPr>
          <a:lvl9pPr marL="36576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9pPr>
        </a:lstStyle>
        <a:p>
          <a:pPr>
            <a:defRPr/>
          </a:pPr>
          <a:endParaRPr lang="de-DE"/>
        </a:p>
      </xdr:txBody>
    </xdr:sp>
    <xdr:clientData/>
  </xdr:twoCellAnchor>
  <xdr:twoCellAnchor>
    <xdr:from>
      <xdr:col>1</xdr:col>
      <xdr:colOff>330199</xdr:colOff>
      <xdr:row>0</xdr:row>
      <xdr:rowOff>177800</xdr:rowOff>
    </xdr:from>
    <xdr:to>
      <xdr:col>1</xdr:col>
      <xdr:colOff>685799</xdr:colOff>
      <xdr:row>0</xdr:row>
      <xdr:rowOff>647700</xdr:rowOff>
    </xdr:to>
    <xdr:sp macro="" textlink="">
      <xdr:nvSpPr>
        <xdr:cNvPr id="7" name="Eingebuchteter Richtungspfeil 6">
          <a:hlinkClick xmlns:r="http://schemas.openxmlformats.org/officeDocument/2006/relationships" r:id="rId1"/>
        </xdr:cNvPr>
        <xdr:cNvSpPr>
          <a:spLocks/>
        </xdr:cNvSpPr>
      </xdr:nvSpPr>
      <xdr:spPr>
        <a:xfrm>
          <a:off x="1295399" y="177800"/>
          <a:ext cx="355600" cy="469900"/>
        </a:xfrm>
        <a:prstGeom prst="chevron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863600</xdr:colOff>
      <xdr:row>0</xdr:row>
      <xdr:rowOff>177800</xdr:rowOff>
    </xdr:from>
    <xdr:to>
      <xdr:col>1</xdr:col>
      <xdr:colOff>254800</xdr:colOff>
      <xdr:row>0</xdr:row>
      <xdr:rowOff>645800</xdr:rowOff>
    </xdr:to>
    <xdr:sp macro="" textlink="">
      <xdr:nvSpPr>
        <xdr:cNvPr id="8" name="Eingebuchteter Richtungspfeil 7">
          <a:hlinkClick xmlns:r="http://schemas.openxmlformats.org/officeDocument/2006/relationships" r:id="rId2"/>
        </xdr:cNvPr>
        <xdr:cNvSpPr>
          <a:spLocks/>
        </xdr:cNvSpPr>
      </xdr:nvSpPr>
      <xdr:spPr>
        <a:xfrm flipH="1">
          <a:off x="863600" y="177800"/>
          <a:ext cx="356400" cy="468000"/>
        </a:xfrm>
        <a:prstGeom prst="chevron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139700</xdr:colOff>
      <xdr:row>0</xdr:row>
      <xdr:rowOff>177800</xdr:rowOff>
    </xdr:from>
    <xdr:to>
      <xdr:col>0</xdr:col>
      <xdr:colOff>607700</xdr:colOff>
      <xdr:row>0</xdr:row>
      <xdr:rowOff>645800</xdr:rowOff>
    </xdr:to>
    <xdr:sp macro="" textlink="">
      <xdr:nvSpPr>
        <xdr:cNvPr id="5" name="Interaktive Schaltfläche: Zurückkehren 4">
          <a:hlinkClick xmlns:r="http://schemas.openxmlformats.org/officeDocument/2006/relationships" r:id="rId1"/>
        </xdr:cNvPr>
        <xdr:cNvSpPr/>
      </xdr:nvSpPr>
      <xdr:spPr bwMode="auto">
        <a:xfrm>
          <a:off x="139700" y="177800"/>
          <a:ext cx="468000" cy="468000"/>
        </a:xfrm>
        <a:prstGeom prst="actionButtonReturn">
          <a:avLst/>
        </a:prstGeom>
        <a:solidFill>
          <a:schemeClr val="accent5">
            <a:lumMod val="60000"/>
            <a:lumOff val="40000"/>
          </a:schemeClr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>
              <a:effectLst>
                <a:outerShdw blurRad="63500"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lIns="72000" tIns="72000" rIns="72000" bIns="72000" anchor="ctr"/>
        <a:lstStyle>
          <a:defPPr>
            <a:defRPr lang="de-DE"/>
          </a:defPPr>
          <a:lvl1pPr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1pPr>
          <a:lvl2pPr marL="4572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2pPr>
          <a:lvl3pPr marL="9144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3pPr>
          <a:lvl4pPr marL="13716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4pPr>
          <a:lvl5pPr marL="18288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5pPr>
          <a:lvl6pPr marL="22860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6pPr>
          <a:lvl7pPr marL="27432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7pPr>
          <a:lvl8pPr marL="32004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8pPr>
          <a:lvl9pPr marL="36576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9pPr>
        </a:lstStyle>
        <a:p>
          <a:pPr>
            <a:defRPr/>
          </a:pPr>
          <a:endParaRPr lang="de-DE"/>
        </a:p>
      </xdr:txBody>
    </xdr:sp>
    <xdr:clientData/>
  </xdr:twoCellAnchor>
  <xdr:twoCellAnchor>
    <xdr:from>
      <xdr:col>2</xdr:col>
      <xdr:colOff>101599</xdr:colOff>
      <xdr:row>0</xdr:row>
      <xdr:rowOff>177800</xdr:rowOff>
    </xdr:from>
    <xdr:to>
      <xdr:col>3</xdr:col>
      <xdr:colOff>152399</xdr:colOff>
      <xdr:row>0</xdr:row>
      <xdr:rowOff>647700</xdr:rowOff>
    </xdr:to>
    <xdr:sp macro="" textlink="">
      <xdr:nvSpPr>
        <xdr:cNvPr id="6" name="Eingebuchteter Richtungspfeil 5">
          <a:hlinkClick xmlns:r="http://schemas.openxmlformats.org/officeDocument/2006/relationships" r:id="rId2"/>
        </xdr:cNvPr>
        <xdr:cNvSpPr>
          <a:spLocks/>
        </xdr:cNvSpPr>
      </xdr:nvSpPr>
      <xdr:spPr>
        <a:xfrm>
          <a:off x="1257299" y="177800"/>
          <a:ext cx="393700" cy="469900"/>
        </a:xfrm>
        <a:prstGeom prst="chevron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0</xdr:row>
      <xdr:rowOff>177800</xdr:rowOff>
    </xdr:from>
    <xdr:to>
      <xdr:col>2</xdr:col>
      <xdr:colOff>26200</xdr:colOff>
      <xdr:row>0</xdr:row>
      <xdr:rowOff>645800</xdr:rowOff>
    </xdr:to>
    <xdr:sp macro="" textlink="">
      <xdr:nvSpPr>
        <xdr:cNvPr id="9" name="Eingebuchteter Richtungspfeil 8">
          <a:hlinkClick xmlns:r="http://schemas.openxmlformats.org/officeDocument/2006/relationships" r:id="rId3"/>
        </xdr:cNvPr>
        <xdr:cNvSpPr>
          <a:spLocks/>
        </xdr:cNvSpPr>
      </xdr:nvSpPr>
      <xdr:spPr>
        <a:xfrm flipH="1">
          <a:off x="825500" y="177800"/>
          <a:ext cx="356400" cy="468000"/>
        </a:xfrm>
        <a:prstGeom prst="chevron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177800</xdr:colOff>
      <xdr:row>0</xdr:row>
      <xdr:rowOff>177800</xdr:rowOff>
    </xdr:from>
    <xdr:to>
      <xdr:col>0</xdr:col>
      <xdr:colOff>645800</xdr:colOff>
      <xdr:row>0</xdr:row>
      <xdr:rowOff>645800</xdr:rowOff>
    </xdr:to>
    <xdr:sp macro="" textlink="">
      <xdr:nvSpPr>
        <xdr:cNvPr id="9" name="Interaktive Schaltfläche: Zurückkehren 8">
          <a:hlinkClick xmlns:r="http://schemas.openxmlformats.org/officeDocument/2006/relationships" r:id="rId1"/>
        </xdr:cNvPr>
        <xdr:cNvSpPr/>
      </xdr:nvSpPr>
      <xdr:spPr bwMode="auto">
        <a:xfrm>
          <a:off x="177800" y="177800"/>
          <a:ext cx="468000" cy="468000"/>
        </a:xfrm>
        <a:prstGeom prst="actionButtonReturn">
          <a:avLst/>
        </a:prstGeom>
        <a:solidFill>
          <a:schemeClr val="accent5">
            <a:lumMod val="60000"/>
            <a:lumOff val="40000"/>
          </a:schemeClr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>
              <a:effectLst>
                <a:outerShdw blurRad="63500"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lIns="72000" tIns="72000" rIns="72000" bIns="72000" anchor="ctr"/>
        <a:lstStyle>
          <a:defPPr>
            <a:defRPr lang="de-DE"/>
          </a:defPPr>
          <a:lvl1pPr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1pPr>
          <a:lvl2pPr marL="4572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2pPr>
          <a:lvl3pPr marL="9144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3pPr>
          <a:lvl4pPr marL="13716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4pPr>
          <a:lvl5pPr marL="18288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5pPr>
          <a:lvl6pPr marL="22860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6pPr>
          <a:lvl7pPr marL="27432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7pPr>
          <a:lvl8pPr marL="32004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8pPr>
          <a:lvl9pPr marL="36576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9pPr>
        </a:lstStyle>
        <a:p>
          <a:pPr>
            <a:defRPr/>
          </a:pPr>
          <a:endParaRPr lang="de-DE"/>
        </a:p>
      </xdr:txBody>
    </xdr:sp>
    <xdr:clientData/>
  </xdr:twoCellAnchor>
  <xdr:twoCellAnchor>
    <xdr:from>
      <xdr:col>1</xdr:col>
      <xdr:colOff>38100</xdr:colOff>
      <xdr:row>0</xdr:row>
      <xdr:rowOff>177800</xdr:rowOff>
    </xdr:from>
    <xdr:to>
      <xdr:col>2</xdr:col>
      <xdr:colOff>180739</xdr:colOff>
      <xdr:row>0</xdr:row>
      <xdr:rowOff>645800</xdr:rowOff>
    </xdr:to>
    <xdr:sp macro="" textlink="">
      <xdr:nvSpPr>
        <xdr:cNvPr id="10" name="Eingebuchteter Richtungspfeil 9">
          <a:hlinkClick xmlns:r="http://schemas.openxmlformats.org/officeDocument/2006/relationships" r:id="rId2"/>
        </xdr:cNvPr>
        <xdr:cNvSpPr>
          <a:spLocks/>
        </xdr:cNvSpPr>
      </xdr:nvSpPr>
      <xdr:spPr>
        <a:xfrm flipH="1">
          <a:off x="863600" y="177800"/>
          <a:ext cx="396639" cy="468000"/>
        </a:xfrm>
        <a:prstGeom prst="chevron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177800</xdr:colOff>
      <xdr:row>0</xdr:row>
      <xdr:rowOff>177800</xdr:rowOff>
    </xdr:from>
    <xdr:to>
      <xdr:col>0</xdr:col>
      <xdr:colOff>645800</xdr:colOff>
      <xdr:row>0</xdr:row>
      <xdr:rowOff>645800</xdr:rowOff>
    </xdr:to>
    <xdr:sp macro="" textlink="">
      <xdr:nvSpPr>
        <xdr:cNvPr id="5" name="Interaktive Schaltfläche: Zurückkehren 4">
          <a:hlinkClick xmlns:r="http://schemas.openxmlformats.org/officeDocument/2006/relationships" r:id="rId1"/>
        </xdr:cNvPr>
        <xdr:cNvSpPr/>
      </xdr:nvSpPr>
      <xdr:spPr bwMode="auto">
        <a:xfrm>
          <a:off x="177800" y="177800"/>
          <a:ext cx="468000" cy="468000"/>
        </a:xfrm>
        <a:prstGeom prst="actionButtonReturn">
          <a:avLst/>
        </a:prstGeom>
        <a:solidFill>
          <a:schemeClr val="accent5">
            <a:lumMod val="60000"/>
            <a:lumOff val="40000"/>
          </a:schemeClr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>
              <a:effectLst>
                <a:outerShdw blurRad="63500"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lIns="72000" tIns="72000" rIns="72000" bIns="72000" anchor="ctr"/>
        <a:lstStyle>
          <a:defPPr>
            <a:defRPr lang="de-DE"/>
          </a:defPPr>
          <a:lvl1pPr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1pPr>
          <a:lvl2pPr marL="4572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2pPr>
          <a:lvl3pPr marL="9144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3pPr>
          <a:lvl4pPr marL="13716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4pPr>
          <a:lvl5pPr marL="18288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5pPr>
          <a:lvl6pPr marL="22860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6pPr>
          <a:lvl7pPr marL="27432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7pPr>
          <a:lvl8pPr marL="32004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8pPr>
          <a:lvl9pPr marL="36576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9pPr>
        </a:lstStyle>
        <a:p>
          <a:pPr>
            <a:defRPr/>
          </a:pPr>
          <a:endParaRPr lang="de-DE"/>
        </a:p>
      </xdr:txBody>
    </xdr:sp>
    <xdr:clientData/>
  </xdr:twoCellAnchor>
  <xdr:twoCellAnchor>
    <xdr:from>
      <xdr:col>2</xdr:col>
      <xdr:colOff>241299</xdr:colOff>
      <xdr:row>0</xdr:row>
      <xdr:rowOff>177800</xdr:rowOff>
    </xdr:from>
    <xdr:to>
      <xdr:col>2</xdr:col>
      <xdr:colOff>596899</xdr:colOff>
      <xdr:row>0</xdr:row>
      <xdr:rowOff>647700</xdr:rowOff>
    </xdr:to>
    <xdr:sp macro="" textlink="">
      <xdr:nvSpPr>
        <xdr:cNvPr id="7" name="Eingebuchteter Richtungspfeil 6">
          <a:hlinkClick xmlns:r="http://schemas.openxmlformats.org/officeDocument/2006/relationships" r:id="rId2"/>
        </xdr:cNvPr>
        <xdr:cNvSpPr>
          <a:spLocks/>
        </xdr:cNvSpPr>
      </xdr:nvSpPr>
      <xdr:spPr>
        <a:xfrm>
          <a:off x="1295399" y="177800"/>
          <a:ext cx="355600" cy="469900"/>
        </a:xfrm>
        <a:prstGeom prst="chevron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63500</xdr:colOff>
      <xdr:row>5</xdr:row>
      <xdr:rowOff>0</xdr:rowOff>
    </xdr:from>
    <xdr:to>
      <xdr:col>15</xdr:col>
      <xdr:colOff>816500</xdr:colOff>
      <xdr:row>20</xdr:row>
      <xdr:rowOff>120000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747889</xdr:colOff>
      <xdr:row>37</xdr:row>
      <xdr:rowOff>66323</xdr:rowOff>
    </xdr:from>
    <xdr:to>
      <xdr:col>7</xdr:col>
      <xdr:colOff>675169</xdr:colOff>
      <xdr:row>52</xdr:row>
      <xdr:rowOff>186323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63500</xdr:colOff>
      <xdr:row>21</xdr:row>
      <xdr:rowOff>26810</xdr:rowOff>
    </xdr:from>
    <xdr:to>
      <xdr:col>15</xdr:col>
      <xdr:colOff>816500</xdr:colOff>
      <xdr:row>36</xdr:row>
      <xdr:rowOff>146810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177800</xdr:colOff>
      <xdr:row>0</xdr:row>
      <xdr:rowOff>177800</xdr:rowOff>
    </xdr:from>
    <xdr:to>
      <xdr:col>0</xdr:col>
      <xdr:colOff>645800</xdr:colOff>
      <xdr:row>0</xdr:row>
      <xdr:rowOff>645800</xdr:rowOff>
    </xdr:to>
    <xdr:sp macro="" textlink="">
      <xdr:nvSpPr>
        <xdr:cNvPr id="10" name="Interaktive Schaltfläche: Zurückkehren 9">
          <a:hlinkClick xmlns:r="http://schemas.openxmlformats.org/officeDocument/2006/relationships" r:id="rId4"/>
        </xdr:cNvPr>
        <xdr:cNvSpPr/>
      </xdr:nvSpPr>
      <xdr:spPr bwMode="auto">
        <a:xfrm>
          <a:off x="177800" y="177800"/>
          <a:ext cx="468000" cy="468000"/>
        </a:xfrm>
        <a:prstGeom prst="actionButtonReturn">
          <a:avLst/>
        </a:prstGeom>
        <a:solidFill>
          <a:schemeClr val="accent5">
            <a:lumMod val="60000"/>
            <a:lumOff val="40000"/>
          </a:schemeClr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>
              <a:effectLst>
                <a:outerShdw blurRad="63500"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lIns="72000" tIns="72000" rIns="72000" bIns="72000" anchor="ctr"/>
        <a:lstStyle>
          <a:defPPr>
            <a:defRPr lang="de-DE"/>
          </a:defPPr>
          <a:lvl1pPr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1pPr>
          <a:lvl2pPr marL="4572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2pPr>
          <a:lvl3pPr marL="9144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3pPr>
          <a:lvl4pPr marL="13716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4pPr>
          <a:lvl5pPr marL="18288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5pPr>
          <a:lvl6pPr marL="22860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6pPr>
          <a:lvl7pPr marL="27432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7pPr>
          <a:lvl8pPr marL="32004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8pPr>
          <a:lvl9pPr marL="36576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9pPr>
        </a:lstStyle>
        <a:p>
          <a:pPr>
            <a:defRPr/>
          </a:pPr>
          <a:endParaRPr lang="de-DE"/>
        </a:p>
      </xdr:txBody>
    </xdr:sp>
    <xdr:clientData/>
  </xdr:twoCellAnchor>
  <xdr:twoCellAnchor>
    <xdr:from>
      <xdr:col>0</xdr:col>
      <xdr:colOff>747889</xdr:colOff>
      <xdr:row>70</xdr:row>
      <xdr:rowOff>25396</xdr:rowOff>
    </xdr:from>
    <xdr:to>
      <xdr:col>7</xdr:col>
      <xdr:colOff>675169</xdr:colOff>
      <xdr:row>83</xdr:row>
      <xdr:rowOff>8196</xdr:rowOff>
    </xdr:to>
    <xdr:graphicFrame macro="">
      <xdr:nvGraphicFramePr>
        <xdr:cNvPr id="12" name="Diagramm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63500</xdr:colOff>
      <xdr:row>70</xdr:row>
      <xdr:rowOff>25396</xdr:rowOff>
    </xdr:from>
    <xdr:to>
      <xdr:col>15</xdr:col>
      <xdr:colOff>816500</xdr:colOff>
      <xdr:row>124</xdr:row>
      <xdr:rowOff>190496</xdr:rowOff>
    </xdr:to>
    <xdr:graphicFrame macro="">
      <xdr:nvGraphicFramePr>
        <xdr:cNvPr id="13" name="Diagramm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747889</xdr:colOff>
      <xdr:row>84</xdr:row>
      <xdr:rowOff>18429</xdr:rowOff>
    </xdr:from>
    <xdr:to>
      <xdr:col>7</xdr:col>
      <xdr:colOff>675169</xdr:colOff>
      <xdr:row>97</xdr:row>
      <xdr:rowOff>1229</xdr:rowOff>
    </xdr:to>
    <xdr:graphicFrame macro="">
      <xdr:nvGraphicFramePr>
        <xdr:cNvPr id="14" name="Diagram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747889</xdr:colOff>
      <xdr:row>98</xdr:row>
      <xdr:rowOff>11462</xdr:rowOff>
    </xdr:from>
    <xdr:to>
      <xdr:col>7</xdr:col>
      <xdr:colOff>675169</xdr:colOff>
      <xdr:row>110</xdr:row>
      <xdr:rowOff>197462</xdr:rowOff>
    </xdr:to>
    <xdr:graphicFrame macro="">
      <xdr:nvGraphicFramePr>
        <xdr:cNvPr id="15" name="Diagramm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747889</xdr:colOff>
      <xdr:row>112</xdr:row>
      <xdr:rowOff>4496</xdr:rowOff>
    </xdr:from>
    <xdr:to>
      <xdr:col>7</xdr:col>
      <xdr:colOff>675169</xdr:colOff>
      <xdr:row>124</xdr:row>
      <xdr:rowOff>190496</xdr:rowOff>
    </xdr:to>
    <xdr:graphicFrame macro="">
      <xdr:nvGraphicFramePr>
        <xdr:cNvPr id="16" name="Diagramm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469899</xdr:colOff>
      <xdr:row>0</xdr:row>
      <xdr:rowOff>177800</xdr:rowOff>
    </xdr:from>
    <xdr:to>
      <xdr:col>1</xdr:col>
      <xdr:colOff>825499</xdr:colOff>
      <xdr:row>0</xdr:row>
      <xdr:rowOff>647700</xdr:rowOff>
    </xdr:to>
    <xdr:sp macro="" textlink="">
      <xdr:nvSpPr>
        <xdr:cNvPr id="18" name="Eingebuchteter Richtungspfeil 17">
          <a:hlinkClick xmlns:r="http://schemas.openxmlformats.org/officeDocument/2006/relationships" r:id="rId10"/>
        </xdr:cNvPr>
        <xdr:cNvSpPr>
          <a:spLocks/>
        </xdr:cNvSpPr>
      </xdr:nvSpPr>
      <xdr:spPr>
        <a:xfrm>
          <a:off x="1295399" y="177800"/>
          <a:ext cx="355600" cy="469900"/>
        </a:xfrm>
        <a:prstGeom prst="chevron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38100</xdr:colOff>
      <xdr:row>0</xdr:row>
      <xdr:rowOff>177800</xdr:rowOff>
    </xdr:from>
    <xdr:to>
      <xdr:col>1</xdr:col>
      <xdr:colOff>394500</xdr:colOff>
      <xdr:row>0</xdr:row>
      <xdr:rowOff>645800</xdr:rowOff>
    </xdr:to>
    <xdr:sp macro="" textlink="">
      <xdr:nvSpPr>
        <xdr:cNvPr id="19" name="Eingebuchteter Richtungspfeil 18">
          <a:hlinkClick xmlns:r="http://schemas.openxmlformats.org/officeDocument/2006/relationships" r:id="rId4"/>
        </xdr:cNvPr>
        <xdr:cNvSpPr>
          <a:spLocks/>
        </xdr:cNvSpPr>
      </xdr:nvSpPr>
      <xdr:spPr>
        <a:xfrm flipH="1">
          <a:off x="863600" y="177800"/>
          <a:ext cx="356400" cy="468000"/>
        </a:xfrm>
        <a:prstGeom prst="chevron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747889</xdr:colOff>
      <xdr:row>5</xdr:row>
      <xdr:rowOff>0</xdr:rowOff>
    </xdr:from>
    <xdr:to>
      <xdr:col>7</xdr:col>
      <xdr:colOff>675169</xdr:colOff>
      <xdr:row>20</xdr:row>
      <xdr:rowOff>120000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63500</xdr:colOff>
      <xdr:row>37</xdr:row>
      <xdr:rowOff>66323</xdr:rowOff>
    </xdr:from>
    <xdr:to>
      <xdr:col>15</xdr:col>
      <xdr:colOff>816500</xdr:colOff>
      <xdr:row>52</xdr:row>
      <xdr:rowOff>186323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747889</xdr:colOff>
      <xdr:row>21</xdr:row>
      <xdr:rowOff>26810</xdr:rowOff>
    </xdr:from>
    <xdr:to>
      <xdr:col>7</xdr:col>
      <xdr:colOff>675169</xdr:colOff>
      <xdr:row>36</xdr:row>
      <xdr:rowOff>146810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747889</xdr:colOff>
      <xdr:row>53</xdr:row>
      <xdr:rowOff>152400</xdr:rowOff>
    </xdr:from>
    <xdr:to>
      <xdr:col>7</xdr:col>
      <xdr:colOff>675169</xdr:colOff>
      <xdr:row>69</xdr:row>
      <xdr:rowOff>69200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63500</xdr:colOff>
      <xdr:row>53</xdr:row>
      <xdr:rowOff>152400</xdr:rowOff>
    </xdr:from>
    <xdr:to>
      <xdr:col>15</xdr:col>
      <xdr:colOff>816500</xdr:colOff>
      <xdr:row>69</xdr:row>
      <xdr:rowOff>69200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190500</xdr:colOff>
      <xdr:row>5</xdr:row>
      <xdr:rowOff>38100</xdr:rowOff>
    </xdr:from>
    <xdr:to>
      <xdr:col>25</xdr:col>
      <xdr:colOff>685800</xdr:colOff>
      <xdr:row>18</xdr:row>
      <xdr:rowOff>0</xdr:rowOff>
    </xdr:to>
    <xdr:sp macro="" textlink="">
      <xdr:nvSpPr>
        <xdr:cNvPr id="3" name="Pfeil nach rechts 2"/>
        <xdr:cNvSpPr/>
      </xdr:nvSpPr>
      <xdr:spPr>
        <a:xfrm>
          <a:off x="3683000" y="2882900"/>
          <a:ext cx="495300" cy="3924300"/>
        </a:xfrm>
        <a:prstGeom prst="rightArrow">
          <a:avLst/>
        </a:prstGeom>
        <a:solidFill>
          <a:srgbClr val="00206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177800</xdr:colOff>
      <xdr:row>0</xdr:row>
      <xdr:rowOff>177800</xdr:rowOff>
    </xdr:from>
    <xdr:to>
      <xdr:col>0</xdr:col>
      <xdr:colOff>645800</xdr:colOff>
      <xdr:row>0</xdr:row>
      <xdr:rowOff>645800</xdr:rowOff>
    </xdr:to>
    <xdr:sp macro="" textlink="">
      <xdr:nvSpPr>
        <xdr:cNvPr id="6" name="Interaktive Schaltfläche: Zurückkehren 5">
          <a:hlinkClick xmlns:r="http://schemas.openxmlformats.org/officeDocument/2006/relationships" r:id="rId1"/>
        </xdr:cNvPr>
        <xdr:cNvSpPr/>
      </xdr:nvSpPr>
      <xdr:spPr bwMode="auto">
        <a:xfrm>
          <a:off x="177800" y="177800"/>
          <a:ext cx="468000" cy="468000"/>
        </a:xfrm>
        <a:prstGeom prst="actionButtonReturn">
          <a:avLst/>
        </a:prstGeom>
        <a:solidFill>
          <a:schemeClr val="accent5">
            <a:lumMod val="60000"/>
            <a:lumOff val="40000"/>
          </a:schemeClr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>
              <a:effectLst>
                <a:outerShdw blurRad="63500"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lIns="72000" tIns="72000" rIns="72000" bIns="72000" anchor="ctr"/>
        <a:lstStyle>
          <a:defPPr>
            <a:defRPr lang="de-DE"/>
          </a:defPPr>
          <a:lvl1pPr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1pPr>
          <a:lvl2pPr marL="4572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2pPr>
          <a:lvl3pPr marL="9144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3pPr>
          <a:lvl4pPr marL="13716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4pPr>
          <a:lvl5pPr marL="1828800" algn="l" rtl="0" eaLnBrk="0" fontAlgn="base" hangingPunct="0">
            <a:spcBef>
              <a:spcPct val="50000"/>
            </a:spcBef>
            <a:spcAft>
              <a:spcPct val="0"/>
            </a:spcAft>
            <a:buClr>
              <a:schemeClr val="accent1"/>
            </a:buClr>
            <a:buSzPct val="80000"/>
            <a:buFont typeface="Wingdings" charset="0"/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5pPr>
          <a:lvl6pPr marL="22860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6pPr>
          <a:lvl7pPr marL="27432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7pPr>
          <a:lvl8pPr marL="32004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8pPr>
          <a:lvl9pPr marL="36576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0"/>
              <a:cs typeface="ＭＳ Ｐゴシック" charset="0"/>
            </a:defRPr>
          </a:lvl9pPr>
        </a:lstStyle>
        <a:p>
          <a:pPr>
            <a:defRPr/>
          </a:pPr>
          <a:endParaRPr lang="de-DE"/>
        </a:p>
      </xdr:txBody>
    </xdr:sp>
    <xdr:clientData/>
  </xdr:twoCellAnchor>
</xdr:wsDr>
</file>

<file path=xl/tables/table1.xml><?xml version="1.0" encoding="utf-8"?>
<table xmlns="http://schemas.openxmlformats.org/spreadsheetml/2006/main" id="4" name="Tabelle4" displayName="Tabelle4" ref="B3:H51" totalsRowShown="0" headerRowDxfId="280">
  <autoFilter ref="B3:H51"/>
  <tableColumns count="7">
    <tableColumn id="1" name="#" dataDxfId="279">
      <calculatedColumnFormula>ROW()-3</calculatedColumnFormula>
    </tableColumn>
    <tableColumn id="7" name="▼" dataDxfId="278"/>
    <tableColumn id="2" name="Autor" dataDxfId="277"/>
    <tableColumn id="3" name="Jahr" dataDxfId="276"/>
    <tableColumn id="4" name="Titel" dataDxfId="275"/>
    <tableColumn id="6" name="Journal / Konferenz" dataDxfId="274"/>
    <tableColumn id="5" name="Name" dataDxfId="27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3" name="Tabelle3" displayName="Tabelle3" ref="B6:AJ47" totalsRowShown="0" headerRowDxfId="264" dataDxfId="263" tableBorderDxfId="262">
  <tableColumns count="35">
    <tableColumn id="1" name="1" dataDxfId="261">
      <calculatedColumnFormula>ROW()-6</calculatedColumnFormula>
    </tableColumn>
    <tableColumn id="2" name="2" dataDxfId="260"/>
    <tableColumn id="3" name="3" dataDxfId="259"/>
    <tableColumn id="4" name="4" dataDxfId="258"/>
    <tableColumn id="36" name="5"/>
    <tableColumn id="6" name="6" dataDxfId="257"/>
    <tableColumn id="7" name="7" dataDxfId="256"/>
    <tableColumn id="8" name="8" dataDxfId="255"/>
    <tableColumn id="9" name="9" dataDxfId="254"/>
    <tableColumn id="10" name="Aggregator/Integrator" dataDxfId="253"/>
    <tableColumn id="11" name="ITSVN Akteure" dataDxfId="252"/>
    <tableColumn id="12" name="IaaS" dataDxfId="251"/>
    <tableColumn id="13" name="PaaS" dataDxfId="250"/>
    <tableColumn id="14" name="SaaS" dataDxfId="249"/>
    <tableColumn id="15" name="DaaS" dataDxfId="248"/>
    <tableColumn id="16" name="Preisgestaltungsrichtl." dataDxfId="247"/>
    <tableColumn id="17" name="Standardisierung" dataDxfId="246"/>
    <tableColumn id="18" name="Regelungen in SLA" dataDxfId="245"/>
    <tableColumn id="19" name="Einschränkungen" dataDxfId="244"/>
    <tableColumn id="20" name="Benutzerschnittstelle" dataDxfId="243"/>
    <tableColumn id="21" name="Terminologie" dataDxfId="242"/>
    <tableColumn id="22" name="Ökosystem" dataDxfId="241"/>
    <tableColumn id="23" name="Anforderung" dataDxfId="240"/>
    <tableColumn id="24" name="Rollen" dataDxfId="239"/>
    <tableColumn id="25" name="Beschaffungsprozess" dataDxfId="238"/>
    <tableColumn id="26" name="Rechtl. Rahmenbeding." dataDxfId="237"/>
    <tableColumn id="27" name="Fähigkeitsniveau" dataDxfId="236"/>
    <tableColumn id="28" name="Kult. Hintergrund" dataDxfId="235"/>
    <tableColumn id="29" name="Support Prozess" dataDxfId="234"/>
    <tableColumn id="30" name="Standardisierung " dataDxfId="233"/>
    <tableColumn id="31" name="Kommunikation " dataDxfId="232"/>
    <tableColumn id="32" name="Mechaniken " dataDxfId="231"/>
    <tableColumn id="33" name="Version" dataDxfId="230"/>
    <tableColumn id="34" name="Serviceschnittstelle" dataDxfId="229"/>
    <tableColumn id="35" name="Datenintegrität" dataDxfId="228"/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id="2" name="Tabelle2" displayName="Tabelle2" ref="B5:EL66" totalsRowShown="0" headerRowDxfId="224" dataDxfId="223">
  <autoFilter ref="B5:EL66"/>
  <tableColumns count="141">
    <tableColumn id="1" name="#" dataDxfId="222">
      <calculatedColumnFormula>'1.4 Analyse &amp; Synthese'!B6</calculatedColumnFormula>
    </tableColumn>
    <tableColumn id="2" name="Empfehlung_1a" dataDxfId="221">
      <calculatedColumnFormula>IF(AND('1.4 Analyse &amp; Synthese'!Q7=1,'1.4 Analyse &amp; Synthese'!F7="Empfehlung"),'1.4 Analyse &amp; Synthese'!I7&amp;CHAR(13)&amp;"("&amp;'(Codierung)'!$C$2&amp;" - "&amp;'1.4 Analyse &amp; Synthese'!C7&amp;")","")</calculatedColumnFormula>
    </tableColumn>
    <tableColumn id="3" name="Empfehlung_1" dataDxfId="220">
      <calculatedColumnFormula array="1">_xlfn.IFNA(INDEX($C$6:$C$66,MATCH(0,COUNTIF($D$4:D5,$C$6:$C$66),0),1),"")</calculatedColumnFormula>
    </tableColumn>
    <tableColumn id="4" name="Methode_1a" dataDxfId="219">
      <calculatedColumnFormula>IF(AND('1.4 Analyse &amp; Synthese'!Q7=1,'1.4 Analyse &amp; Synthese'!F7="Methode"),'1.4 Analyse &amp; Synthese'!I7&amp;CHAR(13)&amp;"("&amp;'(Codierung)'!$C$3&amp;" - "&amp;'1.4 Analyse &amp; Synthese'!C7&amp;")","")</calculatedColumnFormula>
    </tableColumn>
    <tableColumn id="5" name="Methode_1" dataDxfId="218">
      <calculatedColumnFormula array="1">_xlfn.IFNA(INDEX($E$6:$E$66,MATCH(0,COUNTIF($F$4:F5,$E$6:$E$66),0),1),"")</calculatedColumnFormula>
    </tableColumn>
    <tableColumn id="6" name="Werkzeug_1a" dataDxfId="217">
      <calculatedColumnFormula>IF(AND('1.4 Analyse &amp; Synthese'!Q7=1,'1.4 Analyse &amp; Synthese'!F7="Werkzeug"),'1.4 Analyse &amp; Synthese'!I7&amp;CHAR(13)&amp;"("&amp;'(Codierung)'!$C$4&amp;" - "&amp;'1.4 Analyse &amp; Synthese'!C7&amp;")","")</calculatedColumnFormula>
    </tableColumn>
    <tableColumn id="7" name="Werkzeug_1" dataDxfId="216">
      <calculatedColumnFormula array="1">_xlfn.IFNA(INDEX($G$6:$G$66,MATCH(0,COUNTIF($H$4:H5,$G$6:$G$66),0),1),"")</calculatedColumnFormula>
    </tableColumn>
    <tableColumn id="145" name="1" dataDxfId="215"/>
    <tableColumn id="9" name="Empfehlung_2a" dataDxfId="214">
      <calculatedColumnFormula>IF(AND('1.4 Analyse &amp; Synthese'!R7=1,'1.4 Analyse &amp; Synthese'!F7="Empfehlung"),'1.4 Analyse &amp; Synthese'!I7&amp;CHAR(13)&amp;"("&amp;'(Codierung)'!$C$2&amp;" - "&amp;'1.4 Analyse &amp; Synthese'!C7&amp;")","")</calculatedColumnFormula>
    </tableColumn>
    <tableColumn id="10" name="Empfehlung_2" dataDxfId="213">
      <calculatedColumnFormula array="1">_xlfn.IFNA(INDEX($J$6:$J$66,MATCH(0,COUNTIF($K$4:K5,$J$6:$J$66),0),1),"")</calculatedColumnFormula>
    </tableColumn>
    <tableColumn id="11" name="Methode_2a" dataDxfId="212">
      <calculatedColumnFormula>IF(AND('1.4 Analyse &amp; Synthese'!R7=1,'1.4 Analyse &amp; Synthese'!F7="Methode"),'1.4 Analyse &amp; Synthese'!I7&amp;CHAR(13)&amp;"("&amp;'(Codierung)'!$C$3&amp;" - "&amp;'1.4 Analyse &amp; Synthese'!C7&amp;")","")</calculatedColumnFormula>
    </tableColumn>
    <tableColumn id="12" name="Methode_2" dataDxfId="211">
      <calculatedColumnFormula array="1">_xlfn.IFNA(INDEX($L$6:$L$66,MATCH(0,COUNTIF($M$4:M5,$L$6:$L$66),0),1),"")</calculatedColumnFormula>
    </tableColumn>
    <tableColumn id="13" name="Werkzeug_2a" dataDxfId="210">
      <calculatedColumnFormula>IF(AND('1.4 Analyse &amp; Synthese'!R7=1,'1.4 Analyse &amp; Synthese'!F7="Werkzeug"),'1.4 Analyse &amp; Synthese'!I7&amp;CHAR(13)&amp;"("&amp;'(Codierung)'!$C$4&amp;" - "&amp;'1.4 Analyse &amp; Synthese'!C7&amp;")","")</calculatedColumnFormula>
    </tableColumn>
    <tableColumn id="14" name="Werkzeug_2" dataDxfId="209">
      <calculatedColumnFormula array="1">_xlfn.IFNA(INDEX($N$6:$N$66,MATCH(0,COUNTIF($O$4:O5,$N$6:$N$66),0),1),"")</calculatedColumnFormula>
    </tableColumn>
    <tableColumn id="146" name="2" dataDxfId="208"/>
    <tableColumn id="16" name="Empfehlung_3a" dataDxfId="207">
      <calculatedColumnFormula>IF(AND('1.4 Analyse &amp; Synthese'!S7=1,'1.4 Analyse &amp; Synthese'!F7="Empfehlung"),'1.4 Analyse &amp; Synthese'!I7&amp;CHAR(13)&amp;"("&amp;'(Codierung)'!$C$2&amp;" - "&amp;'1.4 Analyse &amp; Synthese'!C7&amp;")","")</calculatedColumnFormula>
    </tableColumn>
    <tableColumn id="17" name="Empfehlung_3" dataDxfId="206">
      <calculatedColumnFormula array="1">_xlfn.IFNA(INDEX($Q$6:$Q$66,MATCH(0,COUNTIF($R$4:R5,$Q$6:$Q$66),0),1),"")</calculatedColumnFormula>
    </tableColumn>
    <tableColumn id="18" name="Methode_3a" dataDxfId="205">
      <calculatedColumnFormula>IF(AND('1.4 Analyse &amp; Synthese'!S7=1,'1.4 Analyse &amp; Synthese'!F7="Methode"),'1.4 Analyse &amp; Synthese'!I7&amp;CHAR(13)&amp;"("&amp;'(Codierung)'!$C$3&amp;" - "&amp;'1.4 Analyse &amp; Synthese'!C7&amp;")","")</calculatedColumnFormula>
    </tableColumn>
    <tableColumn id="19" name="Methode_3" dataDxfId="204">
      <calculatedColumnFormula array="1">_xlfn.IFNA(INDEX($S$6:$S$66,MATCH(0,COUNTIF($T$4:T5,$S$6:$S$66),0),1),"")</calculatedColumnFormula>
    </tableColumn>
    <tableColumn id="20" name="Werkzeug_3a" dataDxfId="203">
      <calculatedColumnFormula>IF(AND('1.4 Analyse &amp; Synthese'!S7=1,'1.4 Analyse &amp; Synthese'!F7="Werkzeug"),'1.4 Analyse &amp; Synthese'!I7&amp;CHAR(13)&amp;"("&amp;'(Codierung)'!$C$4&amp;" - "&amp;'1.4 Analyse &amp; Synthese'!C7&amp;")","")</calculatedColumnFormula>
    </tableColumn>
    <tableColumn id="21" name="Werkzeug_3" dataDxfId="202">
      <calculatedColumnFormula array="1">_xlfn.IFNA(INDEX($U$6:$U$66,MATCH(0,COUNTIF($V$4:V5,$U$6:$U$66),0),1),"")</calculatedColumnFormula>
    </tableColumn>
    <tableColumn id="147" name="3" dataDxfId="201"/>
    <tableColumn id="23" name="Empfehlung_4a" dataDxfId="200">
      <calculatedColumnFormula>IF(AND('1.4 Analyse &amp; Synthese'!T7=1,'1.4 Analyse &amp; Synthese'!F7="Empfehlung"),'1.4 Analyse &amp; Synthese'!I7&amp;CHAR(13)&amp;"("&amp;'(Codierung)'!$C$2&amp;" - "&amp;'1.4 Analyse &amp; Synthese'!C7&amp;")","")</calculatedColumnFormula>
    </tableColumn>
    <tableColumn id="24" name="Empfehlung_4" dataDxfId="199">
      <calculatedColumnFormula array="1">_xlfn.IFNA(INDEX($X$6:$X$66,MATCH(0,COUNTIF($Y$4:Y5,$X$6:$X$66),0),1),"")</calculatedColumnFormula>
    </tableColumn>
    <tableColumn id="25" name="Methode_4a" dataDxfId="198">
      <calculatedColumnFormula>IF(AND('1.4 Analyse &amp; Synthese'!T7=1,'1.4 Analyse &amp; Synthese'!F7="Methode"),'1.4 Analyse &amp; Synthese'!I7&amp;CHAR(13)&amp;"("&amp;'(Codierung)'!$C$3&amp;" - "&amp;'1.4 Analyse &amp; Synthese'!C7&amp;")","")</calculatedColumnFormula>
    </tableColumn>
    <tableColumn id="26" name="Methode_4" dataDxfId="197">
      <calculatedColumnFormula array="1">_xlfn.IFNA(INDEX($Z$6:$Z$66,MATCH(0,COUNTIF($AA$4:AA5,$Z$6:$Z$66),0),1),"")</calculatedColumnFormula>
    </tableColumn>
    <tableColumn id="27" name="Werkzeug_4a" dataDxfId="196">
      <calculatedColumnFormula>IF(AND('1.4 Analyse &amp; Synthese'!T7=1,'1.4 Analyse &amp; Synthese'!F7="Werkzeug"),'1.4 Analyse &amp; Synthese'!I7&amp;CHAR(13)&amp;"("&amp;'(Codierung)'!$C$4&amp;" - "&amp;'1.4 Analyse &amp; Synthese'!C7&amp;")","")</calculatedColumnFormula>
    </tableColumn>
    <tableColumn id="28" name="Werkzeug_4" dataDxfId="195">
      <calculatedColumnFormula array="1">_xlfn.IFNA(INDEX($AB$6:$AB$66,MATCH(0,COUNTIF($AC$4:AC5,$AB$6:$AB$66),0),1),"")</calculatedColumnFormula>
    </tableColumn>
    <tableColumn id="148" name="4" dataDxfId="194"/>
    <tableColumn id="30" name="Empfehlung_5a" dataDxfId="193">
      <calculatedColumnFormula>IF(AND('1.4 Analyse &amp; Synthese'!U7=1,'1.4 Analyse &amp; Synthese'!F7="Empfehlung"),'1.4 Analyse &amp; Synthese'!I7&amp;CHAR(13)&amp;"("&amp;'(Codierung)'!$C$2&amp;" - "&amp;'1.4 Analyse &amp; Synthese'!C7&amp;")","")</calculatedColumnFormula>
    </tableColumn>
    <tableColumn id="31" name="Empfehlung_5" dataDxfId="192">
      <calculatedColumnFormula array="1">_xlfn.IFNA(INDEX($AE$6:$AE$66,MATCH(0,COUNTIF($AF$4:AF5,$AE$6:$AE$66),0),1),"")</calculatedColumnFormula>
    </tableColumn>
    <tableColumn id="32" name="Methode_5a" dataDxfId="191">
      <calculatedColumnFormula>IF(AND('1.4 Analyse &amp; Synthese'!U7=1,'1.4 Analyse &amp; Synthese'!F7="Methode"),'1.4 Analyse &amp; Synthese'!I7&amp;CHAR(13)&amp;"("&amp;'(Codierung)'!$C$3&amp;" - "&amp;'1.4 Analyse &amp; Synthese'!C7&amp;")","")</calculatedColumnFormula>
    </tableColumn>
    <tableColumn id="33" name="Methode_5" dataDxfId="190">
      <calculatedColumnFormula array="1">_xlfn.IFNA(INDEX($AG$6:$AG$66,MATCH(0,COUNTIF($AH$4:AH5,$AG$6:$AG$66),0),1),"")</calculatedColumnFormula>
    </tableColumn>
    <tableColumn id="34" name="Werkzeug_5a" dataDxfId="189">
      <calculatedColumnFormula>IF(AND('1.4 Analyse &amp; Synthese'!U7=1,'1.4 Analyse &amp; Synthese'!F7="Werkzeug"),'1.4 Analyse &amp; Synthese'!I7&amp;CHAR(13)&amp;"("&amp;'(Codierung)'!$C$4&amp;" - "&amp;'1.4 Analyse &amp; Synthese'!C7&amp;")","")</calculatedColumnFormula>
    </tableColumn>
    <tableColumn id="35" name="Werkzeug_5" dataDxfId="188">
      <calculatedColumnFormula array="1">_xlfn.IFNA(INDEX($AI$6:$AI$66,MATCH(0,COUNTIF($AJ$4:AJ5,$AI$6:$AI$66),0),1),"")</calculatedColumnFormula>
    </tableColumn>
    <tableColumn id="149" name="5" dataDxfId="187"/>
    <tableColumn id="37" name="Empfehlung_6a" dataDxfId="186">
      <calculatedColumnFormula>IF(AND('1.4 Analyse &amp; Synthese'!V7=1,'1.4 Analyse &amp; Synthese'!F7="Empfehlung"),'1.4 Analyse &amp; Synthese'!I7&amp;CHAR(13)&amp;"("&amp;'(Codierung)'!$C$2&amp;" - "&amp;'1.4 Analyse &amp; Synthese'!C7&amp;")","")</calculatedColumnFormula>
    </tableColumn>
    <tableColumn id="38" name="Empfehlung_6" dataDxfId="185">
      <calculatedColumnFormula array="1">_xlfn.IFNA(INDEX($AL$6:$AL$66,MATCH(0,COUNTIF($AM$4:AM5,$AL$6:$AL$66),0),1),"")</calculatedColumnFormula>
    </tableColumn>
    <tableColumn id="39" name="Methode_6a" dataDxfId="184">
      <calculatedColumnFormula>IF(AND('1.4 Analyse &amp; Synthese'!V7=1,'1.4 Analyse &amp; Synthese'!F7="Methode"),'1.4 Analyse &amp; Synthese'!I7&amp;CHAR(13)&amp;"("&amp;'(Codierung)'!$C$3&amp;" - "&amp;'1.4 Analyse &amp; Synthese'!C7&amp;")","")</calculatedColumnFormula>
    </tableColumn>
    <tableColumn id="40" name="Methode_6" dataDxfId="183">
      <calculatedColumnFormula array="1">_xlfn.IFNA(INDEX($AN$6:$AN$66,MATCH(0,COUNTIF($AO$4:AO5,$AN$6:$AN$66),0),1),"")</calculatedColumnFormula>
    </tableColumn>
    <tableColumn id="41" name="Werkzeug_6a" dataDxfId="182">
      <calculatedColumnFormula>IF(AND('1.4 Analyse &amp; Synthese'!V7=1,'1.4 Analyse &amp; Synthese'!F7="Werkzeug"),'1.4 Analyse &amp; Synthese'!I7&amp;CHAR(13)&amp;"("&amp;'(Codierung)'!$C$4&amp;" - "&amp;'1.4 Analyse &amp; Synthese'!C7&amp;")","")</calculatedColumnFormula>
    </tableColumn>
    <tableColumn id="42" name="Werkzeug_6" dataDxfId="181">
      <calculatedColumnFormula array="1">_xlfn.IFNA(INDEX($AP$6:$AP$66,MATCH(0,COUNTIF($AQ$4:AQ5,$AP$6:$AP$66),0),1),"")</calculatedColumnFormula>
    </tableColumn>
    <tableColumn id="150" name="6" dataDxfId="180"/>
    <tableColumn id="44" name="Empfehlung_7a" dataDxfId="179">
      <calculatedColumnFormula>IF(AND('1.4 Analyse &amp; Synthese'!W7=1,'1.4 Analyse &amp; Synthese'!F7="Empfehlung"),'1.4 Analyse &amp; Synthese'!I7&amp;CHAR(13)&amp;"("&amp;'(Codierung)'!$C$2&amp;" - "&amp;'1.4 Analyse &amp; Synthese'!C7&amp;")","")</calculatedColumnFormula>
    </tableColumn>
    <tableColumn id="45" name="Empfehlung_7" dataDxfId="178">
      <calculatedColumnFormula array="1">_xlfn.IFNA(INDEX($AS$6:$AS$66,MATCH(0,COUNTIF($AT$4:AT5,$AS$6:$AS$66),0),1),"")</calculatedColumnFormula>
    </tableColumn>
    <tableColumn id="46" name="Methode_7a" dataDxfId="177">
      <calculatedColumnFormula>IF(AND('1.4 Analyse &amp; Synthese'!W7=1,'1.4 Analyse &amp; Synthese'!F7="Methode"),'1.4 Analyse &amp; Synthese'!I7&amp;CHAR(13)&amp;"("&amp;'(Codierung)'!$C$3&amp;" - "&amp;'1.4 Analyse &amp; Synthese'!C7&amp;")","")</calculatedColumnFormula>
    </tableColumn>
    <tableColumn id="47" name="Methode_7" dataDxfId="176">
      <calculatedColumnFormula array="1">_xlfn.IFNA(INDEX($AU$6:$AU$66,MATCH(0,COUNTIF($AV$4:AV5,$AU$6:$AU$66),0),1),"")</calculatedColumnFormula>
    </tableColumn>
    <tableColumn id="48" name="Werkzeug_7a" dataDxfId="175">
      <calculatedColumnFormula>IF(AND('1.4 Analyse &amp; Synthese'!W7=1,'1.4 Analyse &amp; Synthese'!F7="Werkzeug"),'1.4 Analyse &amp; Synthese'!I7&amp;CHAR(13)&amp;"("&amp;'(Codierung)'!$C$4&amp;" - "&amp;'1.4 Analyse &amp; Synthese'!C7&amp;")","")</calculatedColumnFormula>
    </tableColumn>
    <tableColumn id="49" name="Werkzeug_7" dataDxfId="174">
      <calculatedColumnFormula array="1">_xlfn.IFNA(INDEX($AW$6:$AW$66,MATCH(0,COUNTIF($AX$4:AX5,$AW$6:$AW$66),0),1),"")</calculatedColumnFormula>
    </tableColumn>
    <tableColumn id="151" name="7" dataDxfId="173"/>
    <tableColumn id="51" name="Empfehlung_8a" dataDxfId="172">
      <calculatedColumnFormula>IF(AND('1.4 Analyse &amp; Synthese'!X7=1,'1.4 Analyse &amp; Synthese'!F7="Empfehlung"),'1.4 Analyse &amp; Synthese'!I7&amp;CHAR(13)&amp;"("&amp;'(Codierung)'!$C$2&amp;" - "&amp;'1.4 Analyse &amp; Synthese'!C7&amp;")","")</calculatedColumnFormula>
    </tableColumn>
    <tableColumn id="52" name="Empfehlung_8" dataDxfId="171">
      <calculatedColumnFormula array="1">_xlfn.IFNA(INDEX($AZ$6:$AZ$66,MATCH(0,COUNTIF($BA$4:BA5,$AZ$6:$AZ$66),0),1),"")</calculatedColumnFormula>
    </tableColumn>
    <tableColumn id="53" name="Methode_8a" dataDxfId="170">
      <calculatedColumnFormula>IF(AND('1.4 Analyse &amp; Synthese'!X7=1,'1.4 Analyse &amp; Synthese'!F7="Methode"),'1.4 Analyse &amp; Synthese'!I7&amp;CHAR(13)&amp;"("&amp;'(Codierung)'!$C$3&amp;" - "&amp;'1.4 Analyse &amp; Synthese'!C7&amp;")","")</calculatedColumnFormula>
    </tableColumn>
    <tableColumn id="54" name="Methode_8" dataDxfId="169">
      <calculatedColumnFormula array="1">_xlfn.IFNA(INDEX($BB$6:$BB$66,MATCH(0,COUNTIF($BC$4:BC5,$BB$6:$BB$66),0),1),"")</calculatedColumnFormula>
    </tableColumn>
    <tableColumn id="55" name="Werkzeug_8a" dataDxfId="168">
      <calculatedColumnFormula>IF(AND('1.4 Analyse &amp; Synthese'!X7=1,'1.4 Analyse &amp; Synthese'!F7="Werkzeug"),'1.4 Analyse &amp; Synthese'!I7&amp;CHAR(13)&amp;"("&amp;'(Codierung)'!$C$4&amp;" - "&amp;'1.4 Analyse &amp; Synthese'!C7&amp;")","")</calculatedColumnFormula>
    </tableColumn>
    <tableColumn id="56" name="Werkzeug_8" dataDxfId="167">
      <calculatedColumnFormula array="1">_xlfn.IFNA(INDEX($BD$6:$BD$66,MATCH(0,COUNTIF($BE$4:BE5,$BD$6:$BD$66),0),1),"")</calculatedColumnFormula>
    </tableColumn>
    <tableColumn id="152" name="8" dataDxfId="166"/>
    <tableColumn id="58" name="Empfehlung_9a" dataDxfId="165">
      <calculatedColumnFormula>IF(AND('1.4 Analyse &amp; Synthese'!Y7=1,'1.4 Analyse &amp; Synthese'!F7="Empfehlung"),'1.4 Analyse &amp; Synthese'!I7&amp;CHAR(13)&amp;"("&amp;'(Codierung)'!$C$2&amp;" - "&amp;'1.4 Analyse &amp; Synthese'!C7&amp;")","")</calculatedColumnFormula>
    </tableColumn>
    <tableColumn id="59" name="Empfehlung_9" dataDxfId="164">
      <calculatedColumnFormula array="1">_xlfn.IFNA(INDEX($BG$6:$BG$66,MATCH(0,COUNTIF($BH$4:BH5,$BG$6:$BG$66),0),1),"")</calculatedColumnFormula>
    </tableColumn>
    <tableColumn id="60" name="Methode_9a" dataDxfId="163">
      <calculatedColumnFormula>IF(AND('1.4 Analyse &amp; Synthese'!Y7=1,'1.4 Analyse &amp; Synthese'!F7="Methode"),'1.4 Analyse &amp; Synthese'!I7&amp;CHAR(13)&amp;"("&amp;'(Codierung)'!$C$3&amp;" - "&amp;'1.4 Analyse &amp; Synthese'!C7&amp;")","")</calculatedColumnFormula>
    </tableColumn>
    <tableColumn id="61" name="Methode_9" dataDxfId="162">
      <calculatedColumnFormula array="1">_xlfn.IFNA(INDEX($BI$6:$BI$66,MATCH(0,COUNTIF($BJ$4:BJ5,$BI$6:$BI$66),0),1),"")</calculatedColumnFormula>
    </tableColumn>
    <tableColumn id="62" name="Werkzeug_9a" dataDxfId="161">
      <calculatedColumnFormula>IF(AND('1.4 Analyse &amp; Synthese'!Y7=1,'1.4 Analyse &amp; Synthese'!F7="Werkzeug"),'1.4 Analyse &amp; Synthese'!I7&amp;CHAR(13)&amp;"("&amp;'(Codierung)'!$C$4&amp;" - "&amp;'1.4 Analyse &amp; Synthese'!C7&amp;")","")</calculatedColumnFormula>
    </tableColumn>
    <tableColumn id="63" name="Werkzeug_9" dataDxfId="160">
      <calculatedColumnFormula array="1">_xlfn.IFNA(INDEX($BK$6:$BK$66,MATCH(0,COUNTIF($BL$4:BL5,$BK$6:$BK$66),0),1),"")</calculatedColumnFormula>
    </tableColumn>
    <tableColumn id="153" name="9" dataDxfId="159"/>
    <tableColumn id="65" name="Empfehlung_10a" dataDxfId="158">
      <calculatedColumnFormula>IF(AND('1.4 Analyse &amp; Synthese'!Z7=1,'1.4 Analyse &amp; Synthese'!F7="Empfehlung"),'1.4 Analyse &amp; Synthese'!I7&amp;CHAR(13)&amp;"("&amp;'(Codierung)'!$C$2&amp;" - "&amp;'1.4 Analyse &amp; Synthese'!C7&amp;")","")</calculatedColumnFormula>
    </tableColumn>
    <tableColumn id="66" name="Empfehlung_10" dataDxfId="157">
      <calculatedColumnFormula array="1">_xlfn.IFNA(INDEX($BN$6:$BN$66,MATCH(0,COUNTIF($BO$4:BO5,$BN$6:$BN$66),0),1),"")</calculatedColumnFormula>
    </tableColumn>
    <tableColumn id="67" name="Methode_10a" dataDxfId="156">
      <calculatedColumnFormula>IF(AND('1.4 Analyse &amp; Synthese'!Z7=1,'1.4 Analyse &amp; Synthese'!F7="Methode"),'1.4 Analyse &amp; Synthese'!I7&amp;CHAR(13)&amp;"("&amp;'(Codierung)'!$C$3&amp;" - "&amp;'1.4 Analyse &amp; Synthese'!C7&amp;")","")</calculatedColumnFormula>
    </tableColumn>
    <tableColumn id="68" name="Methode_10" dataDxfId="155">
      <calculatedColumnFormula array="1">_xlfn.IFNA(INDEX($BP$6:$BP$66,MATCH(0,COUNTIF($BQ$4:BQ5,$BP$6:$BP$66),0),1),"")</calculatedColumnFormula>
    </tableColumn>
    <tableColumn id="69" name="Werkzeug_10a" dataDxfId="154">
      <calculatedColumnFormula>IF(AND('1.4 Analyse &amp; Synthese'!Z7=1,'1.4 Analyse &amp; Synthese'!F7="Werkzeug"),'1.4 Analyse &amp; Synthese'!I7&amp;CHAR(13)&amp;"("&amp;'(Codierung)'!$C$4&amp;" - "&amp;'1.4 Analyse &amp; Synthese'!C7&amp;")","")</calculatedColumnFormula>
    </tableColumn>
    <tableColumn id="70" name="Werkzeug_10" dataDxfId="153">
      <calculatedColumnFormula array="1">_xlfn.IFNA(INDEX($BR$6:$BR$66,MATCH(0,COUNTIF($BS$4:BS5,$BR$6:$BR$66),0),1),"")</calculatedColumnFormula>
    </tableColumn>
    <tableColumn id="154" name="10" dataDxfId="152"/>
    <tableColumn id="72" name="Empfehlung_11a" dataDxfId="151">
      <calculatedColumnFormula>IF(AND('1.4 Analyse &amp; Synthese'!AA7=1,'1.4 Analyse &amp; Synthese'!F7="Empfehlung"),'1.4 Analyse &amp; Synthese'!I7&amp;CHAR(13)&amp;"("&amp;'(Codierung)'!$C$2&amp;" - "&amp;'1.4 Analyse &amp; Synthese'!C7&amp;")","")</calculatedColumnFormula>
    </tableColumn>
    <tableColumn id="73" name="Empfehlung_11" dataDxfId="150">
      <calculatedColumnFormula array="1">_xlfn.IFNA(INDEX($BU$6:$BU$66,MATCH(0,COUNTIF($BV$4:BV5,$BU$6:$BU$66),0),1),"")</calculatedColumnFormula>
    </tableColumn>
    <tableColumn id="74" name="Methode_11a" dataDxfId="149">
      <calculatedColumnFormula>IF(AND('1.4 Analyse &amp; Synthese'!AA7=1,'1.4 Analyse &amp; Synthese'!F7="Methode"),'1.4 Analyse &amp; Synthese'!I7&amp;CHAR(13)&amp;"("&amp;'(Codierung)'!$C$3&amp;" - "&amp;'1.4 Analyse &amp; Synthese'!C7&amp;")","")</calculatedColumnFormula>
    </tableColumn>
    <tableColumn id="75" name="Methode_11" dataDxfId="148">
      <calculatedColumnFormula array="1">_xlfn.IFNA(INDEX($BW$6:$BW$66,MATCH(0,COUNTIF($BX$4:BX5,$BW$6:$BW$66),0),1),"")</calculatedColumnFormula>
    </tableColumn>
    <tableColumn id="76" name="Werkzeug_11a" dataDxfId="147">
      <calculatedColumnFormula>IF(AND('1.4 Analyse &amp; Synthese'!AA7=1,'1.4 Analyse &amp; Synthese'!F7="Werkzeug"),'1.4 Analyse &amp; Synthese'!I7&amp;CHAR(13)&amp;"("&amp;'(Codierung)'!$C$4&amp;" - "&amp;'1.4 Analyse &amp; Synthese'!C7&amp;")","")</calculatedColumnFormula>
    </tableColumn>
    <tableColumn id="77" name="Werkzeug_11" dataDxfId="146">
      <calculatedColumnFormula array="1">_xlfn.IFNA(INDEX($BY$6:$BY$66,MATCH(0,COUNTIF($BZ$4:BZ5,$BY$6:$BY$66),0),1),"")</calculatedColumnFormula>
    </tableColumn>
    <tableColumn id="155" name="11" dataDxfId="145"/>
    <tableColumn id="79" name="Empfehlung_12a" dataDxfId="144">
      <calculatedColumnFormula>IF(AND('1.4 Analyse &amp; Synthese'!AB7=1,'1.4 Analyse &amp; Synthese'!F7="Empfehlung"),'1.4 Analyse &amp; Synthese'!I7&amp;CHAR(13)&amp;"("&amp;'(Codierung)'!$C$2&amp;" - "&amp;'1.4 Analyse &amp; Synthese'!C7&amp;")","")</calculatedColumnFormula>
    </tableColumn>
    <tableColumn id="80" name="Empfehlung_12" dataDxfId="143">
      <calculatedColumnFormula array="1">_xlfn.IFNA(INDEX($CB$6:$CB$66,MATCH(0,COUNTIF($CC$4:CC5,$CB$6:$CB$66),0),1),"")</calculatedColumnFormula>
    </tableColumn>
    <tableColumn id="81" name="Methode_12a" dataDxfId="142">
      <calculatedColumnFormula>IF(AND('1.4 Analyse &amp; Synthese'!AB7=1,'1.4 Analyse &amp; Synthese'!F7="Methode"),'1.4 Analyse &amp; Synthese'!I7&amp;CHAR(13)&amp;"("&amp;'(Codierung)'!$C$3&amp;" - "&amp;'1.4 Analyse &amp; Synthese'!C7&amp;")","")</calculatedColumnFormula>
    </tableColumn>
    <tableColumn id="82" name="Methode_12" dataDxfId="141">
      <calculatedColumnFormula array="1">_xlfn.IFNA(INDEX($CD$6:$CD$66,MATCH(0,COUNTIF($CE$4:CE5,$CD$6:$CD$66),0),1),"")</calculatedColumnFormula>
    </tableColumn>
    <tableColumn id="83" name="Werkzeug_12a" dataDxfId="140">
      <calculatedColumnFormula>IF(AND('1.4 Analyse &amp; Synthese'!AB7=1,'1.4 Analyse &amp; Synthese'!F7="Werkzeug"),'1.4 Analyse &amp; Synthese'!I7&amp;CHAR(13)&amp;"("&amp;'(Codierung)'!$C$4&amp;" - "&amp;'1.4 Analyse &amp; Synthese'!C7&amp;")","")</calculatedColumnFormula>
    </tableColumn>
    <tableColumn id="84" name="Werkzeug_12" dataDxfId="139">
      <calculatedColumnFormula array="1">_xlfn.IFNA(INDEX($CF$6:$CF$66,MATCH(0,COUNTIF($CG$4:CG5,$CF$6:$CF$66),0),1),"")</calculatedColumnFormula>
    </tableColumn>
    <tableColumn id="156" name="12" dataDxfId="138"/>
    <tableColumn id="86" name="Empfehlung_13a" dataDxfId="137">
      <calculatedColumnFormula>IF(AND('1.4 Analyse &amp; Synthese'!AC7=1,'1.4 Analyse &amp; Synthese'!F7="Empfehlung"),'1.4 Analyse &amp; Synthese'!I7&amp;CHAR(13)&amp;"("&amp;'(Codierung)'!$C$2&amp;" - "&amp;'1.4 Analyse &amp; Synthese'!C7&amp;")","")</calculatedColumnFormula>
    </tableColumn>
    <tableColumn id="87" name="Empfehlung_13" dataDxfId="136">
      <calculatedColumnFormula array="1">_xlfn.IFNA(INDEX($CI$6:$CI$66,MATCH(0,COUNTIF($CJ$4:CJ5,$CI$6:$CI$66),0),1),"")</calculatedColumnFormula>
    </tableColumn>
    <tableColumn id="88" name="Methode_13a" dataDxfId="135">
      <calculatedColumnFormula>IF(AND('1.4 Analyse &amp; Synthese'!AC7=1,'1.4 Analyse &amp; Synthese'!F7="Methode"),'1.4 Analyse &amp; Synthese'!I7&amp;CHAR(13)&amp;"("&amp;'(Codierung)'!$C$3&amp;" - "&amp;'1.4 Analyse &amp; Synthese'!C7&amp;")","")</calculatedColumnFormula>
    </tableColumn>
    <tableColumn id="89" name="Methode_13" dataDxfId="134">
      <calculatedColumnFormula array="1">_xlfn.IFNA(INDEX($CK$6:$CK$66,MATCH(0,COUNTIF($CL$4:CL5,$CK$6:$CK$66),0),1),"")</calculatedColumnFormula>
    </tableColumn>
    <tableColumn id="90" name="Werkzeug_13a" dataDxfId="133">
      <calculatedColumnFormula>IF(AND('1.4 Analyse &amp; Synthese'!AC7=1,'1.4 Analyse &amp; Synthese'!F7="Werkzeug"),'1.4 Analyse &amp; Synthese'!I7&amp;CHAR(13)&amp;"("&amp;'(Codierung)'!$C$4&amp;" - "&amp;'1.4 Analyse &amp; Synthese'!C7&amp;")","")</calculatedColumnFormula>
    </tableColumn>
    <tableColumn id="91" name="Werkzeug_13" dataDxfId="132">
      <calculatedColumnFormula array="1">_xlfn.IFNA(INDEX($CM$6:$CM$66,MATCH(0,COUNTIF($CN$4:CN5,$CM$6:$CM$66),0),1),"")</calculatedColumnFormula>
    </tableColumn>
    <tableColumn id="157" name="13" dataDxfId="131"/>
    <tableColumn id="93" name="Empfehlung_14a" dataDxfId="130">
      <calculatedColumnFormula>IF(AND('1.4 Analyse &amp; Synthese'!AD7=1,'1.4 Analyse &amp; Synthese'!F7="Empfehlung"),'1.4 Analyse &amp; Synthese'!I7&amp;CHAR(13)&amp;"("&amp;'(Codierung)'!$C$2&amp;" - "&amp;'1.4 Analyse &amp; Synthese'!C7&amp;")","")</calculatedColumnFormula>
    </tableColumn>
    <tableColumn id="94" name="Empfehlung_14" dataDxfId="129">
      <calculatedColumnFormula array="1">_xlfn.IFNA(INDEX($CP$6:$CP$66,MATCH(0,COUNTIF($CQ$4:CQ5,$CP$6:$CP$66),0),1),"")</calculatedColumnFormula>
    </tableColumn>
    <tableColumn id="95" name="Methode_14a" dataDxfId="128">
      <calculatedColumnFormula>IF(AND('1.4 Analyse &amp; Synthese'!AD7=1,'1.4 Analyse &amp; Synthese'!F7="Methode"),'1.4 Analyse &amp; Synthese'!I7&amp;CHAR(13)&amp;"("&amp;'(Codierung)'!$C$3&amp;" - "&amp;'1.4 Analyse &amp; Synthese'!C7&amp;")","")</calculatedColumnFormula>
    </tableColumn>
    <tableColumn id="96" name="Methode_14" dataDxfId="127">
      <calculatedColumnFormula array="1">_xlfn.IFNA(INDEX($CR$6:$CR$66,MATCH(0,COUNTIF($CS$4:CS5,$CR$6:$CR$66),0),1),"")</calculatedColumnFormula>
    </tableColumn>
    <tableColumn id="97" name="Werkzeug_14a" dataDxfId="126">
      <calculatedColumnFormula>IF(AND('1.4 Analyse &amp; Synthese'!AD7=1,'1.4 Analyse &amp; Synthese'!F7="Werkzeug"),'1.4 Analyse &amp; Synthese'!I7&amp;CHAR(13)&amp;"("&amp;'(Codierung)'!$C$4&amp;" - "&amp;'1.4 Analyse &amp; Synthese'!C7&amp;")","")</calculatedColumnFormula>
    </tableColumn>
    <tableColumn id="98" name="Werkzeug_14" dataDxfId="125">
      <calculatedColumnFormula array="1">_xlfn.IFNA(INDEX($CT$6:$CT$66,MATCH(0,COUNTIF($CU$4:CU5,$CT$6:$CT$66),0),1),"")</calculatedColumnFormula>
    </tableColumn>
    <tableColumn id="158" name="14" dataDxfId="124"/>
    <tableColumn id="100" name="Empfehlung_15a" dataDxfId="123">
      <calculatedColumnFormula>IF(AND('1.4 Analyse &amp; Synthese'!AE7=1,'1.4 Analyse &amp; Synthese'!F7="Empfehlung"),'1.4 Analyse &amp; Synthese'!I7&amp;CHAR(13)&amp;"("&amp;'(Codierung)'!$C$2&amp;" - "&amp;'1.4 Analyse &amp; Synthese'!C7&amp;")","")</calculatedColumnFormula>
    </tableColumn>
    <tableColumn id="101" name="Empfehlung_15" dataDxfId="122">
      <calculatedColumnFormula array="1">_xlfn.IFNA(INDEX($CW$6:$CW$66,MATCH(0,COUNTIF($CX$4:CX5,$CW$6:$CW$66),0),1),"")</calculatedColumnFormula>
    </tableColumn>
    <tableColumn id="102" name="Methode_15a" dataDxfId="121">
      <calculatedColumnFormula>IF(AND('1.4 Analyse &amp; Synthese'!AE7=1,'1.4 Analyse &amp; Synthese'!F7="Methode"),'1.4 Analyse &amp; Synthese'!I7&amp;CHAR(13)&amp;"("&amp;'(Codierung)'!$C$3&amp;" - "&amp;'1.4 Analyse &amp; Synthese'!C7&amp;")","")</calculatedColumnFormula>
    </tableColumn>
    <tableColumn id="103" name="Methode_15" dataDxfId="120">
      <calculatedColumnFormula array="1">_xlfn.IFNA(INDEX($CY$6:$CY$66,MATCH(0,COUNTIF($CZ$4:CZ5,$CY$6:$CY$66),0),1),"")</calculatedColumnFormula>
    </tableColumn>
    <tableColumn id="104" name="Werkzeug_15a" dataDxfId="119">
      <calculatedColumnFormula>IF(AND('1.4 Analyse &amp; Synthese'!AE7=1,'1.4 Analyse &amp; Synthese'!F7="Werkzeug"),'1.4 Analyse &amp; Synthese'!I7&amp;CHAR(13)&amp;"("&amp;'(Codierung)'!$C$4&amp;" - "&amp;'1.4 Analyse &amp; Synthese'!C7&amp;")","")</calculatedColumnFormula>
    </tableColumn>
    <tableColumn id="105" name="Werkzeug_15" dataDxfId="118">
      <calculatedColumnFormula array="1">_xlfn.IFNA(INDEX($DA$6:$DA$66,MATCH(0,COUNTIF($DB$4:DB5,$DA$6:$DA$66),0),1),"")</calculatedColumnFormula>
    </tableColumn>
    <tableColumn id="159" name="15" dataDxfId="117"/>
    <tableColumn id="107" name="Empfehlung_16a" dataDxfId="116">
      <calculatedColumnFormula>IF(AND('1.4 Analyse &amp; Synthese'!AF7=1,'1.4 Analyse &amp; Synthese'!F7="Empfehlung"),'1.4 Analyse &amp; Synthese'!I7&amp;CHAR(13)&amp;"("&amp;'(Codierung)'!$C$2&amp;" - "&amp;'1.4 Analyse &amp; Synthese'!C7&amp;")","")</calculatedColumnFormula>
    </tableColumn>
    <tableColumn id="108" name="Empfehlung_16" dataDxfId="115">
      <calculatedColumnFormula array="1">_xlfn.IFNA(INDEX($DD$6:$DD$66,MATCH(0,COUNTIF($DE$4:DE5,$DD$6:$DD$66),0),1),"")</calculatedColumnFormula>
    </tableColumn>
    <tableColumn id="109" name="Methode_16a" dataDxfId="114">
      <calculatedColumnFormula>IF(AND('1.4 Analyse &amp; Synthese'!AF7=1,'1.4 Analyse &amp; Synthese'!F7="Methode"),'1.4 Analyse &amp; Synthese'!I7&amp;CHAR(13)&amp;"("&amp;'(Codierung)'!$C$3&amp;" - "&amp;'1.4 Analyse &amp; Synthese'!C7&amp;")","")</calculatedColumnFormula>
    </tableColumn>
    <tableColumn id="110" name="Methode_16" dataDxfId="113">
      <calculatedColumnFormula array="1">_xlfn.IFNA(INDEX($DF$6:$DF$66,MATCH(0,COUNTIF($DG$4:DG5,$DF$6:$DF$66),0),1),"")</calculatedColumnFormula>
    </tableColumn>
    <tableColumn id="111" name="Werkzeug_16a" dataDxfId="112">
      <calculatedColumnFormula>IF(AND('1.4 Analyse &amp; Synthese'!AF7=1,'1.4 Analyse &amp; Synthese'!F7="Werkzeug"),'1.4 Analyse &amp; Synthese'!I7&amp;CHAR(13)&amp;"("&amp;'(Codierung)'!$C$4&amp;" - "&amp;'1.4 Analyse &amp; Synthese'!C7&amp;")","")</calculatedColumnFormula>
    </tableColumn>
    <tableColumn id="112" name="Werkzeug_16" dataDxfId="111">
      <calculatedColumnFormula array="1">_xlfn.IFNA(INDEX($DH$6:$DH$66,MATCH(0,COUNTIF($DI$4:DI5,$DH$6:$DH$66),0),1),"")</calculatedColumnFormula>
    </tableColumn>
    <tableColumn id="160" name="16" dataDxfId="110"/>
    <tableColumn id="114" name="Empfehlung_17a" dataDxfId="109">
      <calculatedColumnFormula>IF(AND('1.4 Analyse &amp; Synthese'!AG7=1,'1.4 Analyse &amp; Synthese'!F7="Empfehlung"),'1.4 Analyse &amp; Synthese'!I7&amp;CHAR(13)&amp;"("&amp;'(Codierung)'!$C$2&amp;" - "&amp;'1.4 Analyse &amp; Synthese'!C7&amp;")","")</calculatedColumnFormula>
    </tableColumn>
    <tableColumn id="115" name="Empfehlung_17" dataDxfId="108">
      <calculatedColumnFormula array="1">_xlfn.IFNA(INDEX($DK$6:$DK$66,MATCH(0,COUNTIF($DL$4:DL5,$DK$6:$DK$66),0),1),"")</calculatedColumnFormula>
    </tableColumn>
    <tableColumn id="116" name="Methode_17a" dataDxfId="107">
      <calculatedColumnFormula>IF(AND('1.4 Analyse &amp; Synthese'!AG7=1,'1.4 Analyse &amp; Synthese'!F7="Methode"),'1.4 Analyse &amp; Synthese'!I7&amp;CHAR(13)&amp;"("&amp;'(Codierung)'!$C$3&amp;" - "&amp;'1.4 Analyse &amp; Synthese'!C7&amp;")","")</calculatedColumnFormula>
    </tableColumn>
    <tableColumn id="117" name="Methode_17" dataDxfId="106">
      <calculatedColumnFormula array="1">_xlfn.IFNA(INDEX($DM$6:$DM$66,MATCH(0,COUNTIF($DN$4:DN5,$DM$6:$DM$66),0),1),"")</calculatedColumnFormula>
    </tableColumn>
    <tableColumn id="118" name="Werkzeug_17a" dataDxfId="105">
      <calculatedColumnFormula>IF(AND('1.4 Analyse &amp; Synthese'!AG7=1,'1.4 Analyse &amp; Synthese'!F7="Werkzeug"),'1.4 Analyse &amp; Synthese'!I7&amp;CHAR(13)&amp;"("&amp;'(Codierung)'!$C$4&amp;" - "&amp;'1.4 Analyse &amp; Synthese'!C7&amp;")","")</calculatedColumnFormula>
    </tableColumn>
    <tableColumn id="119" name="Werkzeug_17" dataDxfId="104">
      <calculatedColumnFormula array="1">_xlfn.IFNA(INDEX($DO$6:$DO$66,MATCH(0,COUNTIF($DP$4:DP5,$DO$6:$DO$66),0),1),"")</calculatedColumnFormula>
    </tableColumn>
    <tableColumn id="144" name="17" dataDxfId="103"/>
    <tableColumn id="121" name="Empfehlung_18a" dataDxfId="102">
      <calculatedColumnFormula>IF(AND('1.4 Analyse &amp; Synthese'!AH7=1,'1.4 Analyse &amp; Synthese'!F7="Empfehlung"),'1.4 Analyse &amp; Synthese'!I7&amp;CHAR(13)&amp;"("&amp;'(Codierung)'!$C$2&amp;" - "&amp;'1.4 Analyse &amp; Synthese'!C7&amp;")","")</calculatedColumnFormula>
    </tableColumn>
    <tableColumn id="122" name="Empfehlung_18" dataDxfId="101">
      <calculatedColumnFormula array="1">_xlfn.IFNA(INDEX($DR$6:$DR$66,MATCH(0,COUNTIF($DS$4:DS5,$DR$6:$DR$66),0),1),"")</calculatedColumnFormula>
    </tableColumn>
    <tableColumn id="123" name="Methode_18a" dataDxfId="100">
      <calculatedColumnFormula>IF(AND('1.4 Analyse &amp; Synthese'!AH7=1,'1.4 Analyse &amp; Synthese'!F7="Methode"),'1.4 Analyse &amp; Synthese'!I7&amp;CHAR(13)&amp;"("&amp;'(Codierung)'!$C$3&amp;" - "&amp;'1.4 Analyse &amp; Synthese'!C7&amp;")","")</calculatedColumnFormula>
    </tableColumn>
    <tableColumn id="124" name="Methode_18" dataDxfId="99">
      <calculatedColumnFormula array="1">_xlfn.IFNA(INDEX($DT$6:$DT$66,MATCH(0,COUNTIF($DU$4:DU5,$DT$6:$DT$66),0),1),"")</calculatedColumnFormula>
    </tableColumn>
    <tableColumn id="125" name="Werkzeug_18a" dataDxfId="98">
      <calculatedColumnFormula>IF(AND('1.4 Analyse &amp; Synthese'!AH7=1,'1.4 Analyse &amp; Synthese'!F7="Werkzeug"),'1.4 Analyse &amp; Synthese'!I7&amp;CHAR(13)&amp;"("&amp;'(Codierung)'!$C$4&amp;" - "&amp;'1.4 Analyse &amp; Synthese'!C7&amp;")","")</calculatedColumnFormula>
    </tableColumn>
    <tableColumn id="126" name="Werkzeug_18" dataDxfId="97">
      <calculatedColumnFormula array="1">_xlfn.IFNA(INDEX($DV$6:$DV$66,MATCH(0,COUNTIF($DW$4:DW5,$DV$6:$DV$66),0),1),"")</calculatedColumnFormula>
    </tableColumn>
    <tableColumn id="143" name="18" dataDxfId="96"/>
    <tableColumn id="128" name="Empfehlung_19a" dataDxfId="95">
      <calculatedColumnFormula>IF(AND('1.4 Analyse &amp; Synthese'!AI7=1,'1.4 Analyse &amp; Synthese'!F7="Empfehlung"),'1.4 Analyse &amp; Synthese'!I7&amp;CHAR(13)&amp;"("&amp;'(Codierung)'!$C$2&amp;" - "&amp;'1.4 Analyse &amp; Synthese'!C7&amp;")","")</calculatedColumnFormula>
    </tableColumn>
    <tableColumn id="129" name="Empfehlung_19" dataDxfId="94">
      <calculatedColumnFormula array="1">_xlfn.IFNA(INDEX($DY$6:$DY$66,MATCH(0,COUNTIF($DZ$4:DZ5,$DY$6:$DY$66),0),1),"")</calculatedColumnFormula>
    </tableColumn>
    <tableColumn id="130" name="Methode_19a" dataDxfId="93">
      <calculatedColumnFormula>IF(AND('1.4 Analyse &amp; Synthese'!AI7=1,'1.4 Analyse &amp; Synthese'!F7="Methode"),'1.4 Analyse &amp; Synthese'!I7&amp;CHAR(13)&amp;"("&amp;'(Codierung)'!$C$3&amp;" - "&amp;'1.4 Analyse &amp; Synthese'!C7&amp;")","")</calculatedColumnFormula>
    </tableColumn>
    <tableColumn id="131" name="Methode_19" dataDxfId="92">
      <calculatedColumnFormula array="1">_xlfn.IFNA(INDEX($EA$6:$EA$66,MATCH(0,COUNTIF($EB$4:EB5,$EA$6:$EA$66),0),1),"")</calculatedColumnFormula>
    </tableColumn>
    <tableColumn id="132" name="Werkzeug_19a" dataDxfId="91">
      <calculatedColumnFormula>IF(AND('1.4 Analyse &amp; Synthese'!AI7=1,'1.4 Analyse &amp; Synthese'!F7="Werkzeug"),'1.4 Analyse &amp; Synthese'!I7&amp;CHAR(13)&amp;"("&amp;'(Codierung)'!$C$4&amp;" - "&amp;'1.4 Analyse &amp; Synthese'!C7&amp;")","")</calculatedColumnFormula>
    </tableColumn>
    <tableColumn id="133" name="Werkzeug_19" dataDxfId="90">
      <calculatedColumnFormula array="1">_xlfn.IFNA(INDEX($EC$6:$EC$66,MATCH(0,COUNTIF($ED$4:ED5,$EC$6:$EC$66),0),1),"")</calculatedColumnFormula>
    </tableColumn>
    <tableColumn id="141" name="19" dataDxfId="89"/>
    <tableColumn id="135" name="Empfehlung_20a" dataDxfId="88">
      <calculatedColumnFormula>IF(AND('1.4 Analyse &amp; Synthese'!AJ7=1,'1.4 Analyse &amp; Synthese'!F7="Empfehlung"),'1.4 Analyse &amp; Synthese'!I7&amp;CHAR(13)&amp;"("&amp;'(Codierung)'!$C$2&amp;" - "&amp;'1.4 Analyse &amp; Synthese'!C7&amp;")","")</calculatedColumnFormula>
    </tableColumn>
    <tableColumn id="136" name="Empfehlung_20" dataDxfId="87">
      <calculatedColumnFormula array="1">_xlfn.IFNA(INDEX($EF$6:$EF$66,MATCH(0,COUNTIF($EG$4:EG5,$EF$6:$EF$66),0),1),"")</calculatedColumnFormula>
    </tableColumn>
    <tableColumn id="137" name="Methode_20a" dataDxfId="86">
      <calculatedColumnFormula>IF(AND('1.4 Analyse &amp; Synthese'!AJ7=1,'1.4 Analyse &amp; Synthese'!F7="Methode"),'1.4 Analyse &amp; Synthese'!I7&amp;CHAR(13)&amp;"("&amp;'(Codierung)'!$C$3&amp;" - "&amp;'1.4 Analyse &amp; Synthese'!C7&amp;")","")</calculatedColumnFormula>
    </tableColumn>
    <tableColumn id="138" name="Methode_20" dataDxfId="85">
      <calculatedColumnFormula array="1">_xlfn.IFNA(INDEX($EH$6:$EH$66,MATCH(0,COUNTIF($EI$4:EI5,$EH$6:$EH$66),0),1),"")</calculatedColumnFormula>
    </tableColumn>
    <tableColumn id="139" name="Werkzeug_20a" dataDxfId="84">
      <calculatedColumnFormula>IF(AND('1.4 Analyse &amp; Synthese'!AJ7=1,'1.4 Analyse &amp; Synthese'!F7="Werkzeug"),'1.4 Analyse &amp; Synthese'!I7&amp;CHAR(13)&amp;"("&amp;'(Codierung)'!$C$4&amp;" - "&amp;'1.4 Analyse &amp; Synthese'!C7&amp;")","")</calculatedColumnFormula>
    </tableColumn>
    <tableColumn id="142" name="Werkzeug_20" dataDxfId="83">
      <calculatedColumnFormula array="1">_xlfn.IFNA(INDEX($EJ$6:$EJ$66,MATCH(0,COUNTIF($EK$4:EK5,$EJ$6:$EJ$66),0),1),"")</calculatedColumnFormula>
    </tableColumn>
    <tableColumn id="140" name="20" dataDxfId="8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" name="Tabelle1" displayName="Tabelle1" ref="EN5:HO66" totalsRowShown="0" headerRowDxfId="81" dataDxfId="80">
  <autoFilter ref="EN5:HO66"/>
  <tableColumns count="80">
    <tableColumn id="1" name="Empfehlung" dataDxfId="79">
      <calculatedColumnFormula>D6</calculatedColumnFormula>
    </tableColumn>
    <tableColumn id="2" name="Methode" dataDxfId="78">
      <calculatedColumnFormula>F6</calculatedColumnFormula>
    </tableColumn>
    <tableColumn id="3" name="Werkzeug" dataDxfId="77">
      <calculatedColumnFormula>H6</calculatedColumnFormula>
    </tableColumn>
    <tableColumn id="4" name="Gesamt" dataDxfId="76">
      <calculatedColumnFormula>ZahlenInBereich(Tabelle1[[Empfehlung]:[Werkzeug]],ROW()-5)</calculatedColumnFormula>
    </tableColumn>
    <tableColumn id="5" name="Empfehlung2" dataDxfId="75">
      <calculatedColumnFormula>K6</calculatedColumnFormula>
    </tableColumn>
    <tableColumn id="6" name="Methode3" dataDxfId="74">
      <calculatedColumnFormula>M6</calculatedColumnFormula>
    </tableColumn>
    <tableColumn id="7" name="Werkzeug4" dataDxfId="73">
      <calculatedColumnFormula>O6</calculatedColumnFormula>
    </tableColumn>
    <tableColumn id="8" name="Gesamt5" dataDxfId="72">
      <calculatedColumnFormula>ZahlenInBereich(Tabelle1[[Empfehlung2]:[Werkzeug4]],ROW()-5)</calculatedColumnFormula>
    </tableColumn>
    <tableColumn id="9" name="Empfehlung6" dataDxfId="71">
      <calculatedColumnFormula>R6</calculatedColumnFormula>
    </tableColumn>
    <tableColumn id="10" name="Methode7" dataDxfId="70">
      <calculatedColumnFormula>T6</calculatedColumnFormula>
    </tableColumn>
    <tableColumn id="11" name="Werkzeug8" dataDxfId="69">
      <calculatedColumnFormula>V6</calculatedColumnFormula>
    </tableColumn>
    <tableColumn id="12" name="Gesamt9" dataDxfId="68">
      <calculatedColumnFormula>ZahlenInBereich(Tabelle1[[Empfehlung6]:[Werkzeug8]],ROW()-5)</calculatedColumnFormula>
    </tableColumn>
    <tableColumn id="13" name="Empfehlung10" dataDxfId="67">
      <calculatedColumnFormula>Y6</calculatedColumnFormula>
    </tableColumn>
    <tableColumn id="14" name="Methode11" dataDxfId="66">
      <calculatedColumnFormula>AA6</calculatedColumnFormula>
    </tableColumn>
    <tableColumn id="15" name="Werkzeug12" dataDxfId="65">
      <calculatedColumnFormula>AC6</calculatedColumnFormula>
    </tableColumn>
    <tableColumn id="16" name="Gesamt13" dataDxfId="64">
      <calculatedColumnFormula>ZahlenInBereich(Tabelle1[[Empfehlung10]:[Werkzeug12]],ROW()-5)</calculatedColumnFormula>
    </tableColumn>
    <tableColumn id="17" name="Empfehlung14" dataDxfId="63">
      <calculatedColumnFormula>AF6</calculatedColumnFormula>
    </tableColumn>
    <tableColumn id="18" name="Methode15" dataDxfId="62">
      <calculatedColumnFormula>AH6</calculatedColumnFormula>
    </tableColumn>
    <tableColumn id="19" name="Werkzeug16" dataDxfId="61">
      <calculatedColumnFormula>AJ6</calculatedColumnFormula>
    </tableColumn>
    <tableColumn id="20" name="Gesamt17" dataDxfId="60">
      <calculatedColumnFormula>ZahlenInBereich(Tabelle1[[Empfehlung14]:[Werkzeug16]],ROW()-5)</calculatedColumnFormula>
    </tableColumn>
    <tableColumn id="21" name="Empfehlung18" dataDxfId="59">
      <calculatedColumnFormula>AM6</calculatedColumnFormula>
    </tableColumn>
    <tableColumn id="22" name="Methode19" dataDxfId="58">
      <calculatedColumnFormula>AO6</calculatedColumnFormula>
    </tableColumn>
    <tableColumn id="23" name="Werkzeug20" dataDxfId="57">
      <calculatedColumnFormula>AQ6</calculatedColumnFormula>
    </tableColumn>
    <tableColumn id="24" name="Gesamt21" dataDxfId="56">
      <calculatedColumnFormula>ZahlenInBereich(Tabelle1[[Empfehlung18]:[Werkzeug20]],ROW()-5)</calculatedColumnFormula>
    </tableColumn>
    <tableColumn id="25" name="Empfehlung22" dataDxfId="55">
      <calculatedColumnFormula>AT6</calculatedColumnFormula>
    </tableColumn>
    <tableColumn id="26" name="Methode23" dataDxfId="54">
      <calculatedColumnFormula>AV6</calculatedColumnFormula>
    </tableColumn>
    <tableColumn id="27" name="Werkzeug24" dataDxfId="53">
      <calculatedColumnFormula>AX6</calculatedColumnFormula>
    </tableColumn>
    <tableColumn id="28" name="Gesamt25" dataDxfId="52">
      <calculatedColumnFormula>ZahlenInBereich(Tabelle1[[Empfehlung22]:[Werkzeug24]],ROW()-5)</calculatedColumnFormula>
    </tableColumn>
    <tableColumn id="29" name="Empfehlung26" dataDxfId="51">
      <calculatedColumnFormula>BA6</calculatedColumnFormula>
    </tableColumn>
    <tableColumn id="30" name="Methode27" dataDxfId="50">
      <calculatedColumnFormula>BC6</calculatedColumnFormula>
    </tableColumn>
    <tableColumn id="31" name="Werkzeug28" dataDxfId="49">
      <calculatedColumnFormula>BE6</calculatedColumnFormula>
    </tableColumn>
    <tableColumn id="32" name="Gesamt29" dataDxfId="48">
      <calculatedColumnFormula>ZahlenInBereich(Tabelle1[[Empfehlung26]:[Werkzeug28]],ROW()-5)</calculatedColumnFormula>
    </tableColumn>
    <tableColumn id="33" name="Empfehlung30" dataDxfId="47">
      <calculatedColumnFormula>BH6</calculatedColumnFormula>
    </tableColumn>
    <tableColumn id="34" name="Methode31" dataDxfId="46">
      <calculatedColumnFormula>BJ6</calculatedColumnFormula>
    </tableColumn>
    <tableColumn id="35" name="Werkzeug32" dataDxfId="45">
      <calculatedColumnFormula>BL6</calculatedColumnFormula>
    </tableColumn>
    <tableColumn id="36" name="Gesamt33" dataDxfId="44">
      <calculatedColumnFormula>ZahlenInBereich(Tabelle1[[Empfehlung30]:[Werkzeug32]],ROW()-5)</calculatedColumnFormula>
    </tableColumn>
    <tableColumn id="37" name="Empfehlung34" dataDxfId="43">
      <calculatedColumnFormula>BO6</calculatedColumnFormula>
    </tableColumn>
    <tableColumn id="38" name="Methode35" dataDxfId="42">
      <calculatedColumnFormula>BQ6</calculatedColumnFormula>
    </tableColumn>
    <tableColumn id="39" name="Werkzeug36" dataDxfId="41">
      <calculatedColumnFormula>BS6</calculatedColumnFormula>
    </tableColumn>
    <tableColumn id="40" name="Gesamt37" dataDxfId="40">
      <calculatedColumnFormula>ZahlenInBereich(Tabelle1[[Empfehlung34]:[Werkzeug36]],ROW()-5)</calculatedColumnFormula>
    </tableColumn>
    <tableColumn id="41" name="Empfehlung38" dataDxfId="39">
      <calculatedColumnFormula>BV6</calculatedColumnFormula>
    </tableColumn>
    <tableColumn id="42" name="Methode39" dataDxfId="38">
      <calculatedColumnFormula>BX6</calculatedColumnFormula>
    </tableColumn>
    <tableColumn id="43" name="Werkzeug40" dataDxfId="37">
      <calculatedColumnFormula>BZ6</calculatedColumnFormula>
    </tableColumn>
    <tableColumn id="44" name="Gesamt41" dataDxfId="36">
      <calculatedColumnFormula>ZahlenInBereich(Tabelle1[[Empfehlung38]:[Werkzeug40]],ROW()-5)</calculatedColumnFormula>
    </tableColumn>
    <tableColumn id="45" name="Empfehlung42" dataDxfId="35">
      <calculatedColumnFormula>CC6</calculatedColumnFormula>
    </tableColumn>
    <tableColumn id="46" name="Methode43" dataDxfId="34">
      <calculatedColumnFormula>CE6</calculatedColumnFormula>
    </tableColumn>
    <tableColumn id="47" name="Werkzeug44" dataDxfId="33">
      <calculatedColumnFormula>CG6</calculatedColumnFormula>
    </tableColumn>
    <tableColumn id="48" name="Gesamt45" dataDxfId="32">
      <calculatedColumnFormula>ZahlenInBereich(Tabelle1[[Empfehlung42]:[Werkzeug44]],ROW()-5)</calculatedColumnFormula>
    </tableColumn>
    <tableColumn id="49" name="Empfehlung46" dataDxfId="31">
      <calculatedColumnFormula>CJ6</calculatedColumnFormula>
    </tableColumn>
    <tableColumn id="50" name="Methode47" dataDxfId="30">
      <calculatedColumnFormula>CL6</calculatedColumnFormula>
    </tableColumn>
    <tableColumn id="51" name="Werkzeug48" dataDxfId="29">
      <calculatedColumnFormula>CN6</calculatedColumnFormula>
    </tableColumn>
    <tableColumn id="52" name="Gesamt49" dataDxfId="28">
      <calculatedColumnFormula>ZahlenInBereich(Tabelle1[[Empfehlung46]:[Werkzeug48]],ROW()-5)</calculatedColumnFormula>
    </tableColumn>
    <tableColumn id="53" name="Empfehlung50" dataDxfId="27">
      <calculatedColumnFormula>CQ6</calculatedColumnFormula>
    </tableColumn>
    <tableColumn id="54" name="Methode51" dataDxfId="26">
      <calculatedColumnFormula>CS6</calculatedColumnFormula>
    </tableColumn>
    <tableColumn id="55" name="Werkzeug52" dataDxfId="25">
      <calculatedColumnFormula>CU6</calculatedColumnFormula>
    </tableColumn>
    <tableColumn id="56" name="Gesamt53" dataDxfId="24">
      <calculatedColumnFormula>ZahlenInBereich(Tabelle1[[Empfehlung50]:[Werkzeug52]],ROW()-5)</calculatedColumnFormula>
    </tableColumn>
    <tableColumn id="57" name="Empfehlung54" dataDxfId="23">
      <calculatedColumnFormula>CX6</calculatedColumnFormula>
    </tableColumn>
    <tableColumn id="58" name="Methode55" dataDxfId="22">
      <calculatedColumnFormula>CZ6</calculatedColumnFormula>
    </tableColumn>
    <tableColumn id="59" name="Werkzeug56" dataDxfId="21">
      <calculatedColumnFormula>DB6</calculatedColumnFormula>
    </tableColumn>
    <tableColumn id="60" name="Gesamt57" dataDxfId="20">
      <calculatedColumnFormula>ZahlenInBereich(Tabelle1[[Empfehlung54]:[Werkzeug56]],ROW()-5)</calculatedColumnFormula>
    </tableColumn>
    <tableColumn id="61" name="Empfehlung58" dataDxfId="19">
      <calculatedColumnFormula>DE6</calculatedColumnFormula>
    </tableColumn>
    <tableColumn id="62" name="Methode59" dataDxfId="18">
      <calculatedColumnFormula>DG6</calculatedColumnFormula>
    </tableColumn>
    <tableColumn id="63" name="Werkzeug60" dataDxfId="17">
      <calculatedColumnFormula>DI6</calculatedColumnFormula>
    </tableColumn>
    <tableColumn id="64" name="Gesamt61" dataDxfId="16">
      <calculatedColumnFormula>ZahlenInBereich(Tabelle1[[Empfehlung58]:[Werkzeug60]],ROW()-5)</calculatedColumnFormula>
    </tableColumn>
    <tableColumn id="65" name="Empfehlung62" dataDxfId="15">
      <calculatedColumnFormula>DL6</calculatedColumnFormula>
    </tableColumn>
    <tableColumn id="66" name="Methode63" dataDxfId="14">
      <calculatedColumnFormula>DN6</calculatedColumnFormula>
    </tableColumn>
    <tableColumn id="67" name="Werkzeug64" dataDxfId="13">
      <calculatedColumnFormula>DP6</calculatedColumnFormula>
    </tableColumn>
    <tableColumn id="68" name="Gesamt65" dataDxfId="12">
      <calculatedColumnFormula>ZahlenInBereich(Tabelle1[[Empfehlung62]:[Werkzeug64]],ROW()-5)</calculatedColumnFormula>
    </tableColumn>
    <tableColumn id="69" name="Empfehlung66" dataDxfId="11">
      <calculatedColumnFormula>DS6</calculatedColumnFormula>
    </tableColumn>
    <tableColumn id="70" name="Methode67" dataDxfId="10">
      <calculatedColumnFormula>DU6</calculatedColumnFormula>
    </tableColumn>
    <tableColumn id="71" name="Werkzeug68" dataDxfId="9">
      <calculatedColumnFormula>DW6</calculatedColumnFormula>
    </tableColumn>
    <tableColumn id="72" name="Gesamt69" dataDxfId="8">
      <calculatedColumnFormula>ZahlenInBereich(Tabelle1[[Empfehlung66]:[Werkzeug68]],ROW()-5)</calculatedColumnFormula>
    </tableColumn>
    <tableColumn id="73" name="Empfehlung70" dataDxfId="7">
      <calculatedColumnFormula>DZ6</calculatedColumnFormula>
    </tableColumn>
    <tableColumn id="74" name="Methode71" dataDxfId="6">
      <calculatedColumnFormula>EB6</calculatedColumnFormula>
    </tableColumn>
    <tableColumn id="75" name="Werkzeug72" dataDxfId="5">
      <calculatedColumnFormula>ED6</calculatedColumnFormula>
    </tableColumn>
    <tableColumn id="76" name="Gesamt73" dataDxfId="4">
      <calculatedColumnFormula>ZahlenInBereich(Tabelle1[[Empfehlung70]:[Werkzeug72]],ROW()-5)</calculatedColumnFormula>
    </tableColumn>
    <tableColumn id="77" name="Empfehlung74" dataDxfId="3">
      <calculatedColumnFormula>EG6</calculatedColumnFormula>
    </tableColumn>
    <tableColumn id="78" name="Methode75" dataDxfId="2">
      <calculatedColumnFormula>EI6</calculatedColumnFormula>
    </tableColumn>
    <tableColumn id="79" name="Werkzeug76" dataDxfId="1">
      <calculatedColumnFormula>EK6</calculatedColumnFormula>
    </tableColumn>
    <tableColumn id="80" name="Gesamt77" dataDxfId="0">
      <calculatedColumnFormula>ZahlenInBereich(Tabelle1[[Empfehlung74]:[Werkzeug76]],ROW()-5)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B9E59E1-51A5-AD49-A979-DFB8649AA066}">
  <we:reference id="wa104168603" version="1.0.0.6" store="de-DE" storeType="OMEX"/>
  <we:alternateReferences>
    <we:reference id="WA104168603" version="1.0.0.6" store="WA104168603" storeType="OMEX"/>
  </we:alternateReferences>
  <we:properties>
    <we:property name="savedSettings" value="{&quot;state&quot;:{&quot;seed&quot;:134138,&quot;currentseed&quot;:null,&quot;powerbi&quot;:{&quot;datasetId&quot;:null,&quot;tableName&quot;:null,&quot;datasetName&quot;:null},&quot;powerBILoaded&quot;:false,&quot;VisualizationName&quot;:&quot;Power Bubbles&quot;,&quot;category&quot;:&quot;Country&quot;,&quot;aggregate&quot;:&quot;Sum&quot;,&quot;measure&quot;:&quot;Sales_Amount&quot;},&quot;date&quot;:&quot;Wed, 07 Sep 2016 15:58:07 GMT&quot;,&quot;appVersion&quot;:&quot;1.140.6085.34299, 29-08-2016 19:03:18&quot;}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Relationship Id="rId2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 enableFormatConditionsCalculation="0"/>
  <dimension ref="A1:AX37"/>
  <sheetViews>
    <sheetView zoomScaleNormal="83" zoomScalePageLayoutView="83" workbookViewId="0">
      <selection activeCell="AW23" sqref="AW23"/>
    </sheetView>
  </sheetViews>
  <sheetFormatPr baseColWidth="10" defaultRowHeight="13" x14ac:dyDescent="0.15"/>
  <cols>
    <col min="1" max="1" width="12.6640625" style="19" bestFit="1" customWidth="1"/>
    <col min="2" max="2" width="16.33203125" style="20" bestFit="1" customWidth="1"/>
    <col min="3" max="3" width="4" style="24" customWidth="1"/>
    <col min="4" max="4" width="39" style="21" customWidth="1"/>
    <col min="5" max="5" width="7.1640625" style="21" bestFit="1" customWidth="1"/>
    <col min="6" max="6" width="8.83203125" style="21" bestFit="1" customWidth="1"/>
    <col min="7" max="7" width="1.33203125" style="21" customWidth="1"/>
    <col min="8" max="8" width="38.33203125" style="21" customWidth="1"/>
    <col min="9" max="9" width="7.1640625" style="21" bestFit="1" customWidth="1"/>
    <col min="10" max="10" width="8.83203125" style="21" bestFit="1" customWidth="1"/>
    <col min="11" max="11" width="1.1640625" style="21" customWidth="1"/>
    <col min="12" max="12" width="38.33203125" style="21" customWidth="1"/>
    <col min="13" max="13" width="7.1640625" style="21" bestFit="1" customWidth="1"/>
    <col min="14" max="14" width="8.83203125" style="21" bestFit="1" customWidth="1"/>
    <col min="15" max="15" width="9" style="21" customWidth="1"/>
    <col min="16" max="16" width="38.33203125" style="21" customWidth="1"/>
    <col min="17" max="18" width="10.83203125" style="22"/>
    <col min="19" max="19" width="1.1640625" style="21" customWidth="1"/>
    <col min="20" max="20" width="38.33203125" style="21" customWidth="1"/>
    <col min="21" max="22" width="10.83203125" style="21"/>
    <col min="23" max="23" width="1" style="21" customWidth="1"/>
    <col min="24" max="24" width="38.33203125" style="22" customWidth="1"/>
    <col min="25" max="25" width="10.5" style="22" customWidth="1"/>
    <col min="26" max="26" width="10.6640625" style="22" customWidth="1"/>
    <col min="27" max="27" width="11.33203125" style="21" customWidth="1"/>
    <col min="28" max="28" width="38.33203125" style="21" customWidth="1"/>
    <col min="29" max="29" width="10.5" style="21" customWidth="1"/>
    <col min="30" max="30" width="10.6640625" style="21" customWidth="1"/>
    <col min="31" max="31" width="1.6640625" style="21" customWidth="1"/>
    <col min="32" max="32" width="38.33203125" style="21" customWidth="1"/>
    <col min="33" max="33" width="10.5" style="21" customWidth="1"/>
    <col min="34" max="34" width="10.6640625" style="21" customWidth="1"/>
    <col min="35" max="35" width="1.5" style="21" customWidth="1"/>
    <col min="36" max="36" width="38.33203125" style="21" customWidth="1"/>
    <col min="37" max="38" width="10.83203125" style="21"/>
    <col min="39" max="39" width="10.83203125" style="19"/>
    <col min="40" max="40" width="5.33203125" style="19" customWidth="1"/>
    <col min="41" max="41" width="3.83203125" style="19" customWidth="1"/>
    <col min="42" max="42" width="19.6640625" style="19" bestFit="1" customWidth="1"/>
    <col min="43" max="43" width="6.6640625" style="21" bestFit="1" customWidth="1"/>
    <col min="44" max="44" width="7.1640625" style="21" bestFit="1" customWidth="1"/>
    <col min="45" max="45" width="6.6640625" style="21" bestFit="1" customWidth="1"/>
    <col min="46" max="46" width="7.1640625" style="21" bestFit="1" customWidth="1"/>
    <col min="47" max="47" width="6.6640625" style="21" bestFit="1" customWidth="1"/>
    <col min="48" max="48" width="7.1640625" style="21" bestFit="1" customWidth="1"/>
    <col min="49" max="49" width="9.5" style="22" bestFit="1" customWidth="1"/>
    <col min="50" max="50" width="5.83203125" style="19" bestFit="1" customWidth="1"/>
    <col min="51" max="16384" width="10.83203125" style="19"/>
  </cols>
  <sheetData>
    <row r="1" spans="1:50" ht="100" customHeight="1" x14ac:dyDescent="0.15">
      <c r="B1" s="398" t="s">
        <v>647</v>
      </c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AN1" s="19" t="s">
        <v>642</v>
      </c>
    </row>
    <row r="2" spans="1:50" ht="19" customHeight="1" thickBot="1" x14ac:dyDescent="0.2"/>
    <row r="3" spans="1:50" s="177" customFormat="1" ht="28" customHeight="1" thickBot="1" x14ac:dyDescent="0.25">
      <c r="A3" s="177" t="s">
        <v>126</v>
      </c>
      <c r="B3" s="214"/>
      <c r="C3" s="185"/>
      <c r="D3" s="408" t="s">
        <v>127</v>
      </c>
      <c r="E3" s="404"/>
      <c r="F3" s="404"/>
      <c r="G3" s="404"/>
      <c r="H3" s="404"/>
      <c r="I3" s="404"/>
      <c r="J3" s="404"/>
      <c r="K3" s="404"/>
      <c r="L3" s="404"/>
      <c r="M3" s="404"/>
      <c r="N3" s="409"/>
      <c r="O3" s="178"/>
      <c r="P3" s="408" t="s">
        <v>128</v>
      </c>
      <c r="Q3" s="404"/>
      <c r="R3" s="404"/>
      <c r="S3" s="404"/>
      <c r="T3" s="404"/>
      <c r="U3" s="404"/>
      <c r="V3" s="404"/>
      <c r="W3" s="404"/>
      <c r="X3" s="404"/>
      <c r="Y3" s="404"/>
      <c r="Z3" s="404"/>
      <c r="AA3" s="178"/>
      <c r="AB3" s="408" t="s">
        <v>129</v>
      </c>
      <c r="AC3" s="404"/>
      <c r="AD3" s="404"/>
      <c r="AE3" s="404"/>
      <c r="AF3" s="404"/>
      <c r="AG3" s="404"/>
      <c r="AH3" s="404"/>
      <c r="AI3" s="404"/>
      <c r="AJ3" s="404"/>
      <c r="AK3" s="404"/>
      <c r="AL3" s="409"/>
      <c r="AN3" s="215"/>
      <c r="AO3" s="410" t="s">
        <v>130</v>
      </c>
      <c r="AP3" s="411"/>
      <c r="AQ3" s="403" t="s">
        <v>131</v>
      </c>
      <c r="AR3" s="415"/>
      <c r="AS3" s="403" t="s">
        <v>128</v>
      </c>
      <c r="AT3" s="404"/>
      <c r="AU3" s="403" t="s">
        <v>129</v>
      </c>
      <c r="AV3" s="404"/>
      <c r="AW3" s="399" t="s">
        <v>132</v>
      </c>
      <c r="AX3" s="400"/>
    </row>
    <row r="4" spans="1:50" ht="17" customHeight="1" thickBot="1" x14ac:dyDescent="0.2">
      <c r="B4" s="182" t="s">
        <v>641</v>
      </c>
      <c r="C4" s="183"/>
      <c r="D4" s="405" t="s">
        <v>24</v>
      </c>
      <c r="E4" s="406"/>
      <c r="F4" s="407"/>
      <c r="G4" s="25"/>
      <c r="H4" s="405" t="s">
        <v>133</v>
      </c>
      <c r="I4" s="406"/>
      <c r="J4" s="407"/>
      <c r="K4" s="25"/>
      <c r="L4" s="405" t="s">
        <v>134</v>
      </c>
      <c r="M4" s="406"/>
      <c r="N4" s="407"/>
      <c r="O4" s="26"/>
      <c r="P4" s="405" t="s">
        <v>24</v>
      </c>
      <c r="Q4" s="406"/>
      <c r="R4" s="407"/>
      <c r="S4" s="25"/>
      <c r="T4" s="405" t="s">
        <v>135</v>
      </c>
      <c r="U4" s="406"/>
      <c r="V4" s="407"/>
      <c r="W4" s="25"/>
      <c r="X4" s="405" t="s">
        <v>134</v>
      </c>
      <c r="Y4" s="406"/>
      <c r="Z4" s="407"/>
      <c r="AA4" s="26"/>
      <c r="AB4" s="405" t="s">
        <v>24</v>
      </c>
      <c r="AC4" s="406"/>
      <c r="AD4" s="407"/>
      <c r="AE4" s="25"/>
      <c r="AF4" s="405" t="s">
        <v>135</v>
      </c>
      <c r="AG4" s="406"/>
      <c r="AH4" s="407"/>
      <c r="AI4" s="25"/>
      <c r="AJ4" s="405" t="s">
        <v>134</v>
      </c>
      <c r="AK4" s="406"/>
      <c r="AL4" s="407"/>
      <c r="AN4" s="216"/>
      <c r="AO4" s="416" t="s">
        <v>136</v>
      </c>
      <c r="AP4" s="417"/>
      <c r="AQ4" s="27" t="s">
        <v>137</v>
      </c>
      <c r="AR4" s="28" t="s">
        <v>138</v>
      </c>
      <c r="AS4" s="29" t="s">
        <v>137</v>
      </c>
      <c r="AT4" s="29" t="s">
        <v>138</v>
      </c>
      <c r="AU4" s="27" t="s">
        <v>137</v>
      </c>
      <c r="AV4" s="29" t="s">
        <v>138</v>
      </c>
      <c r="AW4" s="30" t="s">
        <v>727</v>
      </c>
      <c r="AX4" s="31" t="s">
        <v>139</v>
      </c>
    </row>
    <row r="5" spans="1:50" ht="16" customHeight="1" x14ac:dyDescent="0.15">
      <c r="B5" s="179"/>
      <c r="C5" s="82"/>
      <c r="D5" s="32" t="s">
        <v>140</v>
      </c>
      <c r="E5" s="33" t="s">
        <v>141</v>
      </c>
      <c r="F5" s="34" t="s">
        <v>138</v>
      </c>
      <c r="G5" s="33"/>
      <c r="H5" s="32" t="s">
        <v>140</v>
      </c>
      <c r="I5" s="33" t="s">
        <v>141</v>
      </c>
      <c r="J5" s="34" t="s">
        <v>138</v>
      </c>
      <c r="K5" s="35"/>
      <c r="L5" s="36" t="s">
        <v>140</v>
      </c>
      <c r="M5" s="35" t="s">
        <v>141</v>
      </c>
      <c r="N5" s="37" t="s">
        <v>138</v>
      </c>
      <c r="O5" s="38"/>
      <c r="P5" s="32" t="s">
        <v>140</v>
      </c>
      <c r="Q5" s="39" t="s">
        <v>141</v>
      </c>
      <c r="R5" s="40" t="s">
        <v>138</v>
      </c>
      <c r="S5" s="33"/>
      <c r="T5" s="32" t="s">
        <v>140</v>
      </c>
      <c r="U5" s="33" t="s">
        <v>141</v>
      </c>
      <c r="V5" s="34" t="s">
        <v>138</v>
      </c>
      <c r="W5" s="33"/>
      <c r="X5" s="41" t="s">
        <v>140</v>
      </c>
      <c r="Y5" s="39" t="s">
        <v>141</v>
      </c>
      <c r="Z5" s="40" t="s">
        <v>138</v>
      </c>
      <c r="AA5" s="42"/>
      <c r="AB5" s="32" t="s">
        <v>140</v>
      </c>
      <c r="AC5" s="33" t="s">
        <v>141</v>
      </c>
      <c r="AD5" s="34" t="s">
        <v>138</v>
      </c>
      <c r="AE5" s="33"/>
      <c r="AF5" s="32" t="s">
        <v>140</v>
      </c>
      <c r="AG5" s="33" t="s">
        <v>141</v>
      </c>
      <c r="AH5" s="34" t="s">
        <v>138</v>
      </c>
      <c r="AI5" s="33"/>
      <c r="AJ5" s="32" t="s">
        <v>140</v>
      </c>
      <c r="AK5" s="33" t="s">
        <v>141</v>
      </c>
      <c r="AL5" s="34" t="s">
        <v>138</v>
      </c>
      <c r="AN5" s="216"/>
      <c r="AO5" s="416"/>
      <c r="AP5" s="417"/>
      <c r="AQ5" s="43"/>
      <c r="AR5" s="44"/>
      <c r="AS5" s="45"/>
      <c r="AT5" s="45"/>
      <c r="AU5" s="46"/>
      <c r="AV5" s="47"/>
      <c r="AW5" s="48"/>
      <c r="AX5" s="49"/>
    </row>
    <row r="6" spans="1:50" s="22" customFormat="1" ht="120" customHeight="1" x14ac:dyDescent="0.2">
      <c r="B6" s="179" t="s">
        <v>142</v>
      </c>
      <c r="C6" s="82"/>
      <c r="D6" s="50" t="s">
        <v>143</v>
      </c>
      <c r="E6" s="51">
        <v>1</v>
      </c>
      <c r="F6" s="23">
        <v>0</v>
      </c>
      <c r="G6" s="51"/>
      <c r="H6" s="50" t="s">
        <v>144</v>
      </c>
      <c r="I6" s="45">
        <v>1</v>
      </c>
      <c r="J6" s="52">
        <v>0</v>
      </c>
      <c r="K6" s="45"/>
      <c r="L6" s="50" t="s">
        <v>145</v>
      </c>
      <c r="M6" s="45">
        <v>0</v>
      </c>
      <c r="N6" s="52">
        <v>0</v>
      </c>
      <c r="O6" s="45"/>
      <c r="P6" s="50" t="s">
        <v>146</v>
      </c>
      <c r="Q6" s="45">
        <v>2</v>
      </c>
      <c r="R6" s="52">
        <v>0</v>
      </c>
      <c r="S6" s="45"/>
      <c r="T6" s="50" t="s">
        <v>147</v>
      </c>
      <c r="U6" s="56">
        <v>130</v>
      </c>
      <c r="V6" s="52">
        <v>0</v>
      </c>
      <c r="W6" s="45"/>
      <c r="X6" s="50" t="s">
        <v>148</v>
      </c>
      <c r="Y6" s="45">
        <v>9</v>
      </c>
      <c r="Z6" s="52">
        <v>0</v>
      </c>
      <c r="AA6" s="45"/>
      <c r="AB6" s="50" t="s">
        <v>149</v>
      </c>
      <c r="AC6" s="51">
        <v>8</v>
      </c>
      <c r="AD6" s="52">
        <v>1</v>
      </c>
      <c r="AE6" s="45"/>
      <c r="AF6" s="53" t="s">
        <v>150</v>
      </c>
      <c r="AG6" s="45">
        <v>137</v>
      </c>
      <c r="AH6" s="52">
        <v>4</v>
      </c>
      <c r="AI6" s="45"/>
      <c r="AJ6" s="50" t="s">
        <v>151</v>
      </c>
      <c r="AK6" s="45">
        <v>31</v>
      </c>
      <c r="AL6" s="52">
        <v>1</v>
      </c>
      <c r="AN6" s="418" t="s">
        <v>62</v>
      </c>
      <c r="AO6" s="54" t="s">
        <v>152</v>
      </c>
      <c r="AP6" s="55" t="s">
        <v>142</v>
      </c>
      <c r="AQ6" s="43">
        <f>E6+I6+M6</f>
        <v>2</v>
      </c>
      <c r="AR6" s="44">
        <f>F6+J6+N6</f>
        <v>0</v>
      </c>
      <c r="AS6" s="45">
        <f>Q6+U6+Y6</f>
        <v>141</v>
      </c>
      <c r="AT6" s="45">
        <f>R6+V6+Z6</f>
        <v>0</v>
      </c>
      <c r="AU6" s="43">
        <f>AC6+AG6+AK6</f>
        <v>176</v>
      </c>
      <c r="AV6" s="45">
        <f>AD6+AH6+AL6</f>
        <v>6</v>
      </c>
      <c r="AW6" s="48">
        <v>2</v>
      </c>
      <c r="AX6" s="44">
        <f t="shared" ref="AX6:AX25" si="0">AR6+AT6+AV6-AW6</f>
        <v>4</v>
      </c>
    </row>
    <row r="7" spans="1:50" s="22" customFormat="1" ht="120" customHeight="1" x14ac:dyDescent="0.2">
      <c r="B7" s="179" t="s">
        <v>153</v>
      </c>
      <c r="C7" s="82"/>
      <c r="D7" s="50" t="s">
        <v>154</v>
      </c>
      <c r="E7" s="51">
        <v>0</v>
      </c>
      <c r="F7" s="23">
        <v>0</v>
      </c>
      <c r="G7" s="51"/>
      <c r="H7" s="50" t="s">
        <v>155</v>
      </c>
      <c r="I7" s="45">
        <v>0</v>
      </c>
      <c r="J7" s="52">
        <v>0</v>
      </c>
      <c r="K7" s="45"/>
      <c r="L7" s="50" t="s">
        <v>156</v>
      </c>
      <c r="M7" s="45">
        <v>0</v>
      </c>
      <c r="N7" s="52">
        <v>0</v>
      </c>
      <c r="O7" s="45"/>
      <c r="P7" s="50" t="s">
        <v>157</v>
      </c>
      <c r="Q7" s="45">
        <v>0</v>
      </c>
      <c r="R7" s="52">
        <v>0</v>
      </c>
      <c r="S7" s="45"/>
      <c r="T7" s="50" t="s">
        <v>158</v>
      </c>
      <c r="U7" s="56">
        <v>31</v>
      </c>
      <c r="V7" s="52">
        <v>1</v>
      </c>
      <c r="W7" s="45"/>
      <c r="X7" s="50" t="s">
        <v>159</v>
      </c>
      <c r="Y7" s="45">
        <v>4</v>
      </c>
      <c r="Z7" s="52">
        <v>1</v>
      </c>
      <c r="AA7" s="45"/>
      <c r="AB7" s="50" t="s">
        <v>160</v>
      </c>
      <c r="AC7" s="45">
        <v>1</v>
      </c>
      <c r="AD7" s="52">
        <v>1</v>
      </c>
      <c r="AE7" s="45"/>
      <c r="AF7" s="50" t="s">
        <v>161</v>
      </c>
      <c r="AG7" s="45">
        <v>77</v>
      </c>
      <c r="AH7" s="52">
        <v>2</v>
      </c>
      <c r="AI7" s="45"/>
      <c r="AJ7" s="50" t="s">
        <v>162</v>
      </c>
      <c r="AK7" s="45">
        <v>13</v>
      </c>
      <c r="AL7" s="52">
        <v>1</v>
      </c>
      <c r="AN7" s="419"/>
      <c r="AO7" s="54" t="s">
        <v>152</v>
      </c>
      <c r="AP7" s="55" t="s">
        <v>153</v>
      </c>
      <c r="AQ7" s="43">
        <f t="shared" ref="AQ7:AR25" si="1">E7+I7+M7</f>
        <v>0</v>
      </c>
      <c r="AR7" s="44">
        <f t="shared" si="1"/>
        <v>0</v>
      </c>
      <c r="AS7" s="45">
        <f t="shared" ref="AS7:AT25" si="2">Q7+U7+Y7</f>
        <v>35</v>
      </c>
      <c r="AT7" s="45">
        <f t="shared" si="2"/>
        <v>2</v>
      </c>
      <c r="AU7" s="43">
        <f t="shared" ref="AU7:AV25" si="3">AC7+AG7+AK7</f>
        <v>91</v>
      </c>
      <c r="AV7" s="45">
        <f t="shared" si="3"/>
        <v>4</v>
      </c>
      <c r="AW7" s="48">
        <v>1</v>
      </c>
      <c r="AX7" s="44">
        <f t="shared" si="0"/>
        <v>5</v>
      </c>
    </row>
    <row r="8" spans="1:50" s="22" customFormat="1" ht="120" customHeight="1" x14ac:dyDescent="0.2">
      <c r="B8" s="179" t="s">
        <v>163</v>
      </c>
      <c r="C8" s="82"/>
      <c r="D8" s="50" t="s">
        <v>164</v>
      </c>
      <c r="E8" s="45">
        <v>0</v>
      </c>
      <c r="F8" s="52">
        <v>0</v>
      </c>
      <c r="G8" s="45"/>
      <c r="H8" s="50" t="s">
        <v>165</v>
      </c>
      <c r="I8" s="45">
        <v>0</v>
      </c>
      <c r="J8" s="52">
        <v>0</v>
      </c>
      <c r="K8" s="45"/>
      <c r="L8" s="50" t="s">
        <v>166</v>
      </c>
      <c r="M8" s="45">
        <v>0</v>
      </c>
      <c r="N8" s="52">
        <v>0</v>
      </c>
      <c r="O8" s="45"/>
      <c r="P8" s="50" t="s">
        <v>167</v>
      </c>
      <c r="Q8" s="45">
        <v>4</v>
      </c>
      <c r="R8" s="52">
        <v>1</v>
      </c>
      <c r="S8" s="45"/>
      <c r="T8" s="50" t="s">
        <v>168</v>
      </c>
      <c r="U8" s="56">
        <v>179</v>
      </c>
      <c r="V8" s="52">
        <v>2</v>
      </c>
      <c r="W8" s="45"/>
      <c r="X8" s="50" t="s">
        <v>169</v>
      </c>
      <c r="Y8" s="45">
        <v>20</v>
      </c>
      <c r="Z8" s="52">
        <v>2</v>
      </c>
      <c r="AA8" s="45"/>
      <c r="AB8" s="50" t="s">
        <v>170</v>
      </c>
      <c r="AC8" s="45">
        <v>0</v>
      </c>
      <c r="AD8" s="52">
        <v>0</v>
      </c>
      <c r="AE8" s="45"/>
      <c r="AF8" s="50" t="s">
        <v>171</v>
      </c>
      <c r="AG8" s="45">
        <v>95</v>
      </c>
      <c r="AH8" s="52">
        <v>5</v>
      </c>
      <c r="AI8" s="45"/>
      <c r="AJ8" s="50" t="s">
        <v>172</v>
      </c>
      <c r="AK8" s="45">
        <v>27</v>
      </c>
      <c r="AL8" s="52">
        <v>2</v>
      </c>
      <c r="AN8" s="419"/>
      <c r="AO8" s="54" t="s">
        <v>152</v>
      </c>
      <c r="AP8" s="55" t="s">
        <v>163</v>
      </c>
      <c r="AQ8" s="43">
        <f t="shared" si="1"/>
        <v>0</v>
      </c>
      <c r="AR8" s="44">
        <f t="shared" si="1"/>
        <v>0</v>
      </c>
      <c r="AS8" s="45">
        <f t="shared" si="2"/>
        <v>203</v>
      </c>
      <c r="AT8" s="45">
        <f t="shared" si="2"/>
        <v>5</v>
      </c>
      <c r="AU8" s="43">
        <f t="shared" si="3"/>
        <v>122</v>
      </c>
      <c r="AV8" s="45">
        <f t="shared" si="3"/>
        <v>7</v>
      </c>
      <c r="AW8" s="48">
        <v>3</v>
      </c>
      <c r="AX8" s="44">
        <f t="shared" si="0"/>
        <v>9</v>
      </c>
    </row>
    <row r="9" spans="1:50" s="22" customFormat="1" ht="120" customHeight="1" x14ac:dyDescent="0.2">
      <c r="B9" s="179" t="s">
        <v>173</v>
      </c>
      <c r="C9" s="82"/>
      <c r="D9" s="50" t="s">
        <v>174</v>
      </c>
      <c r="E9" s="45">
        <v>0</v>
      </c>
      <c r="F9" s="52">
        <v>0</v>
      </c>
      <c r="G9" s="45"/>
      <c r="H9" s="50" t="s">
        <v>175</v>
      </c>
      <c r="I9" s="45">
        <v>18</v>
      </c>
      <c r="J9" s="52">
        <v>0</v>
      </c>
      <c r="K9" s="45"/>
      <c r="L9" s="50" t="s">
        <v>175</v>
      </c>
      <c r="M9" s="45">
        <v>0</v>
      </c>
      <c r="N9" s="52">
        <v>0</v>
      </c>
      <c r="O9" s="45"/>
      <c r="P9" s="50" t="s">
        <v>176</v>
      </c>
      <c r="Q9" s="45">
        <v>0</v>
      </c>
      <c r="R9" s="52">
        <v>0</v>
      </c>
      <c r="S9" s="45"/>
      <c r="T9" s="50" t="s">
        <v>177</v>
      </c>
      <c r="U9" s="56">
        <v>192</v>
      </c>
      <c r="V9" s="52">
        <v>0</v>
      </c>
      <c r="W9" s="45"/>
      <c r="X9" s="50" t="s">
        <v>178</v>
      </c>
      <c r="Y9" s="45">
        <v>11</v>
      </c>
      <c r="Z9" s="52"/>
      <c r="AA9" s="45"/>
      <c r="AB9" s="50" t="s">
        <v>179</v>
      </c>
      <c r="AC9" s="45">
        <v>0</v>
      </c>
      <c r="AD9" s="52">
        <v>0</v>
      </c>
      <c r="AE9" s="45"/>
      <c r="AF9" s="50" t="s">
        <v>180</v>
      </c>
      <c r="AG9" s="45">
        <v>0</v>
      </c>
      <c r="AH9" s="52">
        <v>0</v>
      </c>
      <c r="AI9" s="45"/>
      <c r="AJ9" s="50" t="s">
        <v>181</v>
      </c>
      <c r="AK9" s="45">
        <v>0</v>
      </c>
      <c r="AL9" s="52">
        <v>0</v>
      </c>
      <c r="AN9" s="419"/>
      <c r="AO9" s="54" t="s">
        <v>152</v>
      </c>
      <c r="AP9" s="55" t="s">
        <v>173</v>
      </c>
      <c r="AQ9" s="43">
        <f t="shared" si="1"/>
        <v>18</v>
      </c>
      <c r="AR9" s="44">
        <f t="shared" si="1"/>
        <v>0</v>
      </c>
      <c r="AS9" s="45">
        <f t="shared" si="2"/>
        <v>203</v>
      </c>
      <c r="AT9" s="45">
        <f t="shared" si="2"/>
        <v>0</v>
      </c>
      <c r="AU9" s="43">
        <f t="shared" si="3"/>
        <v>0</v>
      </c>
      <c r="AV9" s="45">
        <f t="shared" si="3"/>
        <v>0</v>
      </c>
      <c r="AW9" s="48">
        <v>0</v>
      </c>
      <c r="AX9" s="44">
        <f t="shared" si="0"/>
        <v>0</v>
      </c>
    </row>
    <row r="10" spans="1:50" s="22" customFormat="1" ht="120" customHeight="1" x14ac:dyDescent="0.2">
      <c r="B10" s="179" t="s">
        <v>182</v>
      </c>
      <c r="C10" s="82"/>
      <c r="D10" s="50" t="s">
        <v>183</v>
      </c>
      <c r="E10" s="45">
        <v>0</v>
      </c>
      <c r="F10" s="52">
        <v>0</v>
      </c>
      <c r="G10" s="45"/>
      <c r="H10" s="50" t="s">
        <v>184</v>
      </c>
      <c r="I10" s="45">
        <v>0</v>
      </c>
      <c r="J10" s="52">
        <v>0</v>
      </c>
      <c r="K10" s="45"/>
      <c r="L10" s="50" t="s">
        <v>185</v>
      </c>
      <c r="M10" s="45">
        <v>0</v>
      </c>
      <c r="N10" s="52">
        <v>0</v>
      </c>
      <c r="O10" s="45"/>
      <c r="P10" s="50" t="s">
        <v>186</v>
      </c>
      <c r="Q10" s="45">
        <v>0</v>
      </c>
      <c r="R10" s="52">
        <v>0</v>
      </c>
      <c r="S10" s="45"/>
      <c r="T10" s="50" t="s">
        <v>187</v>
      </c>
      <c r="U10" s="56">
        <v>23</v>
      </c>
      <c r="V10" s="52">
        <v>0</v>
      </c>
      <c r="W10" s="45"/>
      <c r="X10" s="50" t="s">
        <v>188</v>
      </c>
      <c r="Y10" s="45">
        <v>25</v>
      </c>
      <c r="Z10" s="52">
        <v>1</v>
      </c>
      <c r="AA10" s="45"/>
      <c r="AB10" s="50" t="s">
        <v>189</v>
      </c>
      <c r="AC10" s="45">
        <v>0</v>
      </c>
      <c r="AD10" s="52">
        <v>0</v>
      </c>
      <c r="AE10" s="45"/>
      <c r="AF10" s="50" t="s">
        <v>190</v>
      </c>
      <c r="AG10" s="45">
        <v>226</v>
      </c>
      <c r="AH10" s="52">
        <v>1</v>
      </c>
      <c r="AI10" s="45"/>
      <c r="AJ10" s="50" t="s">
        <v>191</v>
      </c>
      <c r="AK10" s="45">
        <v>31</v>
      </c>
      <c r="AL10" s="52">
        <v>1</v>
      </c>
      <c r="AN10" s="419"/>
      <c r="AO10" s="54" t="s">
        <v>152</v>
      </c>
      <c r="AP10" s="55" t="s">
        <v>182</v>
      </c>
      <c r="AQ10" s="43">
        <f t="shared" si="1"/>
        <v>0</v>
      </c>
      <c r="AR10" s="44">
        <f t="shared" si="1"/>
        <v>0</v>
      </c>
      <c r="AS10" s="45">
        <f t="shared" si="2"/>
        <v>48</v>
      </c>
      <c r="AT10" s="45">
        <f t="shared" si="2"/>
        <v>1</v>
      </c>
      <c r="AU10" s="43">
        <f t="shared" si="3"/>
        <v>257</v>
      </c>
      <c r="AV10" s="45">
        <f t="shared" si="3"/>
        <v>2</v>
      </c>
      <c r="AW10" s="48">
        <v>1</v>
      </c>
      <c r="AX10" s="44">
        <f t="shared" si="0"/>
        <v>2</v>
      </c>
    </row>
    <row r="11" spans="1:50" s="22" customFormat="1" ht="120" customHeight="1" x14ac:dyDescent="0.2">
      <c r="B11" s="179" t="s">
        <v>192</v>
      </c>
      <c r="C11" s="82"/>
      <c r="D11" s="50" t="s">
        <v>193</v>
      </c>
      <c r="E11" s="45">
        <v>0</v>
      </c>
      <c r="F11" s="52">
        <v>0</v>
      </c>
      <c r="G11" s="45"/>
      <c r="H11" s="50" t="s">
        <v>194</v>
      </c>
      <c r="I11" s="45">
        <v>0</v>
      </c>
      <c r="J11" s="52">
        <v>0</v>
      </c>
      <c r="K11" s="45"/>
      <c r="L11" s="50" t="s">
        <v>195</v>
      </c>
      <c r="M11" s="45">
        <v>0</v>
      </c>
      <c r="N11" s="52">
        <v>0</v>
      </c>
      <c r="O11" s="45"/>
      <c r="P11" s="50" t="s">
        <v>196</v>
      </c>
      <c r="Q11" s="45">
        <v>0</v>
      </c>
      <c r="R11" s="52">
        <v>0</v>
      </c>
      <c r="S11" s="45"/>
      <c r="T11" s="50" t="s">
        <v>197</v>
      </c>
      <c r="U11" s="45">
        <v>0</v>
      </c>
      <c r="V11" s="52">
        <v>0</v>
      </c>
      <c r="W11" s="45"/>
      <c r="X11" s="50" t="s">
        <v>198</v>
      </c>
      <c r="Y11" s="45">
        <v>1</v>
      </c>
      <c r="Z11" s="52">
        <v>0</v>
      </c>
      <c r="AA11" s="45"/>
      <c r="AB11" s="50" t="s">
        <v>199</v>
      </c>
      <c r="AC11" s="45">
        <v>0</v>
      </c>
      <c r="AD11" s="52">
        <v>0</v>
      </c>
      <c r="AE11" s="45"/>
      <c r="AF11" s="50" t="s">
        <v>200</v>
      </c>
      <c r="AG11" s="45">
        <v>9</v>
      </c>
      <c r="AH11" s="52">
        <v>1</v>
      </c>
      <c r="AI11" s="45"/>
      <c r="AJ11" s="50" t="s">
        <v>201</v>
      </c>
      <c r="AK11" s="45">
        <v>2</v>
      </c>
      <c r="AL11" s="52">
        <v>0</v>
      </c>
      <c r="AN11" s="419"/>
      <c r="AO11" s="54" t="s">
        <v>152</v>
      </c>
      <c r="AP11" s="55" t="s">
        <v>192</v>
      </c>
      <c r="AQ11" s="43">
        <f t="shared" si="1"/>
        <v>0</v>
      </c>
      <c r="AR11" s="44">
        <f t="shared" si="1"/>
        <v>0</v>
      </c>
      <c r="AS11" s="45">
        <f t="shared" si="2"/>
        <v>1</v>
      </c>
      <c r="AT11" s="45">
        <f t="shared" si="2"/>
        <v>0</v>
      </c>
      <c r="AU11" s="43">
        <f t="shared" si="3"/>
        <v>11</v>
      </c>
      <c r="AV11" s="45">
        <f t="shared" si="3"/>
        <v>1</v>
      </c>
      <c r="AW11" s="48">
        <v>0</v>
      </c>
      <c r="AX11" s="44">
        <f t="shared" si="0"/>
        <v>1</v>
      </c>
    </row>
    <row r="12" spans="1:50" s="22" customFormat="1" ht="120" customHeight="1" x14ac:dyDescent="0.2">
      <c r="B12" s="179" t="s">
        <v>202</v>
      </c>
      <c r="C12" s="82"/>
      <c r="D12" s="50" t="s">
        <v>203</v>
      </c>
      <c r="E12" s="45">
        <v>0</v>
      </c>
      <c r="F12" s="52">
        <v>0</v>
      </c>
      <c r="G12" s="45"/>
      <c r="H12" s="50" t="s">
        <v>204</v>
      </c>
      <c r="I12" s="45">
        <v>0</v>
      </c>
      <c r="J12" s="52">
        <v>0</v>
      </c>
      <c r="K12" s="45"/>
      <c r="L12" s="50" t="s">
        <v>205</v>
      </c>
      <c r="M12" s="45">
        <v>0</v>
      </c>
      <c r="N12" s="52">
        <v>0</v>
      </c>
      <c r="O12" s="45"/>
      <c r="P12" s="50" t="s">
        <v>206</v>
      </c>
      <c r="Q12" s="45">
        <v>1</v>
      </c>
      <c r="R12" s="52">
        <v>0</v>
      </c>
      <c r="S12" s="45"/>
      <c r="T12" s="50" t="s">
        <v>207</v>
      </c>
      <c r="U12" s="56">
        <v>179</v>
      </c>
      <c r="V12" s="52">
        <v>0</v>
      </c>
      <c r="W12" s="45"/>
      <c r="X12" s="50" t="s">
        <v>208</v>
      </c>
      <c r="Y12" s="45">
        <v>59</v>
      </c>
      <c r="Z12" s="52">
        <v>1</v>
      </c>
      <c r="AA12" s="45"/>
      <c r="AB12" s="50" t="s">
        <v>209</v>
      </c>
      <c r="AC12" s="45">
        <v>2</v>
      </c>
      <c r="AD12" s="52">
        <v>0</v>
      </c>
      <c r="AE12" s="45"/>
      <c r="AF12" s="50" t="s">
        <v>210</v>
      </c>
      <c r="AG12" s="45">
        <v>180</v>
      </c>
      <c r="AH12" s="52">
        <v>3</v>
      </c>
      <c r="AI12" s="45"/>
      <c r="AJ12" s="50" t="s">
        <v>211</v>
      </c>
      <c r="AK12" s="45">
        <v>51</v>
      </c>
      <c r="AL12" s="52">
        <v>4</v>
      </c>
      <c r="AN12" s="419"/>
      <c r="AO12" s="54" t="s">
        <v>152</v>
      </c>
      <c r="AP12" s="55" t="s">
        <v>202</v>
      </c>
      <c r="AQ12" s="43">
        <f t="shared" si="1"/>
        <v>0</v>
      </c>
      <c r="AR12" s="44">
        <f t="shared" si="1"/>
        <v>0</v>
      </c>
      <c r="AS12" s="45">
        <f t="shared" si="2"/>
        <v>239</v>
      </c>
      <c r="AT12" s="45">
        <f t="shared" si="2"/>
        <v>1</v>
      </c>
      <c r="AU12" s="43">
        <f t="shared" si="3"/>
        <v>233</v>
      </c>
      <c r="AV12" s="45">
        <f t="shared" si="3"/>
        <v>7</v>
      </c>
      <c r="AW12" s="48">
        <v>2</v>
      </c>
      <c r="AX12" s="44">
        <f t="shared" si="0"/>
        <v>6</v>
      </c>
    </row>
    <row r="13" spans="1:50" s="22" customFormat="1" ht="145" customHeight="1" x14ac:dyDescent="0.2">
      <c r="B13" s="179" t="s">
        <v>212</v>
      </c>
      <c r="C13" s="82"/>
      <c r="D13" s="50" t="s">
        <v>213</v>
      </c>
      <c r="E13" s="45">
        <v>0</v>
      </c>
      <c r="F13" s="52">
        <v>0</v>
      </c>
      <c r="G13" s="45"/>
      <c r="H13" s="50" t="s">
        <v>214</v>
      </c>
      <c r="I13" s="45">
        <v>35</v>
      </c>
      <c r="J13" s="52">
        <v>0</v>
      </c>
      <c r="K13" s="45"/>
      <c r="L13" s="50" t="s">
        <v>215</v>
      </c>
      <c r="M13" s="45">
        <v>0</v>
      </c>
      <c r="N13" s="52">
        <v>0</v>
      </c>
      <c r="O13" s="45"/>
      <c r="P13" s="50" t="s">
        <v>216</v>
      </c>
      <c r="Q13" s="45">
        <v>2</v>
      </c>
      <c r="R13" s="52">
        <v>0</v>
      </c>
      <c r="S13" s="45"/>
      <c r="T13" s="50" t="s">
        <v>217</v>
      </c>
      <c r="U13" s="56">
        <v>270</v>
      </c>
      <c r="V13" s="52">
        <v>0</v>
      </c>
      <c r="W13" s="45"/>
      <c r="X13" s="50" t="s">
        <v>218</v>
      </c>
      <c r="Y13" s="45">
        <v>101</v>
      </c>
      <c r="Z13" s="52">
        <v>1</v>
      </c>
      <c r="AA13" s="45"/>
      <c r="AB13" s="50" t="s">
        <v>219</v>
      </c>
      <c r="AC13" s="45">
        <v>2</v>
      </c>
      <c r="AD13" s="52">
        <v>0</v>
      </c>
      <c r="AE13" s="45"/>
      <c r="AF13" s="50" t="s">
        <v>220</v>
      </c>
      <c r="AG13" s="56">
        <v>2400</v>
      </c>
      <c r="AH13" s="52">
        <v>0</v>
      </c>
      <c r="AI13" s="45"/>
      <c r="AJ13" s="50" t="s">
        <v>221</v>
      </c>
      <c r="AK13" s="45">
        <v>87</v>
      </c>
      <c r="AL13" s="52">
        <v>1</v>
      </c>
      <c r="AN13" s="419"/>
      <c r="AO13" s="54" t="s">
        <v>152</v>
      </c>
      <c r="AP13" s="55" t="s">
        <v>212</v>
      </c>
      <c r="AQ13" s="43">
        <f t="shared" si="1"/>
        <v>35</v>
      </c>
      <c r="AR13" s="44">
        <f t="shared" si="1"/>
        <v>0</v>
      </c>
      <c r="AS13" s="45">
        <f t="shared" si="2"/>
        <v>373</v>
      </c>
      <c r="AT13" s="45">
        <f t="shared" si="2"/>
        <v>1</v>
      </c>
      <c r="AU13" s="43">
        <f t="shared" si="3"/>
        <v>2489</v>
      </c>
      <c r="AV13" s="45">
        <f t="shared" si="3"/>
        <v>1</v>
      </c>
      <c r="AW13" s="48">
        <v>1</v>
      </c>
      <c r="AX13" s="44">
        <f t="shared" si="0"/>
        <v>1</v>
      </c>
    </row>
    <row r="14" spans="1:50" s="22" customFormat="1" ht="139" customHeight="1" x14ac:dyDescent="0.2">
      <c r="B14" s="179" t="s">
        <v>222</v>
      </c>
      <c r="C14" s="82"/>
      <c r="D14" s="50" t="s">
        <v>223</v>
      </c>
      <c r="E14" s="45">
        <v>0</v>
      </c>
      <c r="F14" s="52">
        <v>0</v>
      </c>
      <c r="G14" s="45"/>
      <c r="H14" s="50" t="s">
        <v>224</v>
      </c>
      <c r="I14" s="45">
        <v>19</v>
      </c>
      <c r="J14" s="52">
        <v>0</v>
      </c>
      <c r="K14" s="45"/>
      <c r="L14" s="50" t="s">
        <v>225</v>
      </c>
      <c r="M14" s="45">
        <v>0</v>
      </c>
      <c r="N14" s="52">
        <v>0</v>
      </c>
      <c r="O14" s="45"/>
      <c r="P14" s="50" t="s">
        <v>226</v>
      </c>
      <c r="Q14" s="45">
        <v>2</v>
      </c>
      <c r="R14" s="52">
        <v>0</v>
      </c>
      <c r="S14" s="45"/>
      <c r="T14" s="50" t="s">
        <v>227</v>
      </c>
      <c r="U14" s="56">
        <v>152</v>
      </c>
      <c r="V14" s="52">
        <v>0</v>
      </c>
      <c r="W14" s="45"/>
      <c r="X14" s="50" t="s">
        <v>228</v>
      </c>
      <c r="Y14" s="45">
        <v>5</v>
      </c>
      <c r="Z14" s="52">
        <v>0</v>
      </c>
      <c r="AA14" s="45"/>
      <c r="AB14" s="50" t="s">
        <v>229</v>
      </c>
      <c r="AC14" s="45">
        <v>0</v>
      </c>
      <c r="AD14" s="52">
        <v>0</v>
      </c>
      <c r="AE14" s="45"/>
      <c r="AF14" s="50" t="s">
        <v>230</v>
      </c>
      <c r="AG14" s="56">
        <v>231</v>
      </c>
      <c r="AH14" s="52">
        <v>1</v>
      </c>
      <c r="AI14" s="45"/>
      <c r="AJ14" s="50" t="s">
        <v>231</v>
      </c>
      <c r="AK14" s="45">
        <v>4</v>
      </c>
      <c r="AL14" s="52">
        <v>1</v>
      </c>
      <c r="AN14" s="419"/>
      <c r="AO14" s="54" t="s">
        <v>152</v>
      </c>
      <c r="AP14" s="55" t="s">
        <v>222</v>
      </c>
      <c r="AQ14" s="43">
        <f t="shared" si="1"/>
        <v>19</v>
      </c>
      <c r="AR14" s="44">
        <f t="shared" si="1"/>
        <v>0</v>
      </c>
      <c r="AS14" s="45">
        <f t="shared" si="2"/>
        <v>159</v>
      </c>
      <c r="AT14" s="45">
        <f t="shared" si="2"/>
        <v>0</v>
      </c>
      <c r="AU14" s="43">
        <f t="shared" si="3"/>
        <v>235</v>
      </c>
      <c r="AV14" s="45">
        <f t="shared" si="3"/>
        <v>2</v>
      </c>
      <c r="AW14" s="48">
        <v>1</v>
      </c>
      <c r="AX14" s="44">
        <f t="shared" si="0"/>
        <v>1</v>
      </c>
    </row>
    <row r="15" spans="1:50" s="22" customFormat="1" ht="142" customHeight="1" x14ac:dyDescent="0.2">
      <c r="B15" s="179" t="s">
        <v>232</v>
      </c>
      <c r="C15" s="82"/>
      <c r="D15" s="50" t="s">
        <v>233</v>
      </c>
      <c r="E15" s="45">
        <v>0</v>
      </c>
      <c r="F15" s="52">
        <v>0</v>
      </c>
      <c r="G15" s="45"/>
      <c r="H15" s="50" t="s">
        <v>234</v>
      </c>
      <c r="I15" s="45">
        <v>0</v>
      </c>
      <c r="J15" s="52">
        <v>0</v>
      </c>
      <c r="K15" s="45"/>
      <c r="L15" s="50" t="s">
        <v>235</v>
      </c>
      <c r="M15" s="45">
        <v>0</v>
      </c>
      <c r="N15" s="52">
        <v>0</v>
      </c>
      <c r="O15" s="45"/>
      <c r="P15" s="50" t="s">
        <v>236</v>
      </c>
      <c r="Q15" s="45">
        <v>0</v>
      </c>
      <c r="R15" s="52">
        <v>0</v>
      </c>
      <c r="S15" s="45"/>
      <c r="T15" s="50" t="s">
        <v>237</v>
      </c>
      <c r="U15" s="45">
        <v>140</v>
      </c>
      <c r="V15" s="52">
        <v>0</v>
      </c>
      <c r="W15" s="45"/>
      <c r="X15" s="50" t="s">
        <v>238</v>
      </c>
      <c r="Y15" s="45">
        <v>4</v>
      </c>
      <c r="Z15" s="52">
        <v>0</v>
      </c>
      <c r="AA15" s="45"/>
      <c r="AB15" s="50" t="s">
        <v>239</v>
      </c>
      <c r="AC15" s="45">
        <v>0</v>
      </c>
      <c r="AD15" s="52">
        <v>0</v>
      </c>
      <c r="AE15" s="45"/>
      <c r="AF15" s="50" t="s">
        <v>240</v>
      </c>
      <c r="AG15" s="45">
        <v>4</v>
      </c>
      <c r="AH15" s="52">
        <v>0</v>
      </c>
      <c r="AI15" s="45"/>
      <c r="AJ15" s="50" t="s">
        <v>241</v>
      </c>
      <c r="AK15" s="45">
        <v>1</v>
      </c>
      <c r="AL15" s="52">
        <v>0</v>
      </c>
      <c r="AN15" s="419"/>
      <c r="AO15" s="54" t="s">
        <v>152</v>
      </c>
      <c r="AP15" s="55" t="s">
        <v>232</v>
      </c>
      <c r="AQ15" s="43">
        <f t="shared" si="1"/>
        <v>0</v>
      </c>
      <c r="AR15" s="44">
        <f t="shared" si="1"/>
        <v>0</v>
      </c>
      <c r="AS15" s="45">
        <f t="shared" si="2"/>
        <v>144</v>
      </c>
      <c r="AT15" s="45">
        <f t="shared" si="2"/>
        <v>0</v>
      </c>
      <c r="AU15" s="43">
        <f t="shared" si="3"/>
        <v>5</v>
      </c>
      <c r="AV15" s="45">
        <f t="shared" si="3"/>
        <v>0</v>
      </c>
      <c r="AW15" s="48">
        <v>0</v>
      </c>
      <c r="AX15" s="44">
        <f t="shared" si="0"/>
        <v>0</v>
      </c>
    </row>
    <row r="16" spans="1:50" s="22" customFormat="1" ht="137" customHeight="1" x14ac:dyDescent="0.2">
      <c r="B16" s="179" t="s">
        <v>242</v>
      </c>
      <c r="C16" s="82"/>
      <c r="D16" s="50" t="s">
        <v>243</v>
      </c>
      <c r="E16" s="45">
        <v>0</v>
      </c>
      <c r="F16" s="52">
        <v>0</v>
      </c>
      <c r="G16" s="45"/>
      <c r="H16" s="50" t="s">
        <v>244</v>
      </c>
      <c r="I16" s="45">
        <v>0</v>
      </c>
      <c r="J16" s="52">
        <v>0</v>
      </c>
      <c r="K16" s="45"/>
      <c r="L16" s="50" t="s">
        <v>245</v>
      </c>
      <c r="M16" s="45">
        <v>0</v>
      </c>
      <c r="N16" s="52">
        <v>0</v>
      </c>
      <c r="O16" s="45"/>
      <c r="P16" s="50" t="s">
        <v>246</v>
      </c>
      <c r="Q16" s="45">
        <v>0</v>
      </c>
      <c r="R16" s="52">
        <v>0</v>
      </c>
      <c r="S16" s="45"/>
      <c r="T16" s="50" t="s">
        <v>247</v>
      </c>
      <c r="U16" s="45">
        <v>57</v>
      </c>
      <c r="V16" s="52">
        <v>2</v>
      </c>
      <c r="W16" s="45"/>
      <c r="X16" s="50" t="s">
        <v>248</v>
      </c>
      <c r="Y16" s="45">
        <v>0</v>
      </c>
      <c r="Z16" s="52">
        <v>0</v>
      </c>
      <c r="AA16" s="45"/>
      <c r="AB16" s="50" t="s">
        <v>249</v>
      </c>
      <c r="AC16" s="45">
        <v>0</v>
      </c>
      <c r="AD16" s="52">
        <v>0</v>
      </c>
      <c r="AE16" s="45"/>
      <c r="AF16" s="50" t="s">
        <v>250</v>
      </c>
      <c r="AG16" s="45">
        <v>5</v>
      </c>
      <c r="AH16" s="52">
        <v>1</v>
      </c>
      <c r="AI16" s="45"/>
      <c r="AJ16" s="50" t="s">
        <v>251</v>
      </c>
      <c r="AK16" s="45">
        <v>1</v>
      </c>
      <c r="AL16" s="52">
        <v>1</v>
      </c>
      <c r="AN16" s="419"/>
      <c r="AO16" s="54" t="s">
        <v>152</v>
      </c>
      <c r="AP16" s="55" t="s">
        <v>242</v>
      </c>
      <c r="AQ16" s="43">
        <f t="shared" si="1"/>
        <v>0</v>
      </c>
      <c r="AR16" s="44">
        <f t="shared" si="1"/>
        <v>0</v>
      </c>
      <c r="AS16" s="45">
        <f t="shared" si="2"/>
        <v>57</v>
      </c>
      <c r="AT16" s="45">
        <f t="shared" si="2"/>
        <v>2</v>
      </c>
      <c r="AU16" s="43">
        <f t="shared" si="3"/>
        <v>6</v>
      </c>
      <c r="AV16" s="45">
        <f t="shared" si="3"/>
        <v>2</v>
      </c>
      <c r="AW16" s="48">
        <v>1</v>
      </c>
      <c r="AX16" s="44">
        <f t="shared" si="0"/>
        <v>3</v>
      </c>
    </row>
    <row r="17" spans="1:50" s="57" customFormat="1" ht="120" customHeight="1" x14ac:dyDescent="0.2">
      <c r="B17" s="179" t="s">
        <v>252</v>
      </c>
      <c r="C17" s="82"/>
      <c r="D17" s="50" t="s">
        <v>253</v>
      </c>
      <c r="E17" s="45">
        <v>0</v>
      </c>
      <c r="F17" s="52">
        <v>0</v>
      </c>
      <c r="G17" s="45"/>
      <c r="H17" s="50" t="s">
        <v>253</v>
      </c>
      <c r="I17" s="45">
        <v>6</v>
      </c>
      <c r="J17" s="52">
        <v>0</v>
      </c>
      <c r="K17" s="45"/>
      <c r="L17" s="50" t="s">
        <v>254</v>
      </c>
      <c r="M17" s="45">
        <v>0</v>
      </c>
      <c r="N17" s="52">
        <v>0</v>
      </c>
      <c r="O17" s="45"/>
      <c r="P17" s="50" t="s">
        <v>255</v>
      </c>
      <c r="Q17" s="45">
        <v>0</v>
      </c>
      <c r="R17" s="52">
        <v>0</v>
      </c>
      <c r="S17" s="45"/>
      <c r="T17" s="50" t="s">
        <v>256</v>
      </c>
      <c r="U17" s="56">
        <v>28</v>
      </c>
      <c r="V17" s="52">
        <v>0</v>
      </c>
      <c r="W17" s="45"/>
      <c r="X17" s="50" t="s">
        <v>257</v>
      </c>
      <c r="Y17" s="45">
        <v>3</v>
      </c>
      <c r="Z17" s="52">
        <v>0</v>
      </c>
      <c r="AA17" s="45"/>
      <c r="AB17" s="50" t="s">
        <v>249</v>
      </c>
      <c r="AC17" s="45">
        <v>0</v>
      </c>
      <c r="AD17" s="52">
        <v>0</v>
      </c>
      <c r="AE17" s="45"/>
      <c r="AF17" s="50" t="s">
        <v>258</v>
      </c>
      <c r="AG17" s="56">
        <v>13</v>
      </c>
      <c r="AH17" s="52">
        <v>0</v>
      </c>
      <c r="AI17" s="45"/>
      <c r="AJ17" s="50" t="s">
        <v>259</v>
      </c>
      <c r="AK17" s="45">
        <v>0</v>
      </c>
      <c r="AL17" s="52">
        <v>0</v>
      </c>
      <c r="AN17" s="419"/>
      <c r="AO17" s="54" t="s">
        <v>152</v>
      </c>
      <c r="AP17" s="55" t="s">
        <v>252</v>
      </c>
      <c r="AQ17" s="43">
        <f t="shared" si="1"/>
        <v>6</v>
      </c>
      <c r="AR17" s="44">
        <f t="shared" si="1"/>
        <v>0</v>
      </c>
      <c r="AS17" s="45">
        <f t="shared" si="2"/>
        <v>31</v>
      </c>
      <c r="AT17" s="45">
        <f t="shared" si="2"/>
        <v>0</v>
      </c>
      <c r="AU17" s="43">
        <f t="shared" si="3"/>
        <v>13</v>
      </c>
      <c r="AV17" s="45">
        <f t="shared" si="3"/>
        <v>0</v>
      </c>
      <c r="AW17" s="48">
        <v>0</v>
      </c>
      <c r="AX17" s="44">
        <f t="shared" si="0"/>
        <v>0</v>
      </c>
    </row>
    <row r="18" spans="1:50" s="57" customFormat="1" ht="120" customHeight="1" x14ac:dyDescent="0.2">
      <c r="B18" s="179" t="s">
        <v>260</v>
      </c>
      <c r="C18" s="82"/>
      <c r="D18" s="50" t="s">
        <v>261</v>
      </c>
      <c r="E18" s="45">
        <v>0</v>
      </c>
      <c r="F18" s="52">
        <v>0</v>
      </c>
      <c r="G18" s="45"/>
      <c r="H18" s="50" t="s">
        <v>262</v>
      </c>
      <c r="I18" s="45">
        <v>10</v>
      </c>
      <c r="J18" s="52">
        <v>2</v>
      </c>
      <c r="K18" s="45"/>
      <c r="L18" s="50" t="s">
        <v>263</v>
      </c>
      <c r="M18" s="45">
        <v>0</v>
      </c>
      <c r="N18" s="52">
        <v>0</v>
      </c>
      <c r="O18" s="45"/>
      <c r="P18" s="50" t="s">
        <v>264</v>
      </c>
      <c r="Q18" s="45">
        <v>0</v>
      </c>
      <c r="R18" s="52">
        <v>0</v>
      </c>
      <c r="S18" s="45"/>
      <c r="T18" s="50" t="s">
        <v>265</v>
      </c>
      <c r="U18" s="56">
        <v>91</v>
      </c>
      <c r="V18" s="52">
        <v>0</v>
      </c>
      <c r="W18" s="45"/>
      <c r="X18" s="50" t="s">
        <v>266</v>
      </c>
      <c r="Y18" s="45">
        <v>4</v>
      </c>
      <c r="Z18" s="52">
        <v>0</v>
      </c>
      <c r="AA18" s="45"/>
      <c r="AB18" s="50" t="s">
        <v>267</v>
      </c>
      <c r="AC18" s="45">
        <v>0</v>
      </c>
      <c r="AD18" s="52">
        <v>0</v>
      </c>
      <c r="AE18" s="45"/>
      <c r="AF18" s="50" t="s">
        <v>268</v>
      </c>
      <c r="AG18" s="45">
        <v>12</v>
      </c>
      <c r="AH18" s="52">
        <v>0</v>
      </c>
      <c r="AI18" s="45"/>
      <c r="AJ18" s="50" t="s">
        <v>269</v>
      </c>
      <c r="AK18" s="45">
        <v>0</v>
      </c>
      <c r="AL18" s="52">
        <v>0</v>
      </c>
      <c r="AN18" s="419"/>
      <c r="AO18" s="54" t="s">
        <v>152</v>
      </c>
      <c r="AP18" s="55" t="s">
        <v>260</v>
      </c>
      <c r="AQ18" s="43">
        <f t="shared" si="1"/>
        <v>10</v>
      </c>
      <c r="AR18" s="44">
        <f t="shared" si="1"/>
        <v>2</v>
      </c>
      <c r="AS18" s="45">
        <f t="shared" si="2"/>
        <v>95</v>
      </c>
      <c r="AT18" s="45">
        <f t="shared" si="2"/>
        <v>0</v>
      </c>
      <c r="AU18" s="43">
        <f t="shared" si="3"/>
        <v>12</v>
      </c>
      <c r="AV18" s="45">
        <f t="shared" si="3"/>
        <v>0</v>
      </c>
      <c r="AW18" s="48">
        <v>0</v>
      </c>
      <c r="AX18" s="44">
        <f t="shared" si="0"/>
        <v>2</v>
      </c>
    </row>
    <row r="19" spans="1:50" s="57" customFormat="1" ht="120" customHeight="1" x14ac:dyDescent="0.2">
      <c r="B19" s="180" t="s">
        <v>270</v>
      </c>
      <c r="C19" s="82"/>
      <c r="D19" s="59" t="s">
        <v>271</v>
      </c>
      <c r="E19" s="29">
        <v>0</v>
      </c>
      <c r="F19" s="60">
        <v>0</v>
      </c>
      <c r="G19" s="45"/>
      <c r="H19" s="59" t="s">
        <v>272</v>
      </c>
      <c r="I19" s="29">
        <v>0</v>
      </c>
      <c r="J19" s="60">
        <v>0</v>
      </c>
      <c r="K19" s="45"/>
      <c r="L19" s="59" t="s">
        <v>273</v>
      </c>
      <c r="M19" s="29">
        <v>0</v>
      </c>
      <c r="N19" s="60">
        <v>0</v>
      </c>
      <c r="O19" s="45"/>
      <c r="P19" s="59" t="s">
        <v>274</v>
      </c>
      <c r="Q19" s="29">
        <v>0</v>
      </c>
      <c r="R19" s="60">
        <v>0</v>
      </c>
      <c r="S19" s="45"/>
      <c r="T19" s="59" t="s">
        <v>275</v>
      </c>
      <c r="U19" s="61">
        <v>58</v>
      </c>
      <c r="V19" s="60">
        <v>0</v>
      </c>
      <c r="W19" s="45"/>
      <c r="X19" s="59" t="s">
        <v>276</v>
      </c>
      <c r="Y19" s="29">
        <v>16</v>
      </c>
      <c r="Z19" s="60">
        <v>0</v>
      </c>
      <c r="AA19" s="45"/>
      <c r="AB19" s="59" t="s">
        <v>277</v>
      </c>
      <c r="AC19" s="29">
        <v>0</v>
      </c>
      <c r="AD19" s="60">
        <v>0</v>
      </c>
      <c r="AE19" s="45"/>
      <c r="AF19" s="59" t="s">
        <v>278</v>
      </c>
      <c r="AG19" s="61">
        <v>320</v>
      </c>
      <c r="AH19" s="60">
        <v>1</v>
      </c>
      <c r="AI19" s="45"/>
      <c r="AJ19" s="59" t="s">
        <v>279</v>
      </c>
      <c r="AK19" s="29">
        <v>29</v>
      </c>
      <c r="AL19" s="60">
        <v>1</v>
      </c>
      <c r="AN19" s="420"/>
      <c r="AO19" s="62" t="s">
        <v>152</v>
      </c>
      <c r="AP19" s="63" t="s">
        <v>280</v>
      </c>
      <c r="AQ19" s="27">
        <f t="shared" si="1"/>
        <v>0</v>
      </c>
      <c r="AR19" s="28">
        <f t="shared" si="1"/>
        <v>0</v>
      </c>
      <c r="AS19" s="29">
        <f t="shared" si="2"/>
        <v>74</v>
      </c>
      <c r="AT19" s="29">
        <f t="shared" si="2"/>
        <v>0</v>
      </c>
      <c r="AU19" s="27">
        <f t="shared" si="3"/>
        <v>349</v>
      </c>
      <c r="AV19" s="29">
        <f t="shared" si="3"/>
        <v>2</v>
      </c>
      <c r="AW19" s="48">
        <v>1</v>
      </c>
      <c r="AX19" s="28">
        <f t="shared" si="0"/>
        <v>1</v>
      </c>
    </row>
    <row r="20" spans="1:50" s="57" customFormat="1" ht="133" customHeight="1" x14ac:dyDescent="0.2">
      <c r="B20" s="179" t="s">
        <v>153</v>
      </c>
      <c r="C20" s="82"/>
      <c r="D20" s="50" t="s">
        <v>154</v>
      </c>
      <c r="E20" s="51">
        <v>0</v>
      </c>
      <c r="F20" s="23">
        <v>0</v>
      </c>
      <c r="G20" s="45"/>
      <c r="H20" s="50" t="s">
        <v>155</v>
      </c>
      <c r="I20" s="45">
        <v>0</v>
      </c>
      <c r="J20" s="52">
        <v>0</v>
      </c>
      <c r="K20" s="45"/>
      <c r="L20" s="50" t="s">
        <v>156</v>
      </c>
      <c r="M20" s="45">
        <v>0</v>
      </c>
      <c r="N20" s="52">
        <v>0</v>
      </c>
      <c r="O20" s="45"/>
      <c r="P20" s="50" t="s">
        <v>157</v>
      </c>
      <c r="Q20" s="45">
        <v>0</v>
      </c>
      <c r="R20" s="52">
        <v>0</v>
      </c>
      <c r="S20" s="45"/>
      <c r="T20" s="50" t="s">
        <v>158</v>
      </c>
      <c r="U20" s="56">
        <v>130</v>
      </c>
      <c r="V20" s="52">
        <v>1</v>
      </c>
      <c r="W20" s="45"/>
      <c r="X20" s="50" t="s">
        <v>159</v>
      </c>
      <c r="Y20" s="45">
        <v>4</v>
      </c>
      <c r="Z20" s="52">
        <v>1</v>
      </c>
      <c r="AA20" s="45"/>
      <c r="AB20" s="50" t="s">
        <v>160</v>
      </c>
      <c r="AC20" s="45">
        <v>1</v>
      </c>
      <c r="AD20" s="52">
        <v>1</v>
      </c>
      <c r="AE20" s="45"/>
      <c r="AF20" s="50" t="s">
        <v>161</v>
      </c>
      <c r="AG20" s="45">
        <v>77</v>
      </c>
      <c r="AH20" s="52">
        <v>1</v>
      </c>
      <c r="AI20" s="45"/>
      <c r="AJ20" s="50" t="s">
        <v>162</v>
      </c>
      <c r="AK20" s="45">
        <v>13</v>
      </c>
      <c r="AL20" s="52">
        <v>1</v>
      </c>
      <c r="AN20" s="412" t="s">
        <v>63</v>
      </c>
      <c r="AO20" s="54" t="s">
        <v>152</v>
      </c>
      <c r="AP20" s="24" t="s">
        <v>153</v>
      </c>
      <c r="AQ20" s="43">
        <f t="shared" si="1"/>
        <v>0</v>
      </c>
      <c r="AR20" s="44">
        <f t="shared" si="1"/>
        <v>0</v>
      </c>
      <c r="AS20" s="45">
        <f t="shared" si="2"/>
        <v>134</v>
      </c>
      <c r="AT20" s="45">
        <f t="shared" si="2"/>
        <v>2</v>
      </c>
      <c r="AU20" s="43">
        <f t="shared" si="3"/>
        <v>91</v>
      </c>
      <c r="AV20" s="45">
        <f t="shared" si="3"/>
        <v>3</v>
      </c>
      <c r="AW20" s="64">
        <v>2</v>
      </c>
      <c r="AX20" s="44">
        <f t="shared" si="0"/>
        <v>3</v>
      </c>
    </row>
    <row r="21" spans="1:50" s="57" customFormat="1" ht="117" x14ac:dyDescent="0.2">
      <c r="B21" s="179" t="s">
        <v>281</v>
      </c>
      <c r="C21" s="82"/>
      <c r="D21" s="50" t="s">
        <v>282</v>
      </c>
      <c r="E21" s="45">
        <v>0</v>
      </c>
      <c r="F21" s="52">
        <v>0</v>
      </c>
      <c r="G21" s="45"/>
      <c r="H21" s="50" t="s">
        <v>283</v>
      </c>
      <c r="I21" s="45">
        <v>1</v>
      </c>
      <c r="J21" s="52">
        <v>0</v>
      </c>
      <c r="K21" s="45"/>
      <c r="L21" s="50" t="s">
        <v>284</v>
      </c>
      <c r="M21" s="45">
        <v>10</v>
      </c>
      <c r="N21" s="52">
        <v>0</v>
      </c>
      <c r="O21" s="45"/>
      <c r="P21" s="50" t="s">
        <v>285</v>
      </c>
      <c r="Q21" s="45">
        <v>0</v>
      </c>
      <c r="R21" s="52">
        <v>0</v>
      </c>
      <c r="S21" s="45"/>
      <c r="T21" s="50" t="s">
        <v>286</v>
      </c>
      <c r="U21" s="56">
        <v>162</v>
      </c>
      <c r="V21" s="52">
        <v>0</v>
      </c>
      <c r="W21" s="45"/>
      <c r="X21" s="50" t="s">
        <v>287</v>
      </c>
      <c r="Y21" s="45">
        <v>59</v>
      </c>
      <c r="Z21" s="52">
        <v>0</v>
      </c>
      <c r="AA21" s="45"/>
      <c r="AB21" s="50" t="s">
        <v>288</v>
      </c>
      <c r="AC21" s="45">
        <v>11</v>
      </c>
      <c r="AD21" s="52">
        <v>1</v>
      </c>
      <c r="AE21" s="45"/>
      <c r="AF21" s="50" t="s">
        <v>289</v>
      </c>
      <c r="AG21" s="56">
        <v>915</v>
      </c>
      <c r="AH21" s="52">
        <v>1</v>
      </c>
      <c r="AI21" s="45"/>
      <c r="AJ21" s="50" t="s">
        <v>290</v>
      </c>
      <c r="AK21" s="45">
        <v>319</v>
      </c>
      <c r="AL21" s="52">
        <v>0</v>
      </c>
      <c r="AN21" s="413"/>
      <c r="AO21" s="54" t="s">
        <v>152</v>
      </c>
      <c r="AP21" s="24" t="s">
        <v>281</v>
      </c>
      <c r="AQ21" s="43">
        <f t="shared" si="1"/>
        <v>11</v>
      </c>
      <c r="AR21" s="44">
        <f t="shared" si="1"/>
        <v>0</v>
      </c>
      <c r="AS21" s="45">
        <f t="shared" si="2"/>
        <v>221</v>
      </c>
      <c r="AT21" s="45">
        <f t="shared" si="2"/>
        <v>0</v>
      </c>
      <c r="AU21" s="43">
        <f t="shared" si="3"/>
        <v>1245</v>
      </c>
      <c r="AV21" s="45">
        <f t="shared" si="3"/>
        <v>2</v>
      </c>
      <c r="AW21" s="48">
        <v>1</v>
      </c>
      <c r="AX21" s="44">
        <f t="shared" si="0"/>
        <v>1</v>
      </c>
    </row>
    <row r="22" spans="1:50" s="57" customFormat="1" ht="117" x14ac:dyDescent="0.2">
      <c r="B22" s="179" t="s">
        <v>291</v>
      </c>
      <c r="C22" s="82"/>
      <c r="D22" s="50" t="s">
        <v>292</v>
      </c>
      <c r="E22" s="45">
        <v>0</v>
      </c>
      <c r="F22" s="52">
        <v>0</v>
      </c>
      <c r="G22" s="45"/>
      <c r="H22" s="50" t="s">
        <v>293</v>
      </c>
      <c r="I22" s="45">
        <v>0</v>
      </c>
      <c r="J22" s="52">
        <v>0</v>
      </c>
      <c r="K22" s="45"/>
      <c r="L22" s="50" t="s">
        <v>294</v>
      </c>
      <c r="M22" s="45">
        <v>0</v>
      </c>
      <c r="N22" s="52">
        <v>0</v>
      </c>
      <c r="O22" s="45"/>
      <c r="P22" s="50" t="s">
        <v>295</v>
      </c>
      <c r="Q22" s="45">
        <v>0</v>
      </c>
      <c r="R22" s="52">
        <v>0</v>
      </c>
      <c r="S22" s="45"/>
      <c r="T22" s="50" t="s">
        <v>296</v>
      </c>
      <c r="U22" s="56">
        <v>8</v>
      </c>
      <c r="V22" s="52">
        <v>2</v>
      </c>
      <c r="W22" s="45"/>
      <c r="X22" s="50" t="s">
        <v>297</v>
      </c>
      <c r="Y22" s="45">
        <v>0</v>
      </c>
      <c r="Z22" s="52">
        <v>0</v>
      </c>
      <c r="AA22" s="45"/>
      <c r="AB22" s="50" t="s">
        <v>298</v>
      </c>
      <c r="AC22" s="45">
        <v>0</v>
      </c>
      <c r="AD22" s="52">
        <v>0</v>
      </c>
      <c r="AE22" s="45"/>
      <c r="AF22" s="50" t="s">
        <v>299</v>
      </c>
      <c r="AG22" s="56">
        <v>1</v>
      </c>
      <c r="AH22" s="52">
        <v>0</v>
      </c>
      <c r="AI22" s="45"/>
      <c r="AJ22" s="50" t="s">
        <v>300</v>
      </c>
      <c r="AK22" s="45">
        <v>0</v>
      </c>
      <c r="AL22" s="52">
        <v>0</v>
      </c>
      <c r="AN22" s="413"/>
      <c r="AO22" s="54" t="s">
        <v>152</v>
      </c>
      <c r="AP22" s="24" t="s">
        <v>291</v>
      </c>
      <c r="AQ22" s="43">
        <f t="shared" si="1"/>
        <v>0</v>
      </c>
      <c r="AR22" s="44">
        <f t="shared" si="1"/>
        <v>0</v>
      </c>
      <c r="AS22" s="45">
        <f t="shared" si="2"/>
        <v>8</v>
      </c>
      <c r="AT22" s="45">
        <f t="shared" si="2"/>
        <v>2</v>
      </c>
      <c r="AU22" s="43">
        <f t="shared" si="3"/>
        <v>1</v>
      </c>
      <c r="AV22" s="45">
        <f t="shared" si="3"/>
        <v>0</v>
      </c>
      <c r="AW22" s="48">
        <v>0</v>
      </c>
      <c r="AX22" s="44">
        <f t="shared" si="0"/>
        <v>2</v>
      </c>
    </row>
    <row r="23" spans="1:50" s="65" customFormat="1" ht="117" x14ac:dyDescent="0.2">
      <c r="B23" s="179" t="s">
        <v>301</v>
      </c>
      <c r="C23" s="82"/>
      <c r="D23" s="66" t="s">
        <v>302</v>
      </c>
      <c r="E23" s="45">
        <v>0</v>
      </c>
      <c r="F23" s="52">
        <v>0</v>
      </c>
      <c r="G23" s="67"/>
      <c r="H23" s="66" t="s">
        <v>303</v>
      </c>
      <c r="I23" s="45">
        <v>0</v>
      </c>
      <c r="J23" s="52">
        <v>0</v>
      </c>
      <c r="K23" s="67"/>
      <c r="L23" s="66" t="s">
        <v>304</v>
      </c>
      <c r="M23" s="45">
        <v>0</v>
      </c>
      <c r="N23" s="52">
        <v>0</v>
      </c>
      <c r="O23" s="67"/>
      <c r="P23" s="66" t="s">
        <v>305</v>
      </c>
      <c r="Q23" s="45">
        <v>0</v>
      </c>
      <c r="R23" s="52">
        <v>0</v>
      </c>
      <c r="S23" s="67"/>
      <c r="T23" s="66" t="s">
        <v>306</v>
      </c>
      <c r="U23" s="56">
        <v>82</v>
      </c>
      <c r="V23" s="52">
        <v>0</v>
      </c>
      <c r="W23" s="67"/>
      <c r="X23" s="50" t="s">
        <v>307</v>
      </c>
      <c r="Y23" s="45">
        <v>32</v>
      </c>
      <c r="Z23" s="52">
        <v>0</v>
      </c>
      <c r="AA23" s="67"/>
      <c r="AB23" s="66" t="s">
        <v>308</v>
      </c>
      <c r="AC23" s="45">
        <v>0</v>
      </c>
      <c r="AD23" s="52">
        <v>0</v>
      </c>
      <c r="AE23" s="67"/>
      <c r="AF23" s="50" t="s">
        <v>309</v>
      </c>
      <c r="AG23" s="56">
        <v>451</v>
      </c>
      <c r="AH23" s="52">
        <v>0</v>
      </c>
      <c r="AI23" s="67"/>
      <c r="AJ23" s="50" t="s">
        <v>310</v>
      </c>
      <c r="AK23" s="45">
        <v>7</v>
      </c>
      <c r="AL23" s="52">
        <v>0</v>
      </c>
      <c r="AN23" s="413"/>
      <c r="AO23" s="54" t="s">
        <v>152</v>
      </c>
      <c r="AP23" s="24" t="s">
        <v>301</v>
      </c>
      <c r="AQ23" s="43">
        <f t="shared" si="1"/>
        <v>0</v>
      </c>
      <c r="AR23" s="44">
        <f t="shared" si="1"/>
        <v>0</v>
      </c>
      <c r="AS23" s="45">
        <f t="shared" si="2"/>
        <v>114</v>
      </c>
      <c r="AT23" s="45">
        <f t="shared" si="2"/>
        <v>0</v>
      </c>
      <c r="AU23" s="43">
        <f t="shared" si="3"/>
        <v>458</v>
      </c>
      <c r="AV23" s="45">
        <f t="shared" si="3"/>
        <v>0</v>
      </c>
      <c r="AW23" s="48">
        <v>0</v>
      </c>
      <c r="AX23" s="44">
        <f t="shared" si="0"/>
        <v>0</v>
      </c>
    </row>
    <row r="24" spans="1:50" s="65" customFormat="1" ht="117" x14ac:dyDescent="0.2">
      <c r="B24" s="179" t="s">
        <v>311</v>
      </c>
      <c r="C24" s="82"/>
      <c r="D24" s="66" t="s">
        <v>312</v>
      </c>
      <c r="E24" s="45">
        <v>0</v>
      </c>
      <c r="F24" s="52">
        <v>0</v>
      </c>
      <c r="G24" s="67"/>
      <c r="H24" s="50" t="s">
        <v>313</v>
      </c>
      <c r="I24" s="45">
        <v>10</v>
      </c>
      <c r="J24" s="52">
        <v>0</v>
      </c>
      <c r="K24" s="67"/>
      <c r="L24" s="50" t="s">
        <v>314</v>
      </c>
      <c r="M24" s="45">
        <v>0</v>
      </c>
      <c r="N24" s="52">
        <v>0</v>
      </c>
      <c r="O24" s="67"/>
      <c r="P24" s="66" t="s">
        <v>315</v>
      </c>
      <c r="Q24" s="45">
        <v>1</v>
      </c>
      <c r="R24" s="52">
        <v>0</v>
      </c>
      <c r="S24" s="67"/>
      <c r="T24" s="66" t="s">
        <v>316</v>
      </c>
      <c r="U24" s="56">
        <v>141</v>
      </c>
      <c r="V24" s="52">
        <v>1</v>
      </c>
      <c r="W24" s="67"/>
      <c r="X24" s="50" t="s">
        <v>317</v>
      </c>
      <c r="Y24" s="45">
        <v>4</v>
      </c>
      <c r="Z24" s="52">
        <v>0</v>
      </c>
      <c r="AA24" s="67"/>
      <c r="AB24" s="66" t="s">
        <v>318</v>
      </c>
      <c r="AC24" s="45">
        <v>1</v>
      </c>
      <c r="AD24" s="52">
        <v>0</v>
      </c>
      <c r="AE24" s="67"/>
      <c r="AF24" s="50" t="s">
        <v>319</v>
      </c>
      <c r="AG24" s="45">
        <v>65</v>
      </c>
      <c r="AH24" s="52">
        <v>1</v>
      </c>
      <c r="AI24" s="67"/>
      <c r="AJ24" s="50" t="s">
        <v>320</v>
      </c>
      <c r="AK24" s="45">
        <v>64</v>
      </c>
      <c r="AL24" s="52">
        <v>4</v>
      </c>
      <c r="AN24" s="413"/>
      <c r="AO24" s="54" t="s">
        <v>152</v>
      </c>
      <c r="AP24" s="24" t="s">
        <v>311</v>
      </c>
      <c r="AQ24" s="43">
        <f t="shared" si="1"/>
        <v>10</v>
      </c>
      <c r="AR24" s="44">
        <f t="shared" si="1"/>
        <v>0</v>
      </c>
      <c r="AS24" s="45">
        <f t="shared" si="2"/>
        <v>146</v>
      </c>
      <c r="AT24" s="45">
        <f t="shared" si="2"/>
        <v>1</v>
      </c>
      <c r="AU24" s="43">
        <f t="shared" si="3"/>
        <v>130</v>
      </c>
      <c r="AV24" s="45">
        <f t="shared" si="3"/>
        <v>5</v>
      </c>
      <c r="AW24" s="48">
        <v>1</v>
      </c>
      <c r="AX24" s="44">
        <f t="shared" si="0"/>
        <v>5</v>
      </c>
    </row>
    <row r="25" spans="1:50" s="65" customFormat="1" ht="118" thickBot="1" x14ac:dyDescent="0.25">
      <c r="B25" s="181" t="s">
        <v>321</v>
      </c>
      <c r="C25" s="82"/>
      <c r="D25" s="68" t="s">
        <v>322</v>
      </c>
      <c r="E25" s="69">
        <v>0</v>
      </c>
      <c r="F25" s="70">
        <v>0</v>
      </c>
      <c r="G25" s="71"/>
      <c r="H25" s="72" t="s">
        <v>323</v>
      </c>
      <c r="I25" s="69">
        <v>0</v>
      </c>
      <c r="J25" s="70">
        <v>0</v>
      </c>
      <c r="K25" s="71"/>
      <c r="L25" s="72" t="s">
        <v>323</v>
      </c>
      <c r="M25" s="69">
        <v>0</v>
      </c>
      <c r="N25" s="70">
        <v>0</v>
      </c>
      <c r="O25" s="71"/>
      <c r="P25" s="68" t="s">
        <v>324</v>
      </c>
      <c r="Q25" s="69">
        <v>0</v>
      </c>
      <c r="R25" s="70">
        <v>0</v>
      </c>
      <c r="S25" s="71"/>
      <c r="T25" s="72" t="s">
        <v>325</v>
      </c>
      <c r="U25" s="102">
        <v>144</v>
      </c>
      <c r="V25" s="70">
        <v>0</v>
      </c>
      <c r="W25" s="71"/>
      <c r="X25" s="72" t="s">
        <v>326</v>
      </c>
      <c r="Y25" s="69">
        <v>40</v>
      </c>
      <c r="Z25" s="70">
        <v>0</v>
      </c>
      <c r="AA25" s="67"/>
      <c r="AB25" s="68" t="s">
        <v>327</v>
      </c>
      <c r="AC25" s="69">
        <v>2</v>
      </c>
      <c r="AD25" s="70">
        <v>0</v>
      </c>
      <c r="AE25" s="71"/>
      <c r="AF25" s="72" t="s">
        <v>328</v>
      </c>
      <c r="AG25" s="69">
        <v>294</v>
      </c>
      <c r="AH25" s="70">
        <v>2</v>
      </c>
      <c r="AI25" s="71"/>
      <c r="AJ25" s="72" t="s">
        <v>329</v>
      </c>
      <c r="AK25" s="69">
        <v>55</v>
      </c>
      <c r="AL25" s="70">
        <v>3</v>
      </c>
      <c r="AN25" s="414"/>
      <c r="AO25" s="54" t="s">
        <v>152</v>
      </c>
      <c r="AP25" s="58" t="s">
        <v>321</v>
      </c>
      <c r="AQ25" s="43">
        <f t="shared" si="1"/>
        <v>0</v>
      </c>
      <c r="AR25" s="44">
        <f t="shared" si="1"/>
        <v>0</v>
      </c>
      <c r="AS25" s="45">
        <f t="shared" si="2"/>
        <v>184</v>
      </c>
      <c r="AT25" s="45">
        <f t="shared" si="2"/>
        <v>0</v>
      </c>
      <c r="AU25" s="43">
        <f t="shared" si="3"/>
        <v>351</v>
      </c>
      <c r="AV25" s="29">
        <f t="shared" si="3"/>
        <v>5</v>
      </c>
      <c r="AW25" s="48">
        <v>1</v>
      </c>
      <c r="AX25" s="44">
        <f t="shared" si="0"/>
        <v>4</v>
      </c>
    </row>
    <row r="26" spans="1:50" s="65" customFormat="1" x14ac:dyDescent="0.2">
      <c r="B26" s="20"/>
      <c r="C26" s="24"/>
      <c r="D26" s="99"/>
      <c r="E26" s="67">
        <f>SUM(E6:E25)</f>
        <v>1</v>
      </c>
      <c r="F26" s="67"/>
      <c r="G26" s="67"/>
      <c r="H26" s="67"/>
      <c r="I26" s="100">
        <f>SUM(I6:I25)</f>
        <v>100</v>
      </c>
      <c r="J26" s="100"/>
      <c r="K26" s="100">
        <f>SUM(K6:K25)</f>
        <v>0</v>
      </c>
      <c r="L26" s="100"/>
      <c r="M26" s="100">
        <f>SUM(M6:M25)</f>
        <v>10</v>
      </c>
      <c r="N26" s="100"/>
      <c r="O26" s="100"/>
      <c r="P26" s="100"/>
      <c r="Q26" s="100">
        <f>SUM(Q6:Q25)</f>
        <v>12</v>
      </c>
      <c r="R26" s="100"/>
      <c r="S26" s="100"/>
      <c r="T26" s="100"/>
      <c r="U26" s="100">
        <f>SUM(U6:U25)</f>
        <v>2197</v>
      </c>
      <c r="V26" s="100"/>
      <c r="W26" s="100"/>
      <c r="X26" s="100"/>
      <c r="Y26" s="100">
        <f>SUM(Y6:Y25)</f>
        <v>401</v>
      </c>
      <c r="Z26" s="100"/>
      <c r="AA26" s="100"/>
      <c r="AB26" s="100"/>
      <c r="AC26" s="100">
        <f>SUM(AC6:AC25)</f>
        <v>28</v>
      </c>
      <c r="AD26" s="100"/>
      <c r="AE26" s="100"/>
      <c r="AF26" s="100"/>
      <c r="AG26" s="100">
        <f>SUM(AG6:AG25)</f>
        <v>5512</v>
      </c>
      <c r="AH26" s="100"/>
      <c r="AI26" s="100"/>
      <c r="AJ26" s="100"/>
      <c r="AK26" s="100">
        <f>SUM(AK6:AK25)</f>
        <v>735</v>
      </c>
      <c r="AL26" s="73"/>
      <c r="AN26" s="74"/>
      <c r="AO26" s="75" t="s">
        <v>330</v>
      </c>
      <c r="AP26" s="76"/>
      <c r="AQ26" s="77">
        <f t="shared" ref="AQ26:AW26" si="4">SUM(AQ6:AQ25)</f>
        <v>111</v>
      </c>
      <c r="AR26" s="78">
        <f t="shared" si="4"/>
        <v>2</v>
      </c>
      <c r="AS26" s="77">
        <f t="shared" si="4"/>
        <v>2610</v>
      </c>
      <c r="AT26" s="79">
        <f t="shared" si="4"/>
        <v>17</v>
      </c>
      <c r="AU26" s="80">
        <f t="shared" si="4"/>
        <v>6275</v>
      </c>
      <c r="AV26" s="78">
        <f t="shared" si="4"/>
        <v>49</v>
      </c>
      <c r="AW26" s="81">
        <f t="shared" si="4"/>
        <v>18</v>
      </c>
      <c r="AX26" s="104">
        <f>SUM(AX6:AX25)</f>
        <v>50</v>
      </c>
    </row>
    <row r="27" spans="1:50" s="65" customFormat="1" ht="17" customHeight="1" thickBot="1" x14ac:dyDescent="0.25">
      <c r="B27" s="20"/>
      <c r="C27" s="24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45"/>
      <c r="R27" s="45"/>
      <c r="S27" s="67"/>
      <c r="T27" s="67"/>
      <c r="U27" s="67"/>
      <c r="V27" s="67"/>
      <c r="W27" s="67"/>
      <c r="X27" s="45"/>
      <c r="Y27" s="45"/>
      <c r="Z27" s="45"/>
      <c r="AA27" s="67"/>
      <c r="AB27" s="67"/>
      <c r="AC27" s="67"/>
      <c r="AD27" s="73"/>
      <c r="AE27" s="73"/>
      <c r="AF27" s="73"/>
      <c r="AG27" s="73"/>
      <c r="AH27" s="73"/>
      <c r="AI27" s="73"/>
      <c r="AJ27" s="73"/>
      <c r="AK27" s="73"/>
      <c r="AL27" s="73"/>
      <c r="AN27" s="82"/>
      <c r="AP27" s="83"/>
      <c r="AQ27" s="45"/>
      <c r="AR27" s="45"/>
      <c r="AS27" s="401" t="s">
        <v>410</v>
      </c>
      <c r="AT27" s="401"/>
      <c r="AU27" s="401"/>
      <c r="AV27" s="402"/>
      <c r="AW27" s="64"/>
      <c r="AX27" s="105">
        <v>-5</v>
      </c>
    </row>
    <row r="28" spans="1:50" s="65" customFormat="1" ht="14" thickBot="1" x14ac:dyDescent="0.25">
      <c r="B28" s="20"/>
      <c r="C28" s="24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45"/>
      <c r="R28" s="45"/>
      <c r="S28" s="67"/>
      <c r="T28" s="67"/>
      <c r="U28" s="67"/>
      <c r="V28" s="67"/>
      <c r="W28" s="67"/>
      <c r="X28" s="45"/>
      <c r="Y28" s="45"/>
      <c r="Z28" s="45"/>
      <c r="AA28" s="67"/>
      <c r="AB28" s="67"/>
      <c r="AC28" s="67"/>
      <c r="AD28" s="73"/>
      <c r="AE28" s="73"/>
      <c r="AF28" s="73"/>
      <c r="AG28" s="73"/>
      <c r="AH28" s="73"/>
      <c r="AI28" s="73"/>
      <c r="AJ28" s="73"/>
      <c r="AK28" s="73"/>
      <c r="AL28" s="73"/>
      <c r="AN28" s="84"/>
      <c r="AO28" s="85"/>
      <c r="AP28" s="86"/>
      <c r="AQ28" s="69"/>
      <c r="AR28" s="69"/>
      <c r="AS28" s="69"/>
      <c r="AT28" s="69"/>
      <c r="AU28" s="87"/>
      <c r="AV28" s="97" t="s">
        <v>132</v>
      </c>
      <c r="AW28" s="98"/>
      <c r="AX28" s="106">
        <f>SUM(AX6:AX25)+AX27</f>
        <v>45</v>
      </c>
    </row>
    <row r="29" spans="1:50" s="65" customFormat="1" x14ac:dyDescent="0.2">
      <c r="B29" s="20"/>
      <c r="C29" s="24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45"/>
      <c r="R29" s="45"/>
      <c r="S29" s="67"/>
      <c r="T29" s="67"/>
      <c r="U29" s="67"/>
      <c r="V29" s="67"/>
      <c r="W29" s="67"/>
      <c r="X29" s="45"/>
      <c r="Y29" s="45"/>
      <c r="Z29" s="45"/>
      <c r="AA29" s="67"/>
      <c r="AB29" s="67"/>
      <c r="AC29" s="67"/>
      <c r="AD29" s="73"/>
      <c r="AE29" s="73"/>
      <c r="AF29" s="73"/>
      <c r="AG29" s="73"/>
      <c r="AH29" s="73"/>
      <c r="AI29" s="73"/>
      <c r="AJ29" s="73"/>
      <c r="AK29" s="73"/>
      <c r="AL29" s="73"/>
      <c r="AQ29" s="73"/>
      <c r="AR29" s="73"/>
      <c r="AS29" s="73"/>
      <c r="AT29" s="73"/>
      <c r="AU29" s="73"/>
      <c r="AV29" s="73"/>
      <c r="AW29" s="22"/>
    </row>
    <row r="30" spans="1:50" s="65" customFormat="1" x14ac:dyDescent="0.2">
      <c r="A30" s="88" t="s">
        <v>331</v>
      </c>
      <c r="B30" s="20"/>
      <c r="C30" s="24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45"/>
      <c r="R30" s="45"/>
      <c r="S30" s="67"/>
      <c r="T30" s="67"/>
      <c r="U30" s="67"/>
      <c r="V30" s="67"/>
      <c r="W30" s="67"/>
      <c r="X30" s="45"/>
      <c r="Y30" s="45"/>
      <c r="Z30" s="45"/>
      <c r="AA30" s="67"/>
      <c r="AB30" s="67"/>
      <c r="AC30" s="67"/>
      <c r="AD30" s="73"/>
      <c r="AE30" s="73"/>
      <c r="AF30" s="73"/>
      <c r="AG30" s="73"/>
      <c r="AH30" s="73"/>
      <c r="AI30" s="73"/>
      <c r="AJ30" s="73"/>
      <c r="AK30" s="73"/>
      <c r="AL30" s="73"/>
      <c r="AQ30" s="73"/>
      <c r="AR30" s="73"/>
      <c r="AS30" s="73"/>
      <c r="AT30" s="73"/>
      <c r="AU30" s="73"/>
      <c r="AV30" s="73"/>
      <c r="AW30" s="22"/>
    </row>
    <row r="31" spans="1:50" s="65" customFormat="1" x14ac:dyDescent="0.2">
      <c r="B31" s="20"/>
      <c r="C31" s="24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45"/>
      <c r="R31" s="45"/>
      <c r="S31" s="67"/>
      <c r="T31" s="67"/>
      <c r="U31" s="67"/>
      <c r="V31" s="67"/>
      <c r="W31" s="67"/>
      <c r="X31" s="45"/>
      <c r="Y31" s="45"/>
      <c r="Z31" s="45"/>
      <c r="AA31" s="67"/>
      <c r="AB31" s="67"/>
      <c r="AC31" s="67"/>
      <c r="AD31" s="73"/>
      <c r="AE31" s="73"/>
      <c r="AF31" s="73"/>
      <c r="AG31" s="73"/>
      <c r="AH31" s="73"/>
      <c r="AI31" s="73"/>
      <c r="AJ31" s="73"/>
      <c r="AK31" s="73"/>
      <c r="AL31" s="73"/>
      <c r="AQ31" s="73"/>
      <c r="AR31" s="73"/>
      <c r="AS31" s="73"/>
      <c r="AT31" s="73"/>
      <c r="AU31" s="73"/>
      <c r="AV31" s="73"/>
      <c r="AW31" s="22"/>
    </row>
    <row r="32" spans="1:50" s="65" customFormat="1" x14ac:dyDescent="0.2">
      <c r="A32" s="88" t="s">
        <v>332</v>
      </c>
      <c r="B32" s="20"/>
      <c r="C32" s="24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45"/>
      <c r="R32" s="45"/>
      <c r="S32" s="67"/>
      <c r="T32" s="67"/>
      <c r="U32" s="67"/>
      <c r="V32" s="67"/>
      <c r="W32" s="67"/>
      <c r="X32" s="45"/>
      <c r="Y32" s="45"/>
      <c r="Z32" s="45"/>
      <c r="AA32" s="67"/>
      <c r="AB32" s="67"/>
      <c r="AC32" s="67"/>
      <c r="AD32" s="73"/>
      <c r="AE32" s="73"/>
      <c r="AF32" s="73"/>
      <c r="AG32" s="73"/>
      <c r="AH32" s="73"/>
      <c r="AI32" s="73"/>
      <c r="AJ32" s="73"/>
      <c r="AK32" s="73"/>
      <c r="AL32" s="73"/>
      <c r="AQ32" s="73"/>
      <c r="AR32" s="73"/>
      <c r="AS32" s="73"/>
      <c r="AT32" s="73"/>
      <c r="AU32" s="73"/>
      <c r="AV32" s="73"/>
      <c r="AW32" s="22"/>
    </row>
    <row r="33" spans="2:49" s="65" customFormat="1" x14ac:dyDescent="0.2">
      <c r="B33" s="20"/>
      <c r="C33" s="24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45"/>
      <c r="R33" s="45"/>
      <c r="S33" s="67"/>
      <c r="T33" s="67"/>
      <c r="U33" s="67"/>
      <c r="V33" s="67"/>
      <c r="W33" s="67"/>
      <c r="X33" s="45"/>
      <c r="Y33" s="45"/>
      <c r="Z33" s="45"/>
      <c r="AA33" s="67"/>
      <c r="AB33" s="67"/>
      <c r="AC33" s="67"/>
      <c r="AD33" s="73"/>
      <c r="AE33" s="73"/>
      <c r="AF33" s="73"/>
      <c r="AG33" s="73"/>
      <c r="AH33" s="73"/>
      <c r="AI33" s="73"/>
      <c r="AJ33" s="73"/>
      <c r="AK33" s="73"/>
      <c r="AL33" s="73"/>
      <c r="AQ33" s="73"/>
      <c r="AR33" s="73"/>
      <c r="AS33" s="73"/>
      <c r="AT33" s="73"/>
      <c r="AU33" s="73"/>
      <c r="AV33" s="73"/>
      <c r="AW33" s="22"/>
    </row>
    <row r="34" spans="2:49" x14ac:dyDescent="0.15">
      <c r="B34" s="19"/>
      <c r="C34" s="184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45"/>
      <c r="R34" s="45"/>
      <c r="S34" s="89"/>
      <c r="T34" s="89"/>
      <c r="U34" s="89"/>
      <c r="V34" s="89"/>
      <c r="W34" s="89"/>
      <c r="X34" s="45"/>
      <c r="Y34" s="45"/>
      <c r="Z34" s="45"/>
      <c r="AA34" s="89"/>
      <c r="AB34" s="89"/>
      <c r="AC34" s="89"/>
      <c r="AD34" s="19"/>
      <c r="AE34" s="19"/>
      <c r="AF34" s="19"/>
      <c r="AG34" s="19"/>
      <c r="AH34" s="19"/>
      <c r="AI34" s="19"/>
      <c r="AJ34" s="19"/>
      <c r="AK34" s="19"/>
      <c r="AL34" s="19"/>
      <c r="AQ34" s="19"/>
      <c r="AR34" s="19"/>
      <c r="AS34" s="19"/>
      <c r="AT34" s="19"/>
      <c r="AU34" s="19"/>
      <c r="AV34" s="19"/>
      <c r="AW34" s="19"/>
    </row>
    <row r="35" spans="2:49" x14ac:dyDescent="0.15">
      <c r="B35" s="19"/>
      <c r="C35" s="184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45"/>
      <c r="R35" s="45"/>
      <c r="S35" s="89"/>
      <c r="T35" s="89"/>
      <c r="U35" s="89"/>
      <c r="V35" s="89"/>
      <c r="W35" s="89"/>
      <c r="X35" s="45"/>
      <c r="Y35" s="45"/>
      <c r="Z35" s="45"/>
      <c r="AA35" s="89"/>
      <c r="AB35" s="89"/>
      <c r="AC35" s="89"/>
      <c r="AD35" s="19"/>
      <c r="AE35" s="19"/>
      <c r="AF35" s="19"/>
      <c r="AG35" s="19"/>
      <c r="AH35" s="19"/>
      <c r="AI35" s="19"/>
      <c r="AJ35" s="19"/>
      <c r="AK35" s="19"/>
      <c r="AL35" s="19"/>
      <c r="AQ35" s="19"/>
      <c r="AR35" s="19"/>
      <c r="AS35" s="19"/>
      <c r="AT35" s="19"/>
      <c r="AU35" s="19"/>
      <c r="AV35" s="19"/>
      <c r="AW35" s="19"/>
    </row>
    <row r="36" spans="2:49" x14ac:dyDescent="0.15">
      <c r="B36" s="19"/>
      <c r="C36" s="184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45"/>
      <c r="R36" s="45"/>
      <c r="S36" s="89"/>
      <c r="T36" s="89"/>
      <c r="U36" s="89"/>
      <c r="V36" s="89"/>
      <c r="W36" s="89"/>
      <c r="X36" s="45"/>
      <c r="Y36" s="45"/>
      <c r="Z36" s="45"/>
      <c r="AA36" s="89"/>
      <c r="AB36" s="89"/>
      <c r="AC36" s="89"/>
      <c r="AD36" s="19"/>
      <c r="AE36" s="19"/>
      <c r="AF36" s="19"/>
      <c r="AG36" s="19"/>
      <c r="AH36" s="19"/>
      <c r="AI36" s="19"/>
      <c r="AJ36" s="19"/>
      <c r="AK36" s="19"/>
      <c r="AL36" s="19"/>
      <c r="AQ36" s="19"/>
      <c r="AR36" s="19"/>
      <c r="AS36" s="19"/>
      <c r="AT36" s="19"/>
      <c r="AU36" s="19"/>
      <c r="AV36" s="19"/>
      <c r="AW36" s="19"/>
    </row>
    <row r="37" spans="2:49" x14ac:dyDescent="0.15">
      <c r="B37" s="19"/>
      <c r="C37" s="184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45"/>
      <c r="R37" s="45"/>
      <c r="S37" s="89"/>
      <c r="T37" s="89"/>
      <c r="U37" s="89"/>
      <c r="V37" s="89"/>
      <c r="W37" s="89"/>
      <c r="X37" s="45"/>
      <c r="Y37" s="45"/>
      <c r="Z37" s="45"/>
      <c r="AA37" s="89"/>
      <c r="AB37" s="89"/>
      <c r="AC37" s="89"/>
      <c r="AD37" s="19"/>
      <c r="AE37" s="19"/>
      <c r="AF37" s="19"/>
      <c r="AG37" s="19"/>
      <c r="AH37" s="19"/>
      <c r="AI37" s="19"/>
      <c r="AJ37" s="19"/>
      <c r="AK37" s="19"/>
      <c r="AL37" s="19"/>
      <c r="AQ37" s="19"/>
      <c r="AR37" s="19"/>
      <c r="AS37" s="19"/>
      <c r="AT37" s="19"/>
      <c r="AU37" s="19"/>
      <c r="AV37" s="19"/>
      <c r="AW37" s="19"/>
    </row>
  </sheetData>
  <mergeCells count="22">
    <mergeCell ref="AN20:AN25"/>
    <mergeCell ref="AQ3:AR3"/>
    <mergeCell ref="AS3:AT3"/>
    <mergeCell ref="AJ4:AL4"/>
    <mergeCell ref="AO4:AP5"/>
    <mergeCell ref="AN6:AN19"/>
    <mergeCell ref="AW3:AX3"/>
    <mergeCell ref="B1:N1"/>
    <mergeCell ref="AS27:AV27"/>
    <mergeCell ref="AU3:AV3"/>
    <mergeCell ref="D4:F4"/>
    <mergeCell ref="H4:J4"/>
    <mergeCell ref="L4:N4"/>
    <mergeCell ref="P4:R4"/>
    <mergeCell ref="T4:V4"/>
    <mergeCell ref="X4:Z4"/>
    <mergeCell ref="AB4:AD4"/>
    <mergeCell ref="AF4:AH4"/>
    <mergeCell ref="D3:N3"/>
    <mergeCell ref="P3:Z3"/>
    <mergeCell ref="AB3:AL3"/>
    <mergeCell ref="AO3:AP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 enableFormatConditionsCalculation="0"/>
  <dimension ref="A1:P28"/>
  <sheetViews>
    <sheetView showGridLines="0" workbookViewId="0">
      <selection activeCell="O10" sqref="O10"/>
    </sheetView>
  </sheetViews>
  <sheetFormatPr baseColWidth="10" defaultRowHeight="16" x14ac:dyDescent="0.2"/>
  <cols>
    <col min="1" max="1" width="10.83203125" style="139"/>
    <col min="2" max="2" width="3.33203125" style="139" customWidth="1"/>
    <col min="3" max="3" width="4.5" style="139" customWidth="1"/>
    <col min="4" max="4" width="28.83203125" style="139" bestFit="1" customWidth="1"/>
    <col min="5" max="10" width="9.5" style="139" customWidth="1"/>
    <col min="11" max="12" width="12.1640625" style="139" customWidth="1"/>
    <col min="13" max="14" width="10.83203125" style="139"/>
    <col min="15" max="15" width="22.6640625" style="139" bestFit="1" customWidth="1"/>
    <col min="16" max="16384" width="10.83203125" style="139"/>
  </cols>
  <sheetData>
    <row r="1" spans="1:16" ht="100" customHeight="1" x14ac:dyDescent="0.2">
      <c r="B1" s="398" t="s">
        <v>704</v>
      </c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193"/>
    </row>
    <row r="2" spans="1:16" ht="31" customHeight="1" thickBot="1" x14ac:dyDescent="0.25">
      <c r="O2" s="193"/>
    </row>
    <row r="3" spans="1:16" ht="20" customHeight="1" thickBot="1" x14ac:dyDescent="0.25">
      <c r="A3" s="342"/>
      <c r="B3" s="314"/>
      <c r="C3" s="430" t="s">
        <v>130</v>
      </c>
      <c r="D3" s="431"/>
      <c r="E3" s="432" t="s">
        <v>131</v>
      </c>
      <c r="F3" s="433"/>
      <c r="G3" s="432" t="s">
        <v>128</v>
      </c>
      <c r="H3" s="433"/>
      <c r="I3" s="432" t="s">
        <v>129</v>
      </c>
      <c r="J3" s="434"/>
      <c r="K3" s="421" t="s">
        <v>132</v>
      </c>
      <c r="L3" s="422"/>
      <c r="O3" s="193"/>
    </row>
    <row r="4" spans="1:16" ht="33" customHeight="1" x14ac:dyDescent="0.2">
      <c r="A4" s="342"/>
      <c r="B4" s="315"/>
      <c r="C4" s="426" t="s">
        <v>728</v>
      </c>
      <c r="D4" s="427"/>
      <c r="E4" s="146" t="s">
        <v>141</v>
      </c>
      <c r="F4" s="147" t="s">
        <v>138</v>
      </c>
      <c r="G4" s="148" t="s">
        <v>141</v>
      </c>
      <c r="H4" s="148" t="s">
        <v>138</v>
      </c>
      <c r="I4" s="146" t="s">
        <v>141</v>
      </c>
      <c r="J4" s="148" t="s">
        <v>138</v>
      </c>
      <c r="K4" s="186" t="s">
        <v>729</v>
      </c>
      <c r="L4" s="318" t="s">
        <v>139</v>
      </c>
      <c r="O4" s="192"/>
      <c r="P4" s="205"/>
    </row>
    <row r="5" spans="1:16" ht="16" customHeight="1" x14ac:dyDescent="0.2">
      <c r="A5" s="342"/>
      <c r="B5" s="423" t="s">
        <v>62</v>
      </c>
      <c r="C5" s="316" t="s">
        <v>152</v>
      </c>
      <c r="D5" s="317" t="s">
        <v>333</v>
      </c>
      <c r="E5" s="142">
        <f>'1.3.1 Suchstrings'!E6+'1.3.1 Suchstrings'!I6+'1.3.1 Suchstrings'!M6</f>
        <v>2</v>
      </c>
      <c r="F5" s="143">
        <f>'1.3.1 Suchstrings'!F6+'1.3.1 Suchstrings'!J6+'1.3.1 Suchstrings'!O6</f>
        <v>0</v>
      </c>
      <c r="G5" s="144">
        <f>'1.3.1 Suchstrings'!Q6+'1.3.1 Suchstrings'!U6+'1.3.1 Suchstrings'!Y6</f>
        <v>141</v>
      </c>
      <c r="H5" s="144">
        <f>'1.3.1 Suchstrings'!R6+'1.3.1 Suchstrings'!V6+'1.3.1 Suchstrings'!Z6</f>
        <v>0</v>
      </c>
      <c r="I5" s="142">
        <f>'1.3.1 Suchstrings'!AC6+'1.3.1 Suchstrings'!AG6+'1.3.1 Suchstrings'!AK6</f>
        <v>176</v>
      </c>
      <c r="J5" s="144">
        <f>'1.3.1 Suchstrings'!AD6+'1.3.1 Suchstrings'!AH6+'1.3.1 Suchstrings'!AL6</f>
        <v>6</v>
      </c>
      <c r="K5" s="187">
        <f>'1.3.1 Suchstrings'!AW6</f>
        <v>2</v>
      </c>
      <c r="L5" s="319">
        <f t="shared" ref="L5:L24" si="0">F5+H5+J5-K5</f>
        <v>4</v>
      </c>
      <c r="O5" s="192"/>
      <c r="P5" s="205"/>
    </row>
    <row r="6" spans="1:16" x14ac:dyDescent="0.2">
      <c r="A6" s="342"/>
      <c r="B6" s="424"/>
      <c r="C6" s="310" t="s">
        <v>152</v>
      </c>
      <c r="D6" s="311" t="s">
        <v>335</v>
      </c>
      <c r="E6" s="142">
        <f>'1.3.1 Suchstrings'!E7+'1.3.1 Suchstrings'!I7+'1.3.1 Suchstrings'!M7</f>
        <v>0</v>
      </c>
      <c r="F6" s="143">
        <f>'1.3.1 Suchstrings'!F7+'1.3.1 Suchstrings'!J7+'1.3.1 Suchstrings'!O7</f>
        <v>0</v>
      </c>
      <c r="G6" s="144">
        <f>'1.3.1 Suchstrings'!Q7+'1.3.1 Suchstrings'!U7+'1.3.1 Suchstrings'!Y7</f>
        <v>35</v>
      </c>
      <c r="H6" s="144">
        <f>'1.3.1 Suchstrings'!R7+'1.3.1 Suchstrings'!V7+'1.3.1 Suchstrings'!Z7</f>
        <v>2</v>
      </c>
      <c r="I6" s="142">
        <f>'1.3.1 Suchstrings'!AC7+'1.3.1 Suchstrings'!AG7+'1.3.1 Suchstrings'!AK7</f>
        <v>91</v>
      </c>
      <c r="J6" s="144">
        <f>'1.3.1 Suchstrings'!AD7+'1.3.1 Suchstrings'!AH7+'1.3.1 Suchstrings'!AL7</f>
        <v>4</v>
      </c>
      <c r="K6" s="187">
        <f>'1.3.1 Suchstrings'!AW7</f>
        <v>1</v>
      </c>
      <c r="L6" s="319">
        <f t="shared" si="0"/>
        <v>5</v>
      </c>
      <c r="O6" s="192"/>
      <c r="P6" s="205"/>
    </row>
    <row r="7" spans="1:16" x14ac:dyDescent="0.2">
      <c r="A7" s="342"/>
      <c r="B7" s="424"/>
      <c r="C7" s="310" t="s">
        <v>152</v>
      </c>
      <c r="D7" s="311" t="s">
        <v>337</v>
      </c>
      <c r="E7" s="142">
        <f>'1.3.1 Suchstrings'!E8+'1.3.1 Suchstrings'!I8+'1.3.1 Suchstrings'!M8</f>
        <v>0</v>
      </c>
      <c r="F7" s="143">
        <f>'1.3.1 Suchstrings'!F8+'1.3.1 Suchstrings'!J8+'1.3.1 Suchstrings'!O8</f>
        <v>0</v>
      </c>
      <c r="G7" s="144">
        <f>'1.3.1 Suchstrings'!Q8+'1.3.1 Suchstrings'!U8+'1.3.1 Suchstrings'!Y8</f>
        <v>203</v>
      </c>
      <c r="H7" s="144">
        <f>'1.3.1 Suchstrings'!R8+'1.3.1 Suchstrings'!V8+'1.3.1 Suchstrings'!Z8</f>
        <v>5</v>
      </c>
      <c r="I7" s="142">
        <f>'1.3.1 Suchstrings'!AC8+'1.3.1 Suchstrings'!AG8+'1.3.1 Suchstrings'!AK8</f>
        <v>122</v>
      </c>
      <c r="J7" s="144">
        <f>'1.3.1 Suchstrings'!AD8+'1.3.1 Suchstrings'!AH8+'1.3.1 Suchstrings'!AL8</f>
        <v>7</v>
      </c>
      <c r="K7" s="187">
        <f>'1.3.1 Suchstrings'!AW8</f>
        <v>3</v>
      </c>
      <c r="L7" s="319">
        <f t="shared" si="0"/>
        <v>9</v>
      </c>
      <c r="O7" s="192"/>
      <c r="P7" s="205"/>
    </row>
    <row r="8" spans="1:16" x14ac:dyDescent="0.2">
      <c r="A8" s="342"/>
      <c r="B8" s="424"/>
      <c r="C8" s="310" t="s">
        <v>152</v>
      </c>
      <c r="D8" s="311" t="s">
        <v>339</v>
      </c>
      <c r="E8" s="142">
        <f>'1.3.1 Suchstrings'!E9+'1.3.1 Suchstrings'!I9+'1.3.1 Suchstrings'!M9</f>
        <v>18</v>
      </c>
      <c r="F8" s="143">
        <f>'1.3.1 Suchstrings'!F9+'1.3.1 Suchstrings'!J9+'1.3.1 Suchstrings'!O9</f>
        <v>0</v>
      </c>
      <c r="G8" s="144">
        <f>'1.3.1 Suchstrings'!Q9+'1.3.1 Suchstrings'!U9+'1.3.1 Suchstrings'!Y9</f>
        <v>203</v>
      </c>
      <c r="H8" s="144">
        <f>'1.3.1 Suchstrings'!R9+'1.3.1 Suchstrings'!V9+'1.3.1 Suchstrings'!Z9</f>
        <v>0</v>
      </c>
      <c r="I8" s="142">
        <f>'1.3.1 Suchstrings'!AC9+'1.3.1 Suchstrings'!AG9+'1.3.1 Suchstrings'!AK9</f>
        <v>0</v>
      </c>
      <c r="J8" s="144">
        <f>'1.3.1 Suchstrings'!AD9+'1.3.1 Suchstrings'!AH9+'1.3.1 Suchstrings'!AL9</f>
        <v>0</v>
      </c>
      <c r="K8" s="187">
        <f>'1.3.1 Suchstrings'!AW9</f>
        <v>0</v>
      </c>
      <c r="L8" s="319">
        <f t="shared" si="0"/>
        <v>0</v>
      </c>
      <c r="O8" s="192"/>
      <c r="P8" s="205"/>
    </row>
    <row r="9" spans="1:16" x14ac:dyDescent="0.2">
      <c r="A9" s="342"/>
      <c r="B9" s="424"/>
      <c r="C9" s="310" t="s">
        <v>152</v>
      </c>
      <c r="D9" s="311" t="s">
        <v>340</v>
      </c>
      <c r="E9" s="142">
        <f>'1.3.1 Suchstrings'!E10+'1.3.1 Suchstrings'!I10+'1.3.1 Suchstrings'!M10</f>
        <v>0</v>
      </c>
      <c r="F9" s="143">
        <f>'1.3.1 Suchstrings'!F10+'1.3.1 Suchstrings'!J10+'1.3.1 Suchstrings'!O10</f>
        <v>0</v>
      </c>
      <c r="G9" s="144">
        <f>'1.3.1 Suchstrings'!Q10+'1.3.1 Suchstrings'!U10+'1.3.1 Suchstrings'!Y10</f>
        <v>48</v>
      </c>
      <c r="H9" s="144">
        <f>'1.3.1 Suchstrings'!R10+'1.3.1 Suchstrings'!V10+'1.3.1 Suchstrings'!Z10</f>
        <v>1</v>
      </c>
      <c r="I9" s="142">
        <f>'1.3.1 Suchstrings'!AC10+'1.3.1 Suchstrings'!AG10+'1.3.1 Suchstrings'!AK10</f>
        <v>257</v>
      </c>
      <c r="J9" s="144">
        <f>'1.3.1 Suchstrings'!AD10+'1.3.1 Suchstrings'!AH10+'1.3.1 Suchstrings'!AL10</f>
        <v>2</v>
      </c>
      <c r="K9" s="187">
        <f>'1.3.1 Suchstrings'!AW10</f>
        <v>1</v>
      </c>
      <c r="L9" s="319">
        <f t="shared" si="0"/>
        <v>2</v>
      </c>
      <c r="O9" s="192"/>
      <c r="P9" s="205"/>
    </row>
    <row r="10" spans="1:16" x14ac:dyDescent="0.2">
      <c r="A10" s="342"/>
      <c r="B10" s="424"/>
      <c r="C10" s="310" t="s">
        <v>152</v>
      </c>
      <c r="D10" s="311" t="s">
        <v>342</v>
      </c>
      <c r="E10" s="142">
        <f>'1.3.1 Suchstrings'!E11+'1.3.1 Suchstrings'!I11+'1.3.1 Suchstrings'!M11</f>
        <v>0</v>
      </c>
      <c r="F10" s="143">
        <f>'1.3.1 Suchstrings'!F11+'1.3.1 Suchstrings'!J11+'1.3.1 Suchstrings'!O11</f>
        <v>0</v>
      </c>
      <c r="G10" s="144">
        <f>'1.3.1 Suchstrings'!Q11+'1.3.1 Suchstrings'!U11+'1.3.1 Suchstrings'!Y11</f>
        <v>1</v>
      </c>
      <c r="H10" s="144">
        <f>'1.3.1 Suchstrings'!R11+'1.3.1 Suchstrings'!V11+'1.3.1 Suchstrings'!Z11</f>
        <v>0</v>
      </c>
      <c r="I10" s="142">
        <f>'1.3.1 Suchstrings'!AC11+'1.3.1 Suchstrings'!AG11+'1.3.1 Suchstrings'!AK11</f>
        <v>11</v>
      </c>
      <c r="J10" s="144">
        <f>'1.3.1 Suchstrings'!AD11+'1.3.1 Suchstrings'!AH11+'1.3.1 Suchstrings'!AL11</f>
        <v>1</v>
      </c>
      <c r="K10" s="187">
        <f>'1.3.1 Suchstrings'!AW11</f>
        <v>0</v>
      </c>
      <c r="L10" s="319">
        <f t="shared" si="0"/>
        <v>1</v>
      </c>
      <c r="O10" s="192"/>
      <c r="P10" s="205"/>
    </row>
    <row r="11" spans="1:16" x14ac:dyDescent="0.2">
      <c r="A11" s="342"/>
      <c r="B11" s="424"/>
      <c r="C11" s="310" t="s">
        <v>152</v>
      </c>
      <c r="D11" s="311" t="s">
        <v>344</v>
      </c>
      <c r="E11" s="142">
        <f>'1.3.1 Suchstrings'!E12+'1.3.1 Suchstrings'!I12+'1.3.1 Suchstrings'!M12</f>
        <v>0</v>
      </c>
      <c r="F11" s="143">
        <f>'1.3.1 Suchstrings'!F12+'1.3.1 Suchstrings'!J12+'1.3.1 Suchstrings'!O12</f>
        <v>0</v>
      </c>
      <c r="G11" s="144">
        <f>'1.3.1 Suchstrings'!Q12+'1.3.1 Suchstrings'!U12+'1.3.1 Suchstrings'!Y12</f>
        <v>239</v>
      </c>
      <c r="H11" s="144">
        <f>'1.3.1 Suchstrings'!R12+'1.3.1 Suchstrings'!V12+'1.3.1 Suchstrings'!Z12</f>
        <v>1</v>
      </c>
      <c r="I11" s="142">
        <f>'1.3.1 Suchstrings'!AC12+'1.3.1 Suchstrings'!AG12+'1.3.1 Suchstrings'!AK12</f>
        <v>233</v>
      </c>
      <c r="J11" s="144">
        <f>'1.3.1 Suchstrings'!AD12+'1.3.1 Suchstrings'!AH12+'1.3.1 Suchstrings'!AL12</f>
        <v>7</v>
      </c>
      <c r="K11" s="187">
        <f>'1.3.1 Suchstrings'!AW12</f>
        <v>2</v>
      </c>
      <c r="L11" s="319">
        <f t="shared" si="0"/>
        <v>6</v>
      </c>
      <c r="O11" s="192"/>
      <c r="P11" s="205"/>
    </row>
    <row r="12" spans="1:16" x14ac:dyDescent="0.2">
      <c r="A12" s="342"/>
      <c r="B12" s="424"/>
      <c r="C12" s="310" t="s">
        <v>152</v>
      </c>
      <c r="D12" s="311" t="s">
        <v>345</v>
      </c>
      <c r="E12" s="142">
        <f>'1.3.1 Suchstrings'!E13+'1.3.1 Suchstrings'!I13+'1.3.1 Suchstrings'!M13</f>
        <v>35</v>
      </c>
      <c r="F12" s="143">
        <f>'1.3.1 Suchstrings'!F13+'1.3.1 Suchstrings'!J13+'1.3.1 Suchstrings'!O13</f>
        <v>0</v>
      </c>
      <c r="G12" s="144">
        <f>'1.3.1 Suchstrings'!Q13+'1.3.1 Suchstrings'!U13+'1.3.1 Suchstrings'!Y13</f>
        <v>373</v>
      </c>
      <c r="H12" s="144">
        <f>'1.3.1 Suchstrings'!R13+'1.3.1 Suchstrings'!V13+'1.3.1 Suchstrings'!Z13</f>
        <v>1</v>
      </c>
      <c r="I12" s="142">
        <f>'1.3.1 Suchstrings'!AC13+'1.3.1 Suchstrings'!AG13+'1.3.1 Suchstrings'!AK13</f>
        <v>2489</v>
      </c>
      <c r="J12" s="144">
        <f>'1.3.1 Suchstrings'!AD13+'1.3.1 Suchstrings'!AH13+'1.3.1 Suchstrings'!AL13</f>
        <v>1</v>
      </c>
      <c r="K12" s="187">
        <f>'1.3.1 Suchstrings'!AW13</f>
        <v>1</v>
      </c>
      <c r="L12" s="319">
        <f t="shared" si="0"/>
        <v>1</v>
      </c>
      <c r="O12" s="192"/>
      <c r="P12" s="205"/>
    </row>
    <row r="13" spans="1:16" x14ac:dyDescent="0.2">
      <c r="A13" s="342"/>
      <c r="B13" s="424"/>
      <c r="C13" s="310" t="s">
        <v>152</v>
      </c>
      <c r="D13" s="311" t="s">
        <v>346</v>
      </c>
      <c r="E13" s="142">
        <f>'1.3.1 Suchstrings'!E14+'1.3.1 Suchstrings'!I14+'1.3.1 Suchstrings'!M14</f>
        <v>19</v>
      </c>
      <c r="F13" s="143">
        <f>'1.3.1 Suchstrings'!F14+'1.3.1 Suchstrings'!J14+'1.3.1 Suchstrings'!O14</f>
        <v>0</v>
      </c>
      <c r="G13" s="144">
        <f>'1.3.1 Suchstrings'!Q14+'1.3.1 Suchstrings'!U14+'1.3.1 Suchstrings'!Y14</f>
        <v>159</v>
      </c>
      <c r="H13" s="144">
        <f>'1.3.1 Suchstrings'!R14+'1.3.1 Suchstrings'!V14+'1.3.1 Suchstrings'!Z14</f>
        <v>0</v>
      </c>
      <c r="I13" s="142">
        <f>'1.3.1 Suchstrings'!AC14+'1.3.1 Suchstrings'!AG14+'1.3.1 Suchstrings'!AK14</f>
        <v>235</v>
      </c>
      <c r="J13" s="144">
        <f>'1.3.1 Suchstrings'!AD14+'1.3.1 Suchstrings'!AH14+'1.3.1 Suchstrings'!AL14</f>
        <v>2</v>
      </c>
      <c r="K13" s="187">
        <f>'1.3.1 Suchstrings'!AW14</f>
        <v>1</v>
      </c>
      <c r="L13" s="319">
        <f t="shared" si="0"/>
        <v>1</v>
      </c>
      <c r="O13" s="192"/>
      <c r="P13" s="205"/>
    </row>
    <row r="14" spans="1:16" x14ac:dyDescent="0.2">
      <c r="A14" s="342"/>
      <c r="B14" s="424"/>
      <c r="C14" s="310" t="s">
        <v>152</v>
      </c>
      <c r="D14" s="311" t="s">
        <v>347</v>
      </c>
      <c r="E14" s="142">
        <f>'1.3.1 Suchstrings'!E15+'1.3.1 Suchstrings'!I15+'1.3.1 Suchstrings'!M15</f>
        <v>0</v>
      </c>
      <c r="F14" s="143">
        <f>'1.3.1 Suchstrings'!F15+'1.3.1 Suchstrings'!J15+'1.3.1 Suchstrings'!O15</f>
        <v>0</v>
      </c>
      <c r="G14" s="144">
        <f>'1.3.1 Suchstrings'!Q15+'1.3.1 Suchstrings'!U15+'1.3.1 Suchstrings'!Y15</f>
        <v>144</v>
      </c>
      <c r="H14" s="144">
        <f>'1.3.1 Suchstrings'!R15+'1.3.1 Suchstrings'!V15+'1.3.1 Suchstrings'!Z15</f>
        <v>0</v>
      </c>
      <c r="I14" s="142">
        <f>'1.3.1 Suchstrings'!AC15+'1.3.1 Suchstrings'!AG15+'1.3.1 Suchstrings'!AK15</f>
        <v>5</v>
      </c>
      <c r="J14" s="144">
        <f>'1.3.1 Suchstrings'!AD15+'1.3.1 Suchstrings'!AH15+'1.3.1 Suchstrings'!AL15</f>
        <v>0</v>
      </c>
      <c r="K14" s="187">
        <f>'1.3.1 Suchstrings'!AW15</f>
        <v>0</v>
      </c>
      <c r="L14" s="319">
        <f t="shared" si="0"/>
        <v>0</v>
      </c>
      <c r="O14" s="192"/>
      <c r="P14" s="205"/>
    </row>
    <row r="15" spans="1:16" x14ac:dyDescent="0.2">
      <c r="A15" s="342"/>
      <c r="B15" s="424"/>
      <c r="C15" s="310" t="s">
        <v>152</v>
      </c>
      <c r="D15" s="311" t="s">
        <v>348</v>
      </c>
      <c r="E15" s="142">
        <f>'1.3.1 Suchstrings'!E16+'1.3.1 Suchstrings'!I16+'1.3.1 Suchstrings'!M16</f>
        <v>0</v>
      </c>
      <c r="F15" s="143">
        <f>'1.3.1 Suchstrings'!F16+'1.3.1 Suchstrings'!J16+'1.3.1 Suchstrings'!O16</f>
        <v>0</v>
      </c>
      <c r="G15" s="144">
        <f>'1.3.1 Suchstrings'!Q16+'1.3.1 Suchstrings'!U16+'1.3.1 Suchstrings'!Y16</f>
        <v>57</v>
      </c>
      <c r="H15" s="144">
        <f>'1.3.1 Suchstrings'!R16+'1.3.1 Suchstrings'!V16+'1.3.1 Suchstrings'!Z16</f>
        <v>2</v>
      </c>
      <c r="I15" s="142">
        <f>'1.3.1 Suchstrings'!AC16+'1.3.1 Suchstrings'!AG16+'1.3.1 Suchstrings'!AK16</f>
        <v>6</v>
      </c>
      <c r="J15" s="144">
        <f>'1.3.1 Suchstrings'!AD16+'1.3.1 Suchstrings'!AH16+'1.3.1 Suchstrings'!AL16</f>
        <v>2</v>
      </c>
      <c r="K15" s="187">
        <f>'1.3.1 Suchstrings'!AW16</f>
        <v>1</v>
      </c>
      <c r="L15" s="319">
        <f t="shared" si="0"/>
        <v>3</v>
      </c>
      <c r="O15" s="192"/>
      <c r="P15" s="205"/>
    </row>
    <row r="16" spans="1:16" x14ac:dyDescent="0.2">
      <c r="A16" s="342"/>
      <c r="B16" s="424"/>
      <c r="C16" s="310" t="s">
        <v>152</v>
      </c>
      <c r="D16" s="311" t="s">
        <v>349</v>
      </c>
      <c r="E16" s="142">
        <f>'1.3.1 Suchstrings'!E17+'1.3.1 Suchstrings'!I17+'1.3.1 Suchstrings'!M17</f>
        <v>6</v>
      </c>
      <c r="F16" s="143">
        <f>'1.3.1 Suchstrings'!F17+'1.3.1 Suchstrings'!J17+'1.3.1 Suchstrings'!O17</f>
        <v>0</v>
      </c>
      <c r="G16" s="144">
        <f>'1.3.1 Suchstrings'!Q17+'1.3.1 Suchstrings'!U17+'1.3.1 Suchstrings'!Y17</f>
        <v>31</v>
      </c>
      <c r="H16" s="144">
        <f>'1.3.1 Suchstrings'!R17+'1.3.1 Suchstrings'!V17+'1.3.1 Suchstrings'!Z17</f>
        <v>0</v>
      </c>
      <c r="I16" s="142">
        <f>'1.3.1 Suchstrings'!AC17+'1.3.1 Suchstrings'!AG17+'1.3.1 Suchstrings'!AK17</f>
        <v>13</v>
      </c>
      <c r="J16" s="144">
        <f>'1.3.1 Suchstrings'!AD17+'1.3.1 Suchstrings'!AH17+'1.3.1 Suchstrings'!AL17</f>
        <v>0</v>
      </c>
      <c r="K16" s="187">
        <f>'1.3.1 Suchstrings'!AW17</f>
        <v>0</v>
      </c>
      <c r="L16" s="319">
        <f t="shared" si="0"/>
        <v>0</v>
      </c>
      <c r="O16" s="192"/>
      <c r="P16" s="205"/>
    </row>
    <row r="17" spans="1:16" x14ac:dyDescent="0.2">
      <c r="A17" s="342"/>
      <c r="B17" s="424"/>
      <c r="C17" s="310" t="s">
        <v>152</v>
      </c>
      <c r="D17" s="311" t="s">
        <v>350</v>
      </c>
      <c r="E17" s="142">
        <f>'1.3.1 Suchstrings'!E18+'1.3.1 Suchstrings'!I18+'1.3.1 Suchstrings'!M18</f>
        <v>10</v>
      </c>
      <c r="F17" s="143">
        <f>'1.3.1 Suchstrings'!F18+'1.3.1 Suchstrings'!J18+'1.3.1 Suchstrings'!O18</f>
        <v>2</v>
      </c>
      <c r="G17" s="144">
        <f>'1.3.1 Suchstrings'!Q18+'1.3.1 Suchstrings'!U18+'1.3.1 Suchstrings'!Y18</f>
        <v>95</v>
      </c>
      <c r="H17" s="144">
        <f>'1.3.1 Suchstrings'!R18+'1.3.1 Suchstrings'!V18+'1.3.1 Suchstrings'!Z18</f>
        <v>0</v>
      </c>
      <c r="I17" s="142">
        <f>'1.3.1 Suchstrings'!AC18+'1.3.1 Suchstrings'!AG18+'1.3.1 Suchstrings'!AK18</f>
        <v>12</v>
      </c>
      <c r="J17" s="144">
        <f>'1.3.1 Suchstrings'!AD18+'1.3.1 Suchstrings'!AH18+'1.3.1 Suchstrings'!AL18</f>
        <v>0</v>
      </c>
      <c r="K17" s="187">
        <f>'1.3.1 Suchstrings'!AW18</f>
        <v>0</v>
      </c>
      <c r="L17" s="319">
        <f t="shared" si="0"/>
        <v>2</v>
      </c>
      <c r="O17" s="192"/>
      <c r="P17" s="205"/>
    </row>
    <row r="18" spans="1:16" x14ac:dyDescent="0.2">
      <c r="A18" s="342"/>
      <c r="B18" s="425"/>
      <c r="C18" s="312" t="s">
        <v>152</v>
      </c>
      <c r="D18" s="313" t="s">
        <v>351</v>
      </c>
      <c r="E18" s="146">
        <f>'1.3.1 Suchstrings'!E19+'1.3.1 Suchstrings'!I19+'1.3.1 Suchstrings'!M19</f>
        <v>0</v>
      </c>
      <c r="F18" s="147">
        <f>'1.3.1 Suchstrings'!F19+'1.3.1 Suchstrings'!J19+'1.3.1 Suchstrings'!O19</f>
        <v>0</v>
      </c>
      <c r="G18" s="146">
        <f>'1.3.1 Suchstrings'!Q19+'1.3.1 Suchstrings'!U19+'1.3.1 Suchstrings'!Y19</f>
        <v>74</v>
      </c>
      <c r="H18" s="147">
        <f>'1.3.1 Suchstrings'!R19+'1.3.1 Suchstrings'!V19+'1.3.1 Suchstrings'!Z19</f>
        <v>0</v>
      </c>
      <c r="I18" s="146">
        <f>'1.3.1 Suchstrings'!AC19+'1.3.1 Suchstrings'!AG19+'1.3.1 Suchstrings'!AK19</f>
        <v>349</v>
      </c>
      <c r="J18" s="149">
        <f>'1.3.1 Suchstrings'!AD19+'1.3.1 Suchstrings'!AH19+'1.3.1 Suchstrings'!AL19</f>
        <v>2</v>
      </c>
      <c r="K18" s="221">
        <f>'1.3.1 Suchstrings'!AW19</f>
        <v>1</v>
      </c>
      <c r="L18" s="320">
        <f t="shared" si="0"/>
        <v>1</v>
      </c>
      <c r="O18" s="343"/>
      <c r="P18" s="205"/>
    </row>
    <row r="19" spans="1:16" ht="16" customHeight="1" x14ac:dyDescent="0.2">
      <c r="A19" s="342"/>
      <c r="B19" s="423" t="s">
        <v>38</v>
      </c>
      <c r="C19" s="310" t="s">
        <v>152</v>
      </c>
      <c r="D19" s="311" t="s">
        <v>334</v>
      </c>
      <c r="E19" s="142">
        <f>'1.3.1 Suchstrings'!E20+'1.3.1 Suchstrings'!I20+'1.3.1 Suchstrings'!M20</f>
        <v>0</v>
      </c>
      <c r="F19" s="143">
        <f>'1.3.1 Suchstrings'!F20+'1.3.1 Suchstrings'!J20+'1.3.1 Suchstrings'!O20</f>
        <v>0</v>
      </c>
      <c r="G19" s="144">
        <f>'1.3.1 Suchstrings'!Q20+'1.3.1 Suchstrings'!U20+'1.3.1 Suchstrings'!Y20</f>
        <v>134</v>
      </c>
      <c r="H19" s="144">
        <f>'1.3.1 Suchstrings'!R20+'1.3.1 Suchstrings'!V20+'1.3.1 Suchstrings'!Z20</f>
        <v>2</v>
      </c>
      <c r="I19" s="142">
        <f>'1.3.1 Suchstrings'!AC20+'1.3.1 Suchstrings'!AG20+'1.3.1 Suchstrings'!AK20</f>
        <v>91</v>
      </c>
      <c r="J19" s="144">
        <f>'1.3.1 Suchstrings'!AD20+'1.3.1 Suchstrings'!AH20+'1.3.1 Suchstrings'!AL20</f>
        <v>3</v>
      </c>
      <c r="K19" s="187">
        <f>'1.3.1 Suchstrings'!AW20</f>
        <v>2</v>
      </c>
      <c r="L19" s="319">
        <f t="shared" si="0"/>
        <v>3</v>
      </c>
      <c r="O19" s="343"/>
      <c r="P19" s="205"/>
    </row>
    <row r="20" spans="1:16" x14ac:dyDescent="0.2">
      <c r="A20" s="342"/>
      <c r="B20" s="424"/>
      <c r="C20" s="310" t="s">
        <v>152</v>
      </c>
      <c r="D20" s="311" t="s">
        <v>336</v>
      </c>
      <c r="E20" s="142">
        <f>'1.3.1 Suchstrings'!E21+'1.3.1 Suchstrings'!I21+'1.3.1 Suchstrings'!M21</f>
        <v>11</v>
      </c>
      <c r="F20" s="143">
        <f>'1.3.1 Suchstrings'!F21+'1.3.1 Suchstrings'!J21+'1.3.1 Suchstrings'!O21</f>
        <v>0</v>
      </c>
      <c r="G20" s="144">
        <f>'1.3.1 Suchstrings'!Q21+'1.3.1 Suchstrings'!U21+'1.3.1 Suchstrings'!Y21</f>
        <v>221</v>
      </c>
      <c r="H20" s="144">
        <f>'1.3.1 Suchstrings'!R21+'1.3.1 Suchstrings'!V21+'1.3.1 Suchstrings'!Z21</f>
        <v>0</v>
      </c>
      <c r="I20" s="142">
        <f>'1.3.1 Suchstrings'!AC21+'1.3.1 Suchstrings'!AG21+'1.3.1 Suchstrings'!AK21</f>
        <v>1245</v>
      </c>
      <c r="J20" s="144">
        <f>'1.3.1 Suchstrings'!AD21+'1.3.1 Suchstrings'!AH21+'1.3.1 Suchstrings'!AL21</f>
        <v>2</v>
      </c>
      <c r="K20" s="187">
        <f>'1.3.1 Suchstrings'!AW21</f>
        <v>1</v>
      </c>
      <c r="L20" s="319">
        <f t="shared" si="0"/>
        <v>1</v>
      </c>
      <c r="O20" s="140"/>
    </row>
    <row r="21" spans="1:16" x14ac:dyDescent="0.2">
      <c r="A21" s="342"/>
      <c r="B21" s="424"/>
      <c r="C21" s="310" t="s">
        <v>152</v>
      </c>
      <c r="D21" s="311" t="s">
        <v>338</v>
      </c>
      <c r="E21" s="142">
        <f>'1.3.1 Suchstrings'!E22+'1.3.1 Suchstrings'!I22+'1.3.1 Suchstrings'!M22</f>
        <v>0</v>
      </c>
      <c r="F21" s="143">
        <f>'1.3.1 Suchstrings'!F22+'1.3.1 Suchstrings'!J22+'1.3.1 Suchstrings'!O22</f>
        <v>0</v>
      </c>
      <c r="G21" s="144">
        <f>'1.3.1 Suchstrings'!Q22+'1.3.1 Suchstrings'!U22+'1.3.1 Suchstrings'!Y22</f>
        <v>8</v>
      </c>
      <c r="H21" s="144">
        <f>'1.3.1 Suchstrings'!R22+'1.3.1 Suchstrings'!V22+'1.3.1 Suchstrings'!Z22</f>
        <v>2</v>
      </c>
      <c r="I21" s="142">
        <f>'1.3.1 Suchstrings'!AC22+'1.3.1 Suchstrings'!AG22+'1.3.1 Suchstrings'!AK22</f>
        <v>1</v>
      </c>
      <c r="J21" s="144">
        <f>'1.3.1 Suchstrings'!AD22+'1.3.1 Suchstrings'!AH22+'1.3.1 Suchstrings'!AL22</f>
        <v>0</v>
      </c>
      <c r="K21" s="187">
        <f>'1.3.1 Suchstrings'!AW22</f>
        <v>0</v>
      </c>
      <c r="L21" s="319">
        <f t="shared" si="0"/>
        <v>2</v>
      </c>
      <c r="O21" s="140"/>
    </row>
    <row r="22" spans="1:16" x14ac:dyDescent="0.2">
      <c r="A22" s="342"/>
      <c r="B22" s="424"/>
      <c r="C22" s="310" t="s">
        <v>152</v>
      </c>
      <c r="D22" s="311" t="s">
        <v>311</v>
      </c>
      <c r="E22" s="142">
        <f>'1.3.1 Suchstrings'!E23+'1.3.1 Suchstrings'!I23+'1.3.1 Suchstrings'!M23</f>
        <v>0</v>
      </c>
      <c r="F22" s="143">
        <f>'1.3.1 Suchstrings'!F23+'1.3.1 Suchstrings'!J23+'1.3.1 Suchstrings'!O23</f>
        <v>0</v>
      </c>
      <c r="G22" s="144">
        <f>'1.3.1 Suchstrings'!Q23+'1.3.1 Suchstrings'!U23+'1.3.1 Suchstrings'!Y23</f>
        <v>114</v>
      </c>
      <c r="H22" s="144">
        <f>'1.3.1 Suchstrings'!R23+'1.3.1 Suchstrings'!V23+'1.3.1 Suchstrings'!Z23</f>
        <v>0</v>
      </c>
      <c r="I22" s="142">
        <f>'1.3.1 Suchstrings'!AC23+'1.3.1 Suchstrings'!AG23+'1.3.1 Suchstrings'!AK23</f>
        <v>458</v>
      </c>
      <c r="J22" s="144">
        <f>'1.3.1 Suchstrings'!AD23+'1.3.1 Suchstrings'!AH23+'1.3.1 Suchstrings'!AL23</f>
        <v>0</v>
      </c>
      <c r="K22" s="187">
        <f>'1.3.1 Suchstrings'!AW23</f>
        <v>0</v>
      </c>
      <c r="L22" s="319">
        <f t="shared" si="0"/>
        <v>0</v>
      </c>
    </row>
    <row r="23" spans="1:16" x14ac:dyDescent="0.2">
      <c r="A23" s="342"/>
      <c r="B23" s="424"/>
      <c r="C23" s="310" t="s">
        <v>152</v>
      </c>
      <c r="D23" s="311" t="s">
        <v>341</v>
      </c>
      <c r="E23" s="142">
        <f>'1.3.1 Suchstrings'!E24+'1.3.1 Suchstrings'!I24+'1.3.1 Suchstrings'!M24</f>
        <v>10</v>
      </c>
      <c r="F23" s="143">
        <f>'1.3.1 Suchstrings'!F24+'1.3.1 Suchstrings'!J24+'1.3.1 Suchstrings'!O24</f>
        <v>0</v>
      </c>
      <c r="G23" s="144">
        <f>'1.3.1 Suchstrings'!Q24+'1.3.1 Suchstrings'!U24+'1.3.1 Suchstrings'!Y24</f>
        <v>146</v>
      </c>
      <c r="H23" s="144">
        <f>'1.3.1 Suchstrings'!R24+'1.3.1 Suchstrings'!V24+'1.3.1 Suchstrings'!Z24</f>
        <v>1</v>
      </c>
      <c r="I23" s="142">
        <f>'1.3.1 Suchstrings'!AC24+'1.3.1 Suchstrings'!AG24+'1.3.1 Suchstrings'!AK24</f>
        <v>130</v>
      </c>
      <c r="J23" s="144">
        <f>'1.3.1 Suchstrings'!AD24+'1.3.1 Suchstrings'!AH24+'1.3.1 Suchstrings'!AL24</f>
        <v>5</v>
      </c>
      <c r="K23" s="187">
        <f>'1.3.1 Suchstrings'!AW24</f>
        <v>1</v>
      </c>
      <c r="L23" s="319">
        <f t="shared" si="0"/>
        <v>5</v>
      </c>
    </row>
    <row r="24" spans="1:16" x14ac:dyDescent="0.2">
      <c r="B24" s="425"/>
      <c r="C24" s="310" t="s">
        <v>152</v>
      </c>
      <c r="D24" s="313" t="s">
        <v>343</v>
      </c>
      <c r="E24" s="142">
        <f>'1.3.1 Suchstrings'!E25+'1.3.1 Suchstrings'!I25+'1.3.1 Suchstrings'!M25</f>
        <v>0</v>
      </c>
      <c r="F24" s="143">
        <f>'1.3.1 Suchstrings'!F25+'1.3.1 Suchstrings'!J25+'1.3.1 Suchstrings'!O25</f>
        <v>0</v>
      </c>
      <c r="G24" s="144">
        <f>'1.3.1 Suchstrings'!Q25+'1.3.1 Suchstrings'!U25+'1.3.1 Suchstrings'!Y25</f>
        <v>184</v>
      </c>
      <c r="H24" s="147">
        <f>'1.3.1 Suchstrings'!R25+'1.3.1 Suchstrings'!V25+'1.3.1 Suchstrings'!Z25</f>
        <v>0</v>
      </c>
      <c r="I24" s="142">
        <f>'1.3.1 Suchstrings'!AC25+'1.3.1 Suchstrings'!AG25+'1.3.1 Suchstrings'!AK25</f>
        <v>351</v>
      </c>
      <c r="J24" s="144">
        <f>'1.3.1 Suchstrings'!AD25+'1.3.1 Suchstrings'!AH25+'1.3.1 Suchstrings'!AL25</f>
        <v>5</v>
      </c>
      <c r="K24" s="187">
        <f>'1.3.1 Suchstrings'!AW25</f>
        <v>1</v>
      </c>
      <c r="L24" s="319">
        <f t="shared" si="0"/>
        <v>4</v>
      </c>
    </row>
    <row r="25" spans="1:16" ht="17" thickBot="1" x14ac:dyDescent="0.25">
      <c r="B25" s="141"/>
      <c r="C25" s="188" t="s">
        <v>429</v>
      </c>
      <c r="D25" s="189"/>
      <c r="E25" s="150">
        <f t="shared" ref="E25:J25" si="1">SUM(E5:E24)</f>
        <v>111</v>
      </c>
      <c r="F25" s="151">
        <f t="shared" si="1"/>
        <v>2</v>
      </c>
      <c r="G25" s="150">
        <f t="shared" si="1"/>
        <v>2610</v>
      </c>
      <c r="H25" s="152">
        <f t="shared" si="1"/>
        <v>17</v>
      </c>
      <c r="I25" s="150">
        <f t="shared" si="1"/>
        <v>6275</v>
      </c>
      <c r="J25" s="151">
        <f t="shared" si="1"/>
        <v>49</v>
      </c>
      <c r="K25" s="153"/>
      <c r="L25" s="154">
        <f>SUM(L5:L24)</f>
        <v>50</v>
      </c>
    </row>
    <row r="26" spans="1:16" ht="17" thickTop="1" x14ac:dyDescent="0.2">
      <c r="B26" s="24"/>
      <c r="C26" s="103"/>
      <c r="D26" s="107"/>
      <c r="E26" s="144"/>
      <c r="F26" s="155"/>
      <c r="G26" s="428" t="s">
        <v>726</v>
      </c>
      <c r="H26" s="428"/>
      <c r="I26" s="428"/>
      <c r="J26" s="429"/>
      <c r="K26" s="145"/>
      <c r="L26" s="321">
        <f>'1.3.1 Suchstrings'!AX27</f>
        <v>-5</v>
      </c>
    </row>
    <row r="27" spans="1:16" ht="17" thickBot="1" x14ac:dyDescent="0.25">
      <c r="B27" s="24"/>
      <c r="C27" s="103" t="s">
        <v>730</v>
      </c>
      <c r="D27" s="108"/>
      <c r="E27" s="144"/>
      <c r="F27" s="144"/>
      <c r="G27" s="144"/>
      <c r="H27" s="144"/>
      <c r="I27" s="156"/>
      <c r="J27" s="157"/>
      <c r="K27" s="308" t="s">
        <v>132</v>
      </c>
      <c r="L27" s="309">
        <f>SUM(L5:L24)+L26</f>
        <v>45</v>
      </c>
    </row>
    <row r="28" spans="1:16" ht="17" thickTop="1" x14ac:dyDescent="0.2"/>
  </sheetData>
  <mergeCells count="10">
    <mergeCell ref="G26:J26"/>
    <mergeCell ref="C3:D3"/>
    <mergeCell ref="E3:F3"/>
    <mergeCell ref="G3:H3"/>
    <mergeCell ref="I3:J3"/>
    <mergeCell ref="K3:L3"/>
    <mergeCell ref="B1:N1"/>
    <mergeCell ref="B5:B18"/>
    <mergeCell ref="B19:B24"/>
    <mergeCell ref="C4:D4"/>
  </mergeCells>
  <conditionalFormatting sqref="C5:L5">
    <cfRule type="expression" dxfId="306" priority="29">
      <formula>$L5=0</formula>
    </cfRule>
  </conditionalFormatting>
  <conditionalFormatting sqref="C6:L6">
    <cfRule type="expression" dxfId="305" priority="19">
      <formula>$L6=0</formula>
    </cfRule>
  </conditionalFormatting>
  <conditionalFormatting sqref="C8:L8">
    <cfRule type="expression" dxfId="304" priority="18">
      <formula>$L8=0</formula>
    </cfRule>
  </conditionalFormatting>
  <conditionalFormatting sqref="C7:L7">
    <cfRule type="expression" dxfId="303" priority="17">
      <formula>$L7=0</formula>
    </cfRule>
  </conditionalFormatting>
  <conditionalFormatting sqref="C9:L9">
    <cfRule type="expression" dxfId="302" priority="16">
      <formula>$L9=0</formula>
    </cfRule>
  </conditionalFormatting>
  <conditionalFormatting sqref="C10:L10">
    <cfRule type="expression" dxfId="301" priority="15">
      <formula>$L10=0</formula>
    </cfRule>
  </conditionalFormatting>
  <conditionalFormatting sqref="C12:L12">
    <cfRule type="expression" dxfId="300" priority="14">
      <formula>$L12=0</formula>
    </cfRule>
  </conditionalFormatting>
  <conditionalFormatting sqref="C11:L11">
    <cfRule type="expression" dxfId="299" priority="13">
      <formula>$L11=0</formula>
    </cfRule>
  </conditionalFormatting>
  <conditionalFormatting sqref="C13:L13">
    <cfRule type="expression" dxfId="298" priority="12">
      <formula>$L13=0</formula>
    </cfRule>
  </conditionalFormatting>
  <conditionalFormatting sqref="C14:L14">
    <cfRule type="expression" dxfId="297" priority="11">
      <formula>$L14=0</formula>
    </cfRule>
  </conditionalFormatting>
  <conditionalFormatting sqref="C15:L15">
    <cfRule type="expression" dxfId="296" priority="10">
      <formula>$L15=0</formula>
    </cfRule>
  </conditionalFormatting>
  <conditionalFormatting sqref="C17:L17">
    <cfRule type="expression" dxfId="295" priority="9">
      <formula>$L17=0</formula>
    </cfRule>
  </conditionalFormatting>
  <conditionalFormatting sqref="C16:L16">
    <cfRule type="expression" dxfId="294" priority="8">
      <formula>$L16=0</formula>
    </cfRule>
  </conditionalFormatting>
  <conditionalFormatting sqref="C18:L18">
    <cfRule type="expression" dxfId="293" priority="7">
      <formula>$L18=0</formula>
    </cfRule>
  </conditionalFormatting>
  <conditionalFormatting sqref="C20:L20">
    <cfRule type="expression" dxfId="292" priority="6">
      <formula>$L20=0</formula>
    </cfRule>
  </conditionalFormatting>
  <conditionalFormatting sqref="C19:L19">
    <cfRule type="expression" dxfId="291" priority="5">
      <formula>$L19=0</formula>
    </cfRule>
  </conditionalFormatting>
  <conditionalFormatting sqref="C21:L21">
    <cfRule type="expression" dxfId="290" priority="4">
      <formula>$L21=0</formula>
    </cfRule>
  </conditionalFormatting>
  <conditionalFormatting sqref="C22:L22">
    <cfRule type="expression" dxfId="289" priority="3">
      <formula>$L22=0</formula>
    </cfRule>
  </conditionalFormatting>
  <conditionalFormatting sqref="C23:L23">
    <cfRule type="expression" dxfId="288" priority="2">
      <formula>$L23=0</formula>
    </cfRule>
  </conditionalFormatting>
  <conditionalFormatting sqref="C24:L24">
    <cfRule type="expression" dxfId="287" priority="1">
      <formula>$L24=0</formula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 enableFormatConditionsCalculation="0"/>
  <dimension ref="A1:H51"/>
  <sheetViews>
    <sheetView workbookViewId="0">
      <selection activeCell="C45" sqref="C45"/>
    </sheetView>
  </sheetViews>
  <sheetFormatPr baseColWidth="10" defaultRowHeight="16" x14ac:dyDescent="0.2"/>
  <cols>
    <col min="1" max="1" width="10.83203125" customWidth="1"/>
    <col min="2" max="2" width="3.33203125" style="94" customWidth="1"/>
    <col min="3" max="3" width="3" style="18" customWidth="1"/>
    <col min="4" max="4" width="10.83203125" style="15" bestFit="1" customWidth="1"/>
    <col min="5" max="5" width="7.1640625" style="15" bestFit="1" customWidth="1"/>
    <col min="6" max="6" width="101" style="15" bestFit="1" customWidth="1"/>
    <col min="7" max="7" width="12.1640625" style="15" bestFit="1" customWidth="1"/>
    <col min="8" max="8" width="103.83203125" style="15" bestFit="1" customWidth="1"/>
  </cols>
  <sheetData>
    <row r="1" spans="1:8" ht="100" customHeight="1" x14ac:dyDescent="0.2">
      <c r="B1" s="398" t="s">
        <v>646</v>
      </c>
      <c r="C1" s="398"/>
      <c r="D1" s="398"/>
      <c r="E1" s="398"/>
      <c r="F1" s="398"/>
      <c r="G1" s="398"/>
      <c r="H1" s="398"/>
    </row>
    <row r="2" spans="1:8" s="3" customFormat="1" ht="54" customHeight="1" x14ac:dyDescent="0.2">
      <c r="B2" s="91"/>
      <c r="C2" s="12"/>
      <c r="D2" s="16"/>
      <c r="E2" s="16"/>
      <c r="F2" s="16"/>
      <c r="G2" s="16"/>
      <c r="H2" s="16"/>
    </row>
    <row r="3" spans="1:8" s="3" customFormat="1" ht="41" customHeight="1" x14ac:dyDescent="0.2">
      <c r="B3" s="160" t="s">
        <v>61</v>
      </c>
      <c r="C3" s="161" t="s">
        <v>121</v>
      </c>
      <c r="D3" s="162" t="s">
        <v>22</v>
      </c>
      <c r="E3" s="162" t="s">
        <v>23</v>
      </c>
      <c r="F3" s="162" t="s">
        <v>24</v>
      </c>
      <c r="G3" s="163" t="s">
        <v>25</v>
      </c>
      <c r="H3" s="162" t="s">
        <v>420</v>
      </c>
    </row>
    <row r="4" spans="1:8" x14ac:dyDescent="0.2">
      <c r="A4" s="15"/>
      <c r="B4" s="93">
        <f t="shared" ref="B4:B51" si="0">ROW()-3</f>
        <v>1</v>
      </c>
      <c r="C4" s="17" t="s">
        <v>64</v>
      </c>
      <c r="D4" s="14" t="s">
        <v>65</v>
      </c>
      <c r="E4" s="14">
        <v>2015</v>
      </c>
      <c r="F4" s="90" t="s">
        <v>100</v>
      </c>
      <c r="G4" s="90" t="s">
        <v>422</v>
      </c>
      <c r="H4" s="15" t="s">
        <v>431</v>
      </c>
    </row>
    <row r="5" spans="1:8" x14ac:dyDescent="0.2">
      <c r="A5" s="15"/>
      <c r="B5" s="93">
        <f t="shared" si="0"/>
        <v>2</v>
      </c>
      <c r="C5" s="17" t="s">
        <v>64</v>
      </c>
      <c r="D5" s="14" t="s">
        <v>66</v>
      </c>
      <c r="E5" s="14">
        <v>2015</v>
      </c>
      <c r="F5" s="90" t="s">
        <v>101</v>
      </c>
      <c r="G5" s="90" t="s">
        <v>422</v>
      </c>
      <c r="H5" s="15" t="s">
        <v>84</v>
      </c>
    </row>
    <row r="6" spans="1:8" x14ac:dyDescent="0.2">
      <c r="A6" s="15"/>
      <c r="B6" s="93">
        <f t="shared" si="0"/>
        <v>3</v>
      </c>
      <c r="C6" s="17" t="s">
        <v>64</v>
      </c>
      <c r="D6" s="14" t="s">
        <v>67</v>
      </c>
      <c r="E6" s="14">
        <v>2012</v>
      </c>
      <c r="F6" s="90" t="s">
        <v>102</v>
      </c>
      <c r="G6" s="90" t="s">
        <v>422</v>
      </c>
      <c r="H6" s="15" t="s">
        <v>428</v>
      </c>
    </row>
    <row r="7" spans="1:8" x14ac:dyDescent="0.2">
      <c r="A7" s="15"/>
      <c r="B7" s="93">
        <f t="shared" si="0"/>
        <v>4</v>
      </c>
      <c r="C7" s="17" t="s">
        <v>64</v>
      </c>
      <c r="D7" s="14" t="s">
        <v>68</v>
      </c>
      <c r="E7" s="14">
        <v>2015</v>
      </c>
      <c r="F7" s="90" t="s">
        <v>103</v>
      </c>
      <c r="G7" s="90" t="s">
        <v>422</v>
      </c>
      <c r="H7" s="15" t="s">
        <v>85</v>
      </c>
    </row>
    <row r="8" spans="1:8" x14ac:dyDescent="0.2">
      <c r="A8" s="15"/>
      <c r="B8" s="93">
        <f t="shared" si="0"/>
        <v>5</v>
      </c>
      <c r="C8" s="17" t="s">
        <v>64</v>
      </c>
      <c r="D8" s="14" t="s">
        <v>69</v>
      </c>
      <c r="E8" s="14">
        <v>2015</v>
      </c>
      <c r="F8" s="90" t="s">
        <v>104</v>
      </c>
      <c r="G8" s="90" t="s">
        <v>422</v>
      </c>
      <c r="H8" s="15" t="s">
        <v>86</v>
      </c>
    </row>
    <row r="9" spans="1:8" x14ac:dyDescent="0.2">
      <c r="A9" s="15"/>
      <c r="B9" s="93">
        <f t="shared" si="0"/>
        <v>6</v>
      </c>
      <c r="C9" s="17" t="s">
        <v>64</v>
      </c>
      <c r="D9" s="14" t="s">
        <v>70</v>
      </c>
      <c r="E9" s="14">
        <v>2015</v>
      </c>
      <c r="F9" s="90" t="s">
        <v>105</v>
      </c>
      <c r="G9" s="90" t="s">
        <v>422</v>
      </c>
      <c r="H9" s="15" t="s">
        <v>87</v>
      </c>
    </row>
    <row r="10" spans="1:8" x14ac:dyDescent="0.2">
      <c r="A10" s="15"/>
      <c r="B10" s="93">
        <f t="shared" si="0"/>
        <v>7</v>
      </c>
      <c r="C10" s="17" t="s">
        <v>64</v>
      </c>
      <c r="D10" s="14" t="s">
        <v>71</v>
      </c>
      <c r="E10" s="14">
        <v>2015</v>
      </c>
      <c r="F10" s="90" t="s">
        <v>106</v>
      </c>
      <c r="G10" s="90" t="s">
        <v>422</v>
      </c>
      <c r="H10" s="15" t="s">
        <v>88</v>
      </c>
    </row>
    <row r="11" spans="1:8" x14ac:dyDescent="0.2">
      <c r="A11" s="15"/>
      <c r="B11" s="93">
        <f t="shared" si="0"/>
        <v>8</v>
      </c>
      <c r="C11" s="17" t="s">
        <v>64</v>
      </c>
      <c r="D11" s="14" t="s">
        <v>72</v>
      </c>
      <c r="E11" s="14">
        <v>2015</v>
      </c>
      <c r="F11" s="90" t="s">
        <v>107</v>
      </c>
      <c r="G11" s="90" t="s">
        <v>422</v>
      </c>
      <c r="H11" s="15" t="s">
        <v>89</v>
      </c>
    </row>
    <row r="12" spans="1:8" x14ac:dyDescent="0.2">
      <c r="A12" s="15"/>
      <c r="B12" s="93">
        <f t="shared" si="0"/>
        <v>9</v>
      </c>
      <c r="C12" s="17" t="s">
        <v>64</v>
      </c>
      <c r="D12" s="14" t="s">
        <v>73</v>
      </c>
      <c r="E12" s="14">
        <v>2011</v>
      </c>
      <c r="F12" s="90" t="s">
        <v>108</v>
      </c>
      <c r="G12" s="90" t="s">
        <v>422</v>
      </c>
      <c r="H12" s="15" t="s">
        <v>90</v>
      </c>
    </row>
    <row r="13" spans="1:8" x14ac:dyDescent="0.2">
      <c r="A13" s="15"/>
      <c r="B13" s="93">
        <f t="shared" si="0"/>
        <v>10</v>
      </c>
      <c r="C13" s="17" t="s">
        <v>64</v>
      </c>
      <c r="D13" s="14" t="s">
        <v>74</v>
      </c>
      <c r="E13" s="14">
        <v>2011</v>
      </c>
      <c r="F13" s="90" t="s">
        <v>109</v>
      </c>
      <c r="G13" s="90" t="s">
        <v>421</v>
      </c>
      <c r="H13" s="15" t="s">
        <v>91</v>
      </c>
    </row>
    <row r="14" spans="1:8" x14ac:dyDescent="0.2">
      <c r="A14" s="15"/>
      <c r="B14" s="93">
        <f t="shared" si="0"/>
        <v>11</v>
      </c>
      <c r="C14" s="17" t="s">
        <v>64</v>
      </c>
      <c r="D14" s="14" t="s">
        <v>75</v>
      </c>
      <c r="E14" s="14">
        <v>2011</v>
      </c>
      <c r="F14" s="90" t="s">
        <v>110</v>
      </c>
      <c r="G14" s="90" t="s">
        <v>422</v>
      </c>
      <c r="H14" s="15" t="s">
        <v>92</v>
      </c>
    </row>
    <row r="15" spans="1:8" x14ac:dyDescent="0.2">
      <c r="A15" s="15"/>
      <c r="B15" s="93">
        <f t="shared" si="0"/>
        <v>12</v>
      </c>
      <c r="C15" s="17" t="s">
        <v>64</v>
      </c>
      <c r="D15" s="14" t="s">
        <v>76</v>
      </c>
      <c r="E15" s="14">
        <v>2015</v>
      </c>
      <c r="F15" s="90" t="s">
        <v>111</v>
      </c>
      <c r="G15" s="90" t="s">
        <v>421</v>
      </c>
      <c r="H15" s="15" t="s">
        <v>423</v>
      </c>
    </row>
    <row r="16" spans="1:8" x14ac:dyDescent="0.2">
      <c r="A16" s="15"/>
      <c r="B16" s="93">
        <f t="shared" si="0"/>
        <v>13</v>
      </c>
      <c r="C16" s="17" t="s">
        <v>64</v>
      </c>
      <c r="D16" s="14" t="s">
        <v>77</v>
      </c>
      <c r="E16" s="14">
        <v>2014</v>
      </c>
      <c r="F16" s="90" t="s">
        <v>112</v>
      </c>
      <c r="G16" s="90" t="s">
        <v>421</v>
      </c>
      <c r="H16" s="15" t="s">
        <v>93</v>
      </c>
    </row>
    <row r="17" spans="1:8" x14ac:dyDescent="0.2">
      <c r="A17" s="15"/>
      <c r="B17" s="93">
        <f t="shared" si="0"/>
        <v>14</v>
      </c>
      <c r="C17" s="17" t="s">
        <v>64</v>
      </c>
      <c r="D17" s="14" t="s">
        <v>78</v>
      </c>
      <c r="E17" s="14">
        <v>2011</v>
      </c>
      <c r="F17" s="90" t="s">
        <v>113</v>
      </c>
      <c r="G17" s="90" t="s">
        <v>422</v>
      </c>
      <c r="H17" s="15" t="s">
        <v>99</v>
      </c>
    </row>
    <row r="18" spans="1:8" x14ac:dyDescent="0.2">
      <c r="A18" s="15"/>
      <c r="B18" s="93">
        <f t="shared" si="0"/>
        <v>15</v>
      </c>
      <c r="C18" s="17" t="s">
        <v>64</v>
      </c>
      <c r="D18" s="14" t="s">
        <v>79</v>
      </c>
      <c r="E18" s="14">
        <v>2014</v>
      </c>
      <c r="F18" s="90" t="s">
        <v>114</v>
      </c>
      <c r="G18" s="90" t="s">
        <v>422</v>
      </c>
      <c r="H18" s="15" t="s">
        <v>94</v>
      </c>
    </row>
    <row r="19" spans="1:8" x14ac:dyDescent="0.2">
      <c r="A19" s="15"/>
      <c r="B19" s="93">
        <f t="shared" si="0"/>
        <v>16</v>
      </c>
      <c r="C19" s="17" t="s">
        <v>64</v>
      </c>
      <c r="D19" s="14" t="s">
        <v>80</v>
      </c>
      <c r="E19" s="14">
        <v>2012</v>
      </c>
      <c r="F19" s="90" t="s">
        <v>115</v>
      </c>
      <c r="G19" s="90" t="s">
        <v>422</v>
      </c>
      <c r="H19" s="15" t="s">
        <v>95</v>
      </c>
    </row>
    <row r="20" spans="1:8" x14ac:dyDescent="0.2">
      <c r="A20" s="15"/>
      <c r="B20" s="93">
        <f t="shared" si="0"/>
        <v>17</v>
      </c>
      <c r="C20" s="17" t="s">
        <v>64</v>
      </c>
      <c r="D20" s="14" t="s">
        <v>81</v>
      </c>
      <c r="E20" s="14">
        <v>2015</v>
      </c>
      <c r="F20" s="90" t="s">
        <v>116</v>
      </c>
      <c r="G20" s="90" t="s">
        <v>422</v>
      </c>
      <c r="H20" s="15" t="s">
        <v>653</v>
      </c>
    </row>
    <row r="21" spans="1:8" x14ac:dyDescent="0.2">
      <c r="A21" s="15"/>
      <c r="B21" s="93">
        <f t="shared" si="0"/>
        <v>18</v>
      </c>
      <c r="C21" s="17" t="s">
        <v>64</v>
      </c>
      <c r="D21" s="14" t="s">
        <v>82</v>
      </c>
      <c r="E21" s="14">
        <v>2014</v>
      </c>
      <c r="F21" s="90" t="s">
        <v>117</v>
      </c>
      <c r="G21" s="90" t="s">
        <v>422</v>
      </c>
      <c r="H21" s="15" t="s">
        <v>97</v>
      </c>
    </row>
    <row r="22" spans="1:8" x14ac:dyDescent="0.2">
      <c r="A22" s="15"/>
      <c r="B22" s="93">
        <f t="shared" si="0"/>
        <v>19</v>
      </c>
      <c r="C22" s="17" t="s">
        <v>64</v>
      </c>
      <c r="D22" s="14" t="s">
        <v>83</v>
      </c>
      <c r="E22" s="14">
        <v>2013</v>
      </c>
      <c r="F22" s="90" t="s">
        <v>118</v>
      </c>
      <c r="G22" s="90" t="s">
        <v>422</v>
      </c>
      <c r="H22" s="15" t="s">
        <v>98</v>
      </c>
    </row>
    <row r="23" spans="1:8" x14ac:dyDescent="0.2">
      <c r="A23" s="15"/>
      <c r="B23" s="93">
        <f t="shared" si="0"/>
        <v>20</v>
      </c>
      <c r="C23" s="17" t="s">
        <v>64</v>
      </c>
      <c r="D23" s="14" t="s">
        <v>80</v>
      </c>
      <c r="E23" s="14">
        <v>2013</v>
      </c>
      <c r="F23" s="90" t="s">
        <v>119</v>
      </c>
      <c r="G23" s="90" t="s">
        <v>422</v>
      </c>
      <c r="H23" s="15" t="s">
        <v>120</v>
      </c>
    </row>
    <row r="24" spans="1:8" x14ac:dyDescent="0.2">
      <c r="A24" s="15"/>
      <c r="B24" s="93">
        <f t="shared" si="0"/>
        <v>21</v>
      </c>
      <c r="C24" s="17" t="s">
        <v>64</v>
      </c>
      <c r="D24" s="15" t="s">
        <v>352</v>
      </c>
      <c r="E24" s="15">
        <v>2013</v>
      </c>
      <c r="F24" s="90" t="s">
        <v>353</v>
      </c>
      <c r="G24" s="90" t="s">
        <v>422</v>
      </c>
      <c r="H24" s="15" t="s">
        <v>95</v>
      </c>
    </row>
    <row r="25" spans="1:8" x14ac:dyDescent="0.2">
      <c r="A25" s="15"/>
      <c r="B25" s="93">
        <f t="shared" si="0"/>
        <v>22</v>
      </c>
      <c r="C25" s="17" t="s">
        <v>64</v>
      </c>
      <c r="D25" s="15" t="s">
        <v>355</v>
      </c>
      <c r="E25" s="15">
        <v>2009</v>
      </c>
      <c r="F25" s="90" t="s">
        <v>354</v>
      </c>
      <c r="G25" s="90" t="s">
        <v>422</v>
      </c>
      <c r="H25" s="15" t="s">
        <v>356</v>
      </c>
    </row>
    <row r="26" spans="1:8" x14ac:dyDescent="0.2">
      <c r="A26" s="15"/>
      <c r="B26" s="93">
        <f t="shared" si="0"/>
        <v>23</v>
      </c>
      <c r="C26" s="17" t="s">
        <v>64</v>
      </c>
      <c r="D26" s="15" t="s">
        <v>360</v>
      </c>
      <c r="E26" s="15">
        <v>2014</v>
      </c>
      <c r="F26" s="90" t="s">
        <v>361</v>
      </c>
      <c r="G26" s="90" t="s">
        <v>422</v>
      </c>
      <c r="H26" s="15" t="s">
        <v>362</v>
      </c>
    </row>
    <row r="27" spans="1:8" x14ac:dyDescent="0.2">
      <c r="A27" s="15"/>
      <c r="B27" s="93">
        <f t="shared" si="0"/>
        <v>24</v>
      </c>
      <c r="C27" s="17" t="s">
        <v>64</v>
      </c>
      <c r="D27" s="15" t="s">
        <v>365</v>
      </c>
      <c r="E27" s="15">
        <v>2013</v>
      </c>
      <c r="F27" s="90" t="s">
        <v>364</v>
      </c>
      <c r="G27" s="90" t="s">
        <v>422</v>
      </c>
      <c r="H27" s="15" t="s">
        <v>366</v>
      </c>
    </row>
    <row r="28" spans="1:8" x14ac:dyDescent="0.2">
      <c r="A28" s="15"/>
      <c r="B28" s="93">
        <f t="shared" si="0"/>
        <v>25</v>
      </c>
      <c r="C28" s="17" t="s">
        <v>64</v>
      </c>
      <c r="D28" s="15" t="s">
        <v>368</v>
      </c>
      <c r="E28" s="15">
        <v>2009</v>
      </c>
      <c r="F28" s="90" t="s">
        <v>367</v>
      </c>
      <c r="G28" s="90" t="s">
        <v>422</v>
      </c>
      <c r="H28" s="15" t="s">
        <v>372</v>
      </c>
    </row>
    <row r="29" spans="1:8" x14ac:dyDescent="0.2">
      <c r="B29" s="93">
        <f t="shared" si="0"/>
        <v>26</v>
      </c>
      <c r="C29" s="17" t="s">
        <v>64</v>
      </c>
      <c r="D29" s="15" t="s">
        <v>369</v>
      </c>
      <c r="E29" s="15">
        <v>2016</v>
      </c>
      <c r="F29" s="90" t="s">
        <v>370</v>
      </c>
      <c r="G29" s="90" t="s">
        <v>422</v>
      </c>
      <c r="H29" s="15" t="s">
        <v>371</v>
      </c>
    </row>
    <row r="30" spans="1:8" x14ac:dyDescent="0.2">
      <c r="B30" s="93">
        <f t="shared" si="0"/>
        <v>27</v>
      </c>
      <c r="C30" s="17" t="s">
        <v>64</v>
      </c>
      <c r="D30" s="15" t="s">
        <v>374</v>
      </c>
      <c r="E30" s="15">
        <v>2016</v>
      </c>
      <c r="F30" s="90" t="s">
        <v>375</v>
      </c>
      <c r="G30" s="90" t="s">
        <v>422</v>
      </c>
      <c r="H30" s="15" t="s">
        <v>427</v>
      </c>
    </row>
    <row r="31" spans="1:8" x14ac:dyDescent="0.2">
      <c r="B31" s="93">
        <f t="shared" si="0"/>
        <v>28</v>
      </c>
      <c r="C31" s="17" t="s">
        <v>64</v>
      </c>
      <c r="D31" s="15" t="s">
        <v>377</v>
      </c>
      <c r="E31" s="15">
        <v>2015</v>
      </c>
      <c r="F31" s="90" t="s">
        <v>378</v>
      </c>
      <c r="G31" s="90" t="s">
        <v>421</v>
      </c>
      <c r="H31" s="15" t="s">
        <v>378</v>
      </c>
    </row>
    <row r="32" spans="1:8" x14ac:dyDescent="0.2">
      <c r="B32" s="93">
        <f t="shared" si="0"/>
        <v>29</v>
      </c>
      <c r="C32" s="17" t="s">
        <v>64</v>
      </c>
      <c r="D32" s="15" t="s">
        <v>380</v>
      </c>
      <c r="E32" s="15">
        <v>2014</v>
      </c>
      <c r="F32" s="90" t="s">
        <v>379</v>
      </c>
      <c r="G32" s="90" t="s">
        <v>422</v>
      </c>
      <c r="H32" s="15" t="s">
        <v>381</v>
      </c>
    </row>
    <row r="33" spans="2:8" x14ac:dyDescent="0.2">
      <c r="B33" s="93">
        <f t="shared" si="0"/>
        <v>30</v>
      </c>
      <c r="C33" s="17" t="s">
        <v>64</v>
      </c>
      <c r="D33" s="15" t="s">
        <v>383</v>
      </c>
      <c r="E33" s="15">
        <v>2014</v>
      </c>
      <c r="F33" s="90" t="s">
        <v>382</v>
      </c>
      <c r="G33" s="90" t="s">
        <v>422</v>
      </c>
      <c r="H33" s="15" t="s">
        <v>388</v>
      </c>
    </row>
    <row r="34" spans="2:8" x14ac:dyDescent="0.2">
      <c r="B34" s="93">
        <f t="shared" si="0"/>
        <v>31</v>
      </c>
      <c r="C34" s="17" t="s">
        <v>64</v>
      </c>
      <c r="D34" s="15" t="s">
        <v>385</v>
      </c>
      <c r="E34" s="15">
        <v>2014</v>
      </c>
      <c r="F34" s="90" t="s">
        <v>384</v>
      </c>
      <c r="G34" s="90" t="s">
        <v>422</v>
      </c>
      <c r="H34" s="15" t="s">
        <v>426</v>
      </c>
    </row>
    <row r="35" spans="2:8" x14ac:dyDescent="0.2">
      <c r="B35" s="93">
        <f t="shared" si="0"/>
        <v>32</v>
      </c>
      <c r="C35" s="17" t="s">
        <v>64</v>
      </c>
      <c r="D35" s="15" t="s">
        <v>387</v>
      </c>
      <c r="E35" s="15">
        <v>2014</v>
      </c>
      <c r="F35" s="90" t="s">
        <v>386</v>
      </c>
      <c r="G35" s="90" t="s">
        <v>422</v>
      </c>
      <c r="H35" s="15" t="s">
        <v>424</v>
      </c>
    </row>
    <row r="36" spans="2:8" x14ac:dyDescent="0.2">
      <c r="B36" s="93">
        <f t="shared" si="0"/>
        <v>33</v>
      </c>
      <c r="C36" s="17" t="s">
        <v>64</v>
      </c>
      <c r="D36" s="15" t="s">
        <v>390</v>
      </c>
      <c r="E36" s="15">
        <v>2013</v>
      </c>
      <c r="F36" s="90" t="s">
        <v>389</v>
      </c>
      <c r="G36" s="90" t="s">
        <v>422</v>
      </c>
      <c r="H36" s="15" t="s">
        <v>425</v>
      </c>
    </row>
    <row r="37" spans="2:8" x14ac:dyDescent="0.2">
      <c r="B37" s="93">
        <f t="shared" si="0"/>
        <v>34</v>
      </c>
      <c r="C37" s="17" t="s">
        <v>64</v>
      </c>
      <c r="D37" s="15" t="s">
        <v>392</v>
      </c>
      <c r="E37" s="15">
        <v>2013</v>
      </c>
      <c r="F37" s="90" t="s">
        <v>391</v>
      </c>
      <c r="G37" s="90" t="s">
        <v>421</v>
      </c>
      <c r="H37" s="15" t="s">
        <v>393</v>
      </c>
    </row>
    <row r="38" spans="2:8" x14ac:dyDescent="0.2">
      <c r="B38" s="93">
        <f t="shared" si="0"/>
        <v>35</v>
      </c>
      <c r="C38" s="17" t="s">
        <v>64</v>
      </c>
      <c r="D38" s="15" t="s">
        <v>396</v>
      </c>
      <c r="E38" s="15">
        <v>2013</v>
      </c>
      <c r="F38" s="90" t="s">
        <v>394</v>
      </c>
      <c r="G38" s="90" t="s">
        <v>421</v>
      </c>
      <c r="H38" s="15" t="s">
        <v>395</v>
      </c>
    </row>
    <row r="39" spans="2:8" x14ac:dyDescent="0.2">
      <c r="B39" s="93">
        <f t="shared" si="0"/>
        <v>36</v>
      </c>
      <c r="C39" s="17" t="s">
        <v>64</v>
      </c>
      <c r="D39" s="15" t="s">
        <v>398</v>
      </c>
      <c r="E39" s="15">
        <v>2013</v>
      </c>
      <c r="F39" s="90" t="s">
        <v>397</v>
      </c>
      <c r="G39" s="90" t="s">
        <v>422</v>
      </c>
      <c r="H39" s="15" t="s">
        <v>96</v>
      </c>
    </row>
    <row r="40" spans="2:8" x14ac:dyDescent="0.2">
      <c r="B40" s="93">
        <f t="shared" si="0"/>
        <v>37</v>
      </c>
      <c r="C40" s="17" t="s">
        <v>64</v>
      </c>
      <c r="D40" s="15" t="s">
        <v>400</v>
      </c>
      <c r="E40" s="15">
        <v>2012</v>
      </c>
      <c r="F40" s="90" t="s">
        <v>399</v>
      </c>
      <c r="G40" s="90" t="s">
        <v>422</v>
      </c>
      <c r="H40" s="15" t="s">
        <v>96</v>
      </c>
    </row>
    <row r="41" spans="2:8" x14ac:dyDescent="0.2">
      <c r="B41" s="93">
        <f t="shared" si="0"/>
        <v>38</v>
      </c>
      <c r="C41" s="17" t="s">
        <v>64</v>
      </c>
      <c r="D41" s="15" t="s">
        <v>405</v>
      </c>
      <c r="E41" s="15">
        <v>2012</v>
      </c>
      <c r="F41" s="90" t="s">
        <v>406</v>
      </c>
      <c r="G41" s="90" t="s">
        <v>421</v>
      </c>
      <c r="H41" s="15" t="s">
        <v>407</v>
      </c>
    </row>
    <row r="42" spans="2:8" x14ac:dyDescent="0.2">
      <c r="B42" s="93">
        <f t="shared" si="0"/>
        <v>39</v>
      </c>
      <c r="C42" s="17" t="s">
        <v>64</v>
      </c>
      <c r="D42" s="15" t="s">
        <v>637</v>
      </c>
      <c r="E42" s="15">
        <v>2015</v>
      </c>
      <c r="F42" s="90" t="s">
        <v>638</v>
      </c>
      <c r="G42" s="90" t="s">
        <v>421</v>
      </c>
      <c r="H42" s="15" t="s">
        <v>639</v>
      </c>
    </row>
    <row r="43" spans="2:8" x14ac:dyDescent="0.2">
      <c r="B43" s="93">
        <f t="shared" si="0"/>
        <v>40</v>
      </c>
      <c r="C43" s="17" t="s">
        <v>64</v>
      </c>
      <c r="D43" s="15" t="s">
        <v>664</v>
      </c>
      <c r="E43" s="15">
        <v>2010</v>
      </c>
      <c r="F43" s="90" t="s">
        <v>663</v>
      </c>
      <c r="G43" s="90" t="s">
        <v>421</v>
      </c>
      <c r="H43" s="15" t="s">
        <v>423</v>
      </c>
    </row>
    <row r="44" spans="2:8" x14ac:dyDescent="0.2">
      <c r="B44" s="93">
        <f t="shared" si="0"/>
        <v>41</v>
      </c>
      <c r="C44" s="17" t="s">
        <v>64</v>
      </c>
      <c r="D44" s="15" t="s">
        <v>666</v>
      </c>
      <c r="E44" s="15">
        <v>2015</v>
      </c>
      <c r="F44" s="90" t="s">
        <v>665</v>
      </c>
      <c r="G44" s="90" t="s">
        <v>421</v>
      </c>
      <c r="H44" s="15" t="s">
        <v>667</v>
      </c>
    </row>
    <row r="45" spans="2:8" x14ac:dyDescent="0.2">
      <c r="B45" s="93">
        <f t="shared" si="0"/>
        <v>42</v>
      </c>
      <c r="C45" s="17"/>
      <c r="F45" s="90"/>
      <c r="G45" s="90"/>
    </row>
    <row r="46" spans="2:8" x14ac:dyDescent="0.2">
      <c r="B46" s="93">
        <f t="shared" si="0"/>
        <v>43</v>
      </c>
      <c r="C46" s="17"/>
      <c r="F46" s="90"/>
      <c r="G46" s="90"/>
    </row>
    <row r="47" spans="2:8" x14ac:dyDescent="0.2">
      <c r="B47" s="93">
        <f t="shared" si="0"/>
        <v>44</v>
      </c>
      <c r="C47" s="17"/>
      <c r="F47" s="90"/>
      <c r="G47" s="90"/>
    </row>
    <row r="48" spans="2:8" x14ac:dyDescent="0.2">
      <c r="B48" s="93">
        <f t="shared" si="0"/>
        <v>45</v>
      </c>
      <c r="C48" s="17"/>
      <c r="F48" s="90"/>
      <c r="G48" s="90"/>
    </row>
    <row r="49" spans="2:7" x14ac:dyDescent="0.2">
      <c r="B49" s="93">
        <f t="shared" si="0"/>
        <v>46</v>
      </c>
      <c r="C49" s="17"/>
      <c r="F49" s="90"/>
      <c r="G49" s="90"/>
    </row>
    <row r="50" spans="2:7" x14ac:dyDescent="0.2">
      <c r="B50" s="93">
        <f t="shared" si="0"/>
        <v>47</v>
      </c>
      <c r="C50" s="17"/>
      <c r="F50" s="90"/>
      <c r="G50" s="90"/>
    </row>
    <row r="51" spans="2:7" x14ac:dyDescent="0.2">
      <c r="B51" s="93">
        <f t="shared" si="0"/>
        <v>48</v>
      </c>
      <c r="C51" s="17"/>
      <c r="F51" s="90"/>
      <c r="G51" s="90"/>
    </row>
  </sheetData>
  <mergeCells count="1">
    <mergeCell ref="B1:H1"/>
  </mergeCells>
  <conditionalFormatting sqref="D4:G32">
    <cfRule type="expression" dxfId="286" priority="24">
      <formula>COUNTIFS($D$4:$D$51,$D4,$E$4:$E$51,$E4,$F$4:$F$51,$F4)&gt;1</formula>
    </cfRule>
  </conditionalFormatting>
  <conditionalFormatting sqref="G40">
    <cfRule type="expression" dxfId="285" priority="5">
      <formula>COUNTIFS($D$4:$D$51,$D40,$E$4:$E$51,$E40,$F$4:$F$51,$F40)&gt;1</formula>
    </cfRule>
  </conditionalFormatting>
  <conditionalFormatting sqref="G39">
    <cfRule type="expression" dxfId="284" priority="4">
      <formula>COUNTIFS($D$4:$D$51,$D39,$E$4:$E$51,$E39,$F$4:$F$51,$F39)&gt;1</formula>
    </cfRule>
  </conditionalFormatting>
  <conditionalFormatting sqref="G36">
    <cfRule type="expression" dxfId="283" priority="3">
      <formula>COUNTIFS($D$4:$D$51,$D36,$E$4:$E$51,$E36,$F$4:$F$51,$F36)&gt;1</formula>
    </cfRule>
  </conditionalFormatting>
  <conditionalFormatting sqref="G34">
    <cfRule type="expression" dxfId="282" priority="2">
      <formula>COUNTIFS($D$4:$D$51,$D34,$E$4:$E$51,$E34,$F$4:$F$51,$F34)&gt;1</formula>
    </cfRule>
  </conditionalFormatting>
  <conditionalFormatting sqref="G33">
    <cfRule type="expression" dxfId="281" priority="1">
      <formula>COUNTIFS($D$4:$D$51,$D33,$E$4:$E$51,$E33,$F$4:$F$51,$F33)&gt;1</formula>
    </cfRule>
  </conditionalFormatting>
  <dataValidations count="1">
    <dataValidation allowBlank="1" showInputMessage="1" sqref="H2:H3 H23:H1048576"/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'(Codierung)'!$J$2:$J$5</xm:f>
          </x14:formula1>
          <xm:sqref>G4:G51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 enableFormatConditionsCalculation="0"/>
  <dimension ref="A1:AY47"/>
  <sheetViews>
    <sheetView showGridLines="0" topLeftCell="A2" zoomScale="75" zoomScaleNormal="90" zoomScalePageLayoutView="90" workbookViewId="0">
      <selection activeCell="AD18" sqref="AD18"/>
    </sheetView>
  </sheetViews>
  <sheetFormatPr baseColWidth="10" defaultColWidth="10.83203125" defaultRowHeight="16" x14ac:dyDescent="0.2"/>
  <cols>
    <col min="1" max="1" width="10.83203125" style="172"/>
    <col min="2" max="2" width="4.6640625" style="376" customWidth="1"/>
    <col min="3" max="3" width="10.6640625" style="139" bestFit="1" customWidth="1"/>
    <col min="4" max="4" width="9.33203125" style="176" bestFit="1" customWidth="1"/>
    <col min="5" max="5" width="23" style="139" bestFit="1" customWidth="1"/>
    <col min="6" max="6" width="14.83203125" style="139" customWidth="1"/>
    <col min="7" max="7" width="24" style="139" customWidth="1"/>
    <col min="8" max="8" width="83.1640625" style="139" customWidth="1"/>
    <col min="9" max="9" width="30.33203125" style="139" bestFit="1" customWidth="1"/>
    <col min="10" max="10" width="17.1640625" style="139" customWidth="1"/>
    <col min="11" max="12" width="4.33203125" style="139" customWidth="1"/>
    <col min="13" max="36" width="3.1640625" style="139" customWidth="1"/>
    <col min="37" max="16384" width="10.83203125" style="139"/>
  </cols>
  <sheetData>
    <row r="1" spans="1:51" s="159" customFormat="1" ht="100" customHeight="1" x14ac:dyDescent="0.2">
      <c r="B1" s="398"/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</row>
    <row r="2" spans="1:51" s="159" customFormat="1" ht="43" customHeight="1" thickBot="1" x14ac:dyDescent="0.25">
      <c r="A2" s="164"/>
      <c r="B2" s="375"/>
      <c r="D2" s="165"/>
      <c r="Q2" s="166"/>
      <c r="R2" s="166"/>
      <c r="S2" s="166"/>
      <c r="T2" s="166"/>
      <c r="U2" s="166"/>
      <c r="V2" s="166"/>
      <c r="W2" s="167"/>
      <c r="X2" s="167"/>
      <c r="Y2" s="168"/>
      <c r="Z2" s="168"/>
      <c r="AA2" s="168"/>
      <c r="AB2" s="168"/>
      <c r="AC2" s="169"/>
      <c r="AD2" s="166"/>
    </row>
    <row r="3" spans="1:51" s="171" customFormat="1" ht="25" x14ac:dyDescent="0.15">
      <c r="A3" s="170"/>
      <c r="B3" s="451" t="s">
        <v>60</v>
      </c>
      <c r="C3" s="452"/>
      <c r="D3" s="452"/>
      <c r="E3" s="453"/>
      <c r="F3" s="454" t="s">
        <v>599</v>
      </c>
      <c r="G3" s="455"/>
      <c r="H3" s="455"/>
      <c r="I3" s="455"/>
      <c r="J3" s="455"/>
      <c r="K3" s="455"/>
      <c r="L3" s="455"/>
      <c r="M3" s="455"/>
      <c r="N3" s="455"/>
      <c r="O3" s="455"/>
      <c r="P3" s="455"/>
      <c r="Q3" s="455"/>
      <c r="R3" s="455"/>
      <c r="S3" s="455"/>
      <c r="T3" s="455"/>
      <c r="U3" s="455"/>
      <c r="V3" s="435" t="s">
        <v>712</v>
      </c>
      <c r="W3" s="435"/>
      <c r="X3" s="435"/>
      <c r="Y3" s="435"/>
      <c r="Z3" s="435"/>
      <c r="AA3" s="435"/>
      <c r="AB3" s="436"/>
      <c r="AC3" s="344" t="s">
        <v>718</v>
      </c>
      <c r="AD3" s="345"/>
      <c r="AE3" s="346">
        <v>1</v>
      </c>
      <c r="AF3" s="347"/>
      <c r="AG3" s="348" t="s">
        <v>719</v>
      </c>
      <c r="AH3" s="349"/>
      <c r="AI3" s="350">
        <v>3</v>
      </c>
      <c r="AJ3" s="307"/>
      <c r="AK3" s="288"/>
      <c r="AL3" s="289"/>
      <c r="AM3" s="290"/>
      <c r="AN3" s="287"/>
    </row>
    <row r="4" spans="1:51" s="171" customFormat="1" ht="16" customHeight="1" x14ac:dyDescent="0.2">
      <c r="A4" s="170"/>
      <c r="B4" s="456" t="s">
        <v>61</v>
      </c>
      <c r="C4" s="456" t="s">
        <v>22</v>
      </c>
      <c r="D4" s="456" t="s">
        <v>23</v>
      </c>
      <c r="E4" s="456" t="s">
        <v>717</v>
      </c>
      <c r="F4" s="458" t="s">
        <v>714</v>
      </c>
      <c r="G4" s="461" t="s">
        <v>713</v>
      </c>
      <c r="H4" s="291"/>
      <c r="I4" s="458" t="s">
        <v>716</v>
      </c>
      <c r="J4" s="463" t="s">
        <v>711</v>
      </c>
      <c r="K4" s="443" t="s">
        <v>742</v>
      </c>
      <c r="L4" s="449"/>
      <c r="M4" s="443" t="s">
        <v>710</v>
      </c>
      <c r="N4" s="444"/>
      <c r="O4" s="444"/>
      <c r="P4" s="445"/>
      <c r="Q4" s="437" t="s">
        <v>62</v>
      </c>
      <c r="R4" s="438"/>
      <c r="S4" s="438"/>
      <c r="T4" s="438"/>
      <c r="U4" s="438"/>
      <c r="V4" s="438"/>
      <c r="W4" s="438"/>
      <c r="X4" s="438"/>
      <c r="Y4" s="438"/>
      <c r="Z4" s="438"/>
      <c r="AA4" s="438"/>
      <c r="AB4" s="438"/>
      <c r="AC4" s="438"/>
      <c r="AD4" s="439"/>
      <c r="AE4" s="437" t="s">
        <v>63</v>
      </c>
      <c r="AF4" s="438"/>
      <c r="AG4" s="438"/>
      <c r="AH4" s="438"/>
      <c r="AI4" s="438"/>
      <c r="AJ4" s="459"/>
    </row>
    <row r="5" spans="1:51" ht="16" customHeight="1" thickBot="1" x14ac:dyDescent="0.25">
      <c r="B5" s="457"/>
      <c r="C5" s="458"/>
      <c r="D5" s="458"/>
      <c r="E5" s="458"/>
      <c r="F5" s="462"/>
      <c r="G5" s="461"/>
      <c r="H5" s="292" t="s">
        <v>715</v>
      </c>
      <c r="I5" s="458"/>
      <c r="J5" s="463"/>
      <c r="K5" s="446"/>
      <c r="L5" s="450"/>
      <c r="M5" s="446"/>
      <c r="N5" s="447"/>
      <c r="O5" s="447"/>
      <c r="P5" s="448"/>
      <c r="Q5" s="440"/>
      <c r="R5" s="441"/>
      <c r="S5" s="441"/>
      <c r="T5" s="441"/>
      <c r="U5" s="441"/>
      <c r="V5" s="441"/>
      <c r="W5" s="441"/>
      <c r="X5" s="441"/>
      <c r="Y5" s="441"/>
      <c r="Z5" s="441"/>
      <c r="AA5" s="441"/>
      <c r="AB5" s="441"/>
      <c r="AC5" s="441"/>
      <c r="AD5" s="442"/>
      <c r="AE5" s="440"/>
      <c r="AF5" s="441"/>
      <c r="AG5" s="441"/>
      <c r="AH5" s="441"/>
      <c r="AI5" s="441"/>
      <c r="AJ5" s="460"/>
      <c r="AL5" s="304"/>
      <c r="AM5" s="304"/>
      <c r="AN5" s="304"/>
      <c r="AO5" s="304"/>
      <c r="AP5" s="304"/>
      <c r="AQ5" s="304"/>
      <c r="AR5" s="304"/>
      <c r="AS5" s="304"/>
      <c r="AT5" s="304"/>
      <c r="AU5" s="304"/>
      <c r="AV5" s="304"/>
      <c r="AW5" s="304"/>
      <c r="AX5" s="304"/>
      <c r="AY5" s="304"/>
    </row>
    <row r="6" spans="1:51" s="174" customFormat="1" ht="86" customHeight="1" thickBot="1" x14ac:dyDescent="0.25">
      <c r="A6" s="173"/>
      <c r="B6" s="294" t="s">
        <v>626</v>
      </c>
      <c r="C6" s="296" t="s">
        <v>578</v>
      </c>
      <c r="D6" s="295" t="s">
        <v>579</v>
      </c>
      <c r="E6" s="293" t="s">
        <v>580</v>
      </c>
      <c r="F6" s="297" t="s">
        <v>581</v>
      </c>
      <c r="G6" s="286" t="s">
        <v>582</v>
      </c>
      <c r="H6" s="286" t="s">
        <v>583</v>
      </c>
      <c r="I6" s="286" t="s">
        <v>584</v>
      </c>
      <c r="J6" s="285" t="s">
        <v>585</v>
      </c>
      <c r="K6" s="302" t="s">
        <v>434</v>
      </c>
      <c r="L6" s="303" t="s">
        <v>438</v>
      </c>
      <c r="M6" s="302" t="s">
        <v>34</v>
      </c>
      <c r="N6" s="303" t="s">
        <v>35</v>
      </c>
      <c r="O6" s="303" t="s">
        <v>36</v>
      </c>
      <c r="P6" s="303" t="s">
        <v>123</v>
      </c>
      <c r="Q6" s="298" t="s">
        <v>724</v>
      </c>
      <c r="R6" s="299" t="s">
        <v>720</v>
      </c>
      <c r="S6" s="299" t="s">
        <v>721</v>
      </c>
      <c r="T6" s="299" t="s">
        <v>339</v>
      </c>
      <c r="U6" s="299" t="s">
        <v>340</v>
      </c>
      <c r="V6" s="299" t="s">
        <v>342</v>
      </c>
      <c r="W6" s="299" t="s">
        <v>722</v>
      </c>
      <c r="X6" s="299" t="s">
        <v>345</v>
      </c>
      <c r="Y6" s="299" t="s">
        <v>346</v>
      </c>
      <c r="Z6" s="299" t="s">
        <v>347</v>
      </c>
      <c r="AA6" s="299" t="s">
        <v>723</v>
      </c>
      <c r="AB6" s="299" t="s">
        <v>349</v>
      </c>
      <c r="AC6" s="299" t="s">
        <v>725</v>
      </c>
      <c r="AD6" s="299" t="s">
        <v>351</v>
      </c>
      <c r="AE6" s="300" t="s">
        <v>334</v>
      </c>
      <c r="AF6" s="301" t="s">
        <v>336</v>
      </c>
      <c r="AG6" s="301" t="s">
        <v>338</v>
      </c>
      <c r="AH6" s="301" t="s">
        <v>311</v>
      </c>
      <c r="AI6" s="301" t="s">
        <v>341</v>
      </c>
      <c r="AJ6" s="301" t="s">
        <v>343</v>
      </c>
      <c r="AL6" s="304"/>
      <c r="AM6" s="304"/>
      <c r="AN6" s="304"/>
      <c r="AO6" s="304"/>
      <c r="AP6" s="304"/>
      <c r="AQ6" s="304"/>
      <c r="AR6" s="305"/>
      <c r="AS6" s="305"/>
      <c r="AT6" s="305"/>
      <c r="AU6" s="305"/>
      <c r="AV6" s="305"/>
      <c r="AW6" s="305"/>
      <c r="AX6" s="305"/>
      <c r="AY6" s="305"/>
    </row>
    <row r="7" spans="1:51" x14ac:dyDescent="0.2">
      <c r="A7" s="219"/>
      <c r="B7" s="259">
        <f t="shared" ref="B7:B47" si="0">ROW()-6</f>
        <v>1</v>
      </c>
      <c r="C7" s="261" t="str">
        <f>_xlfn.IFNA(IF(VLOOKUP('1.4 Analyse &amp; Synthese'!$B29,Tabelle4[#All],2,FALSE)="x",VLOOKUP('1.4 Analyse &amp; Synthese'!$B29,Tabelle4[#All],3,FALSE),""),"")</f>
        <v>Abdeladim</v>
      </c>
      <c r="D7" s="253">
        <f>_xlfn.IFNA(IF(VLOOKUP('1.4 Analyse &amp; Synthese'!$B29,Tabelle4[#All],2,FALSE)="x",VLOOKUP('1.4 Analyse &amp; Synthese'!$B29,Tabelle4[#All],4,FALSE),""),"")</f>
        <v>2014</v>
      </c>
      <c r="E7" s="238" t="s">
        <v>4</v>
      </c>
      <c r="F7" s="278" t="s">
        <v>29</v>
      </c>
      <c r="G7" s="239" t="s">
        <v>662</v>
      </c>
      <c r="H7" s="239" t="s">
        <v>628</v>
      </c>
      <c r="I7" s="239" t="s">
        <v>652</v>
      </c>
      <c r="J7" s="239"/>
      <c r="K7" s="255" t="s">
        <v>64</v>
      </c>
      <c r="L7" s="256"/>
      <c r="M7" s="255" t="s">
        <v>64</v>
      </c>
      <c r="N7" s="256"/>
      <c r="O7" s="256"/>
      <c r="P7" s="256"/>
      <c r="Q7" s="240"/>
      <c r="R7" s="241"/>
      <c r="S7" s="241">
        <v>1</v>
      </c>
      <c r="T7" s="241">
        <v>3</v>
      </c>
      <c r="U7" s="241"/>
      <c r="V7" s="241">
        <v>3</v>
      </c>
      <c r="W7" s="241"/>
      <c r="X7" s="241">
        <v>1</v>
      </c>
      <c r="Y7" s="241"/>
      <c r="Z7" s="241">
        <v>1</v>
      </c>
      <c r="AA7" s="242"/>
      <c r="AB7" s="241"/>
      <c r="AC7" s="241"/>
      <c r="AD7" s="241"/>
      <c r="AE7" s="243"/>
      <c r="AF7" s="241"/>
      <c r="AG7" s="241"/>
      <c r="AH7" s="241"/>
      <c r="AI7" s="241"/>
      <c r="AJ7" s="241"/>
      <c r="AL7" s="306"/>
      <c r="AM7" s="306"/>
      <c r="AN7" s="306"/>
      <c r="AO7" s="306"/>
      <c r="AP7" s="306"/>
      <c r="AQ7" s="306"/>
      <c r="AR7" s="306"/>
      <c r="AS7" s="306"/>
      <c r="AT7" s="306"/>
      <c r="AU7" s="306"/>
      <c r="AV7" s="306"/>
      <c r="AW7" s="306"/>
      <c r="AX7" s="306"/>
      <c r="AY7" s="306"/>
    </row>
    <row r="8" spans="1:51" x14ac:dyDescent="0.2">
      <c r="A8" s="219"/>
      <c r="B8" s="260">
        <f t="shared" si="0"/>
        <v>2</v>
      </c>
      <c r="C8" s="262" t="str">
        <f>_xlfn.IFNA(IF(VLOOKUP('1.4 Analyse &amp; Synthese'!$B20,Tabelle4[#All],2,FALSE)="x",VLOOKUP('1.4 Analyse &amp; Synthese'!$B20,Tabelle4[#All],3,FALSE),""),"")</f>
        <v>Abosi</v>
      </c>
      <c r="D8" s="254">
        <f>_xlfn.IFNA(IF(VLOOKUP('1.4 Analyse &amp; Synthese'!$B20,Tabelle4[#All],2,FALSE)="x",VLOOKUP('1.4 Analyse &amp; Synthese'!$B20,Tabelle4[#All],4,FALSE),""),"")</f>
        <v>2011</v>
      </c>
      <c r="E8" s="217" t="s">
        <v>17</v>
      </c>
      <c r="F8" s="279" t="s">
        <v>29</v>
      </c>
      <c r="G8" s="218" t="s">
        <v>412</v>
      </c>
      <c r="H8" s="218" t="s">
        <v>614</v>
      </c>
      <c r="I8" s="218" t="s">
        <v>613</v>
      </c>
      <c r="J8" s="218"/>
      <c r="K8" s="257" t="s">
        <v>64</v>
      </c>
      <c r="L8" s="258"/>
      <c r="M8" s="257" t="s">
        <v>64</v>
      </c>
      <c r="N8" s="258"/>
      <c r="O8" s="258"/>
      <c r="P8" s="258"/>
      <c r="Q8" s="244"/>
      <c r="R8" s="245"/>
      <c r="S8" s="245"/>
      <c r="T8" s="245"/>
      <c r="U8" s="245">
        <v>1</v>
      </c>
      <c r="V8" s="245"/>
      <c r="W8" s="245"/>
      <c r="X8" s="245"/>
      <c r="Y8" s="245"/>
      <c r="Z8" s="245"/>
      <c r="AA8" s="245"/>
      <c r="AB8" s="245"/>
      <c r="AC8" s="245"/>
      <c r="AD8" s="245">
        <v>1</v>
      </c>
      <c r="AE8" s="246"/>
      <c r="AF8" s="245">
        <v>1</v>
      </c>
      <c r="AG8" s="245"/>
      <c r="AH8" s="245"/>
      <c r="AI8" s="245"/>
      <c r="AJ8" s="245"/>
      <c r="AL8" s="306"/>
      <c r="AM8" s="306"/>
      <c r="AN8" s="306"/>
      <c r="AO8" s="306"/>
      <c r="AP8" s="306"/>
      <c r="AQ8" s="306"/>
      <c r="AR8" s="306"/>
      <c r="AS8" s="306"/>
      <c r="AT8" s="306"/>
      <c r="AU8" s="306"/>
      <c r="AV8" s="306"/>
      <c r="AW8" s="306"/>
      <c r="AX8" s="306"/>
      <c r="AY8" s="306"/>
    </row>
    <row r="9" spans="1:51" x14ac:dyDescent="0.2">
      <c r="A9" s="219"/>
      <c r="B9" s="260">
        <f t="shared" si="0"/>
        <v>3</v>
      </c>
      <c r="C9" s="262" t="str">
        <f>_xlfn.IFNA(IF(VLOOKUP('1.4 Analyse &amp; Synthese'!$B9,Tabelle4[#All],2,FALSE)="x",VLOOKUP('1.4 Analyse &amp; Synthese'!$B9,Tabelle4[#All],3,FALSE),""),"")</f>
        <v xml:space="preserve">Al-Hazmi </v>
      </c>
      <c r="D9" s="254">
        <f>_xlfn.IFNA(IF(VLOOKUP('1.4 Analyse &amp; Synthese'!$B9,Tabelle4[#All],2,FALSE)="x",VLOOKUP('1.4 Analyse &amp; Synthese'!$B9,Tabelle4[#All],4,FALSE),""),"")</f>
        <v>2012</v>
      </c>
      <c r="E9" s="217" t="s">
        <v>2</v>
      </c>
      <c r="F9" s="280" t="s">
        <v>27</v>
      </c>
      <c r="G9" s="247" t="s">
        <v>31</v>
      </c>
      <c r="H9" s="247" t="s">
        <v>604</v>
      </c>
      <c r="I9" s="218" t="s">
        <v>433</v>
      </c>
      <c r="J9" s="247" t="s">
        <v>51</v>
      </c>
      <c r="K9" s="257"/>
      <c r="L9" s="258" t="s">
        <v>64</v>
      </c>
      <c r="M9" s="257" t="s">
        <v>64</v>
      </c>
      <c r="N9" s="258"/>
      <c r="O9" s="258"/>
      <c r="P9" s="258"/>
      <c r="Q9" s="244"/>
      <c r="R9" s="245"/>
      <c r="S9" s="245">
        <v>1</v>
      </c>
      <c r="T9" s="245"/>
      <c r="U9" s="245"/>
      <c r="V9" s="245"/>
      <c r="W9" s="245">
        <v>3</v>
      </c>
      <c r="X9" s="245"/>
      <c r="Y9" s="245"/>
      <c r="Z9" s="245"/>
      <c r="AA9" s="245"/>
      <c r="AB9" s="245"/>
      <c r="AC9" s="245"/>
      <c r="AD9" s="245">
        <v>1</v>
      </c>
      <c r="AE9" s="246">
        <v>1</v>
      </c>
      <c r="AF9" s="245"/>
      <c r="AG9" s="245">
        <v>1</v>
      </c>
      <c r="AH9" s="245"/>
      <c r="AI9" s="245">
        <v>1</v>
      </c>
      <c r="AJ9" s="245"/>
    </row>
    <row r="10" spans="1:51" x14ac:dyDescent="0.2">
      <c r="A10" s="219"/>
      <c r="B10" s="260">
        <f t="shared" si="0"/>
        <v>4</v>
      </c>
      <c r="C10" s="262" t="str">
        <f>_xlfn.IFNA(IF(VLOOKUP('1.4 Analyse &amp; Synthese'!$B11,Tabelle4[#All],2,FALSE)="x",VLOOKUP('1.4 Analyse &amp; Synthese'!$B11,Tabelle4[#All],3,FALSE),""),"")</f>
        <v>Allison</v>
      </c>
      <c r="D10" s="254">
        <f>_xlfn.IFNA(IF(VLOOKUP('1.4 Analyse &amp; Synthese'!$B11,Tabelle4[#All],2,FALSE)="x",VLOOKUP('1.4 Analyse &amp; Synthese'!$B11,Tabelle4[#All],4,FALSE),""),"")</f>
        <v>2015</v>
      </c>
      <c r="E10" s="217" t="s">
        <v>3</v>
      </c>
      <c r="F10" s="279" t="s">
        <v>27</v>
      </c>
      <c r="G10" s="247" t="s">
        <v>31</v>
      </c>
      <c r="H10" s="247" t="s">
        <v>607</v>
      </c>
      <c r="I10" s="218" t="s">
        <v>436</v>
      </c>
      <c r="J10" s="247"/>
      <c r="K10" s="257" t="s">
        <v>64</v>
      </c>
      <c r="L10" s="258"/>
      <c r="M10" s="257" t="s">
        <v>64</v>
      </c>
      <c r="N10" s="258"/>
      <c r="O10" s="258"/>
      <c r="P10" s="258"/>
      <c r="Q10" s="244"/>
      <c r="R10" s="245">
        <v>1</v>
      </c>
      <c r="S10" s="245"/>
      <c r="T10" s="245">
        <v>3</v>
      </c>
      <c r="U10" s="245"/>
      <c r="V10" s="245"/>
      <c r="W10" s="245">
        <v>3</v>
      </c>
      <c r="X10" s="245"/>
      <c r="Y10" s="245"/>
      <c r="Z10" s="245"/>
      <c r="AA10" s="245"/>
      <c r="AB10" s="245"/>
      <c r="AC10" s="245"/>
      <c r="AD10" s="245"/>
      <c r="AE10" s="246">
        <v>3</v>
      </c>
      <c r="AF10" s="245">
        <v>1</v>
      </c>
      <c r="AG10" s="245">
        <v>1</v>
      </c>
      <c r="AH10" s="245"/>
      <c r="AI10" s="245">
        <v>1</v>
      </c>
      <c r="AJ10" s="245"/>
    </row>
    <row r="11" spans="1:51" s="193" customFormat="1" x14ac:dyDescent="0.2">
      <c r="A11" s="219"/>
      <c r="B11" s="260">
        <f t="shared" si="0"/>
        <v>5</v>
      </c>
      <c r="C11" s="262" t="str">
        <f>_xlfn.IFNA(IF(VLOOKUP('1.4 Analyse &amp; Synthese'!$B30,Tabelle4[#All],2,FALSE)="x",VLOOKUP('1.4 Analyse &amp; Synthese'!$B30,Tabelle4[#All],3,FALSE),""),"")</f>
        <v>Aversa</v>
      </c>
      <c r="D11" s="254">
        <f>_xlfn.IFNA(IF(VLOOKUP('1.4 Analyse &amp; Synthese'!$B30,Tabelle4[#All],2,FALSE)="x",VLOOKUP('1.4 Analyse &amp; Synthese'!$B30,Tabelle4[#All],4,FALSE),""),"")</f>
        <v>2013</v>
      </c>
      <c r="E11" s="217" t="s">
        <v>4</v>
      </c>
      <c r="F11" s="281" t="s">
        <v>27</v>
      </c>
      <c r="G11" s="218" t="s">
        <v>31</v>
      </c>
      <c r="H11" s="218" t="s">
        <v>627</v>
      </c>
      <c r="I11" s="218" t="s">
        <v>433</v>
      </c>
      <c r="J11" s="218" t="s">
        <v>601</v>
      </c>
      <c r="K11" s="257" t="s">
        <v>64</v>
      </c>
      <c r="L11" s="258"/>
      <c r="M11" s="257" t="s">
        <v>64</v>
      </c>
      <c r="N11" s="258"/>
      <c r="O11" s="258"/>
      <c r="P11" s="258"/>
      <c r="Q11" s="244"/>
      <c r="R11" s="245"/>
      <c r="S11" s="245">
        <v>3</v>
      </c>
      <c r="T11" s="245"/>
      <c r="U11" s="245"/>
      <c r="V11" s="245"/>
      <c r="W11" s="245">
        <v>3</v>
      </c>
      <c r="X11" s="245"/>
      <c r="Y11" s="245"/>
      <c r="Z11" s="245">
        <v>3</v>
      </c>
      <c r="AA11" s="245"/>
      <c r="AB11" s="245"/>
      <c r="AC11" s="245"/>
      <c r="AD11" s="245"/>
      <c r="AE11" s="246"/>
      <c r="AF11" s="245">
        <v>1</v>
      </c>
      <c r="AG11" s="245">
        <v>1</v>
      </c>
      <c r="AH11" s="245"/>
      <c r="AI11" s="245">
        <v>1</v>
      </c>
      <c r="AJ11" s="245"/>
    </row>
    <row r="12" spans="1:51" x14ac:dyDescent="0.2">
      <c r="A12" s="219"/>
      <c r="B12" s="260">
        <f t="shared" si="0"/>
        <v>6</v>
      </c>
      <c r="C12" s="262" t="str">
        <f>_xlfn.IFNA(IF(VLOOKUP('1.4 Analyse &amp; Synthese'!$B14,Tabelle4[#All],2,FALSE)="x",VLOOKUP('1.4 Analyse &amp; Synthese'!$B14,Tabelle4[#All],3,FALSE),""),"")</f>
        <v xml:space="preserve">Bahrami </v>
      </c>
      <c r="D12" s="254">
        <f>_xlfn.IFNA(IF(VLOOKUP('1.4 Analyse &amp; Synthese'!$B14,Tabelle4[#All],2,FALSE)="x",VLOOKUP('1.4 Analyse &amp; Synthese'!$B14,Tabelle4[#All],4,FALSE),""),"")</f>
        <v>2015</v>
      </c>
      <c r="E12" s="217" t="s">
        <v>6</v>
      </c>
      <c r="F12" s="279" t="s">
        <v>29</v>
      </c>
      <c r="G12" s="247" t="s">
        <v>743</v>
      </c>
      <c r="H12" s="247" t="s">
        <v>609</v>
      </c>
      <c r="I12" s="218" t="s">
        <v>654</v>
      </c>
      <c r="J12" s="247"/>
      <c r="K12" s="257"/>
      <c r="L12" s="258" t="s">
        <v>64</v>
      </c>
      <c r="M12" s="257"/>
      <c r="N12" s="258"/>
      <c r="O12" s="258" t="s">
        <v>64</v>
      </c>
      <c r="P12" s="258"/>
      <c r="Q12" s="244"/>
      <c r="R12" s="245">
        <v>1</v>
      </c>
      <c r="S12" s="245"/>
      <c r="T12" s="245"/>
      <c r="U12" s="245"/>
      <c r="V12" s="245">
        <v>3</v>
      </c>
      <c r="W12" s="245">
        <v>1</v>
      </c>
      <c r="X12" s="245"/>
      <c r="Y12" s="245"/>
      <c r="Z12" s="245"/>
      <c r="AA12" s="245"/>
      <c r="AB12" s="245"/>
      <c r="AC12" s="245"/>
      <c r="AD12" s="245"/>
      <c r="AE12" s="246">
        <v>1</v>
      </c>
      <c r="AF12" s="245">
        <v>3</v>
      </c>
      <c r="AG12" s="245"/>
      <c r="AH12" s="245"/>
      <c r="AI12" s="245"/>
      <c r="AJ12" s="245"/>
    </row>
    <row r="13" spans="1:51" s="193" customFormat="1" x14ac:dyDescent="0.2">
      <c r="A13" s="175"/>
      <c r="B13" s="260">
        <f t="shared" si="0"/>
        <v>7</v>
      </c>
      <c r="C13" s="262" t="str">
        <f>_xlfn.IFNA(IF(VLOOKUP('1.4 Analyse &amp; Synthese'!$B23,Tabelle4[#All],2,FALSE)="x",VLOOKUP('1.4 Analyse &amp; Synthese'!$B23,Tabelle4[#All],3,FALSE),""),"")</f>
        <v xml:space="preserve">Bennani </v>
      </c>
      <c r="D13" s="254">
        <f>_xlfn.IFNA(IF(VLOOKUP('1.4 Analyse &amp; Synthese'!$B23,Tabelle4[#All],2,FALSE)="x",VLOOKUP('1.4 Analyse &amp; Synthese'!$B23,Tabelle4[#All],4,FALSE),""),"")</f>
        <v>2015</v>
      </c>
      <c r="E13" s="217" t="s">
        <v>21</v>
      </c>
      <c r="F13" s="280" t="s">
        <v>29</v>
      </c>
      <c r="G13" s="247" t="s">
        <v>32</v>
      </c>
      <c r="H13" s="247" t="s">
        <v>619</v>
      </c>
      <c r="I13" s="218" t="s">
        <v>617</v>
      </c>
      <c r="J13" s="247"/>
      <c r="K13" s="257"/>
      <c r="L13" s="258" t="s">
        <v>64</v>
      </c>
      <c r="M13" s="257"/>
      <c r="N13" s="258"/>
      <c r="O13" s="258"/>
      <c r="P13" s="258" t="s">
        <v>64</v>
      </c>
      <c r="Q13" s="244"/>
      <c r="R13" s="245"/>
      <c r="S13" s="245">
        <v>1</v>
      </c>
      <c r="T13" s="245">
        <v>1</v>
      </c>
      <c r="U13" s="245"/>
      <c r="V13" s="245"/>
      <c r="W13" s="245"/>
      <c r="X13" s="245">
        <v>1</v>
      </c>
      <c r="Y13" s="245"/>
      <c r="Z13" s="245">
        <v>3</v>
      </c>
      <c r="AA13" s="245"/>
      <c r="AB13" s="245"/>
      <c r="AC13" s="245"/>
      <c r="AD13" s="245"/>
      <c r="AE13" s="246"/>
      <c r="AF13" s="245"/>
      <c r="AG13" s="245"/>
      <c r="AH13" s="245"/>
      <c r="AI13" s="245"/>
      <c r="AJ13" s="245">
        <v>1</v>
      </c>
    </row>
    <row r="14" spans="1:51" x14ac:dyDescent="0.2">
      <c r="A14" s="175"/>
      <c r="B14" s="260">
        <f t="shared" si="0"/>
        <v>8</v>
      </c>
      <c r="C14" s="262" t="str">
        <f>_xlfn.IFNA(IF(VLOOKUP('1.4 Analyse &amp; Synthese'!$B17,Tabelle4[#All],2,FALSE)="x",VLOOKUP('1.4 Analyse &amp; Synthese'!$B17,Tabelle4[#All],3,FALSE),""),"")</f>
        <v>Bochicchio</v>
      </c>
      <c r="D14" s="254">
        <f>_xlfn.IFNA(IF(VLOOKUP('1.4 Analyse &amp; Synthese'!$B17,Tabelle4[#All],2,FALSE)="x",VLOOKUP('1.4 Analyse &amp; Synthese'!$B17,Tabelle4[#All],4,FALSE),""),"")</f>
        <v>2011</v>
      </c>
      <c r="E14" s="217" t="s">
        <v>9</v>
      </c>
      <c r="F14" s="279" t="s">
        <v>29</v>
      </c>
      <c r="G14" s="247" t="s">
        <v>662</v>
      </c>
      <c r="H14" s="247" t="s">
        <v>616</v>
      </c>
      <c r="I14" s="218" t="s">
        <v>650</v>
      </c>
      <c r="J14" s="247"/>
      <c r="K14" s="257" t="s">
        <v>64</v>
      </c>
      <c r="L14" s="258"/>
      <c r="M14" s="257" t="s">
        <v>64</v>
      </c>
      <c r="N14" s="258" t="s">
        <v>64</v>
      </c>
      <c r="O14" s="258" t="s">
        <v>64</v>
      </c>
      <c r="P14" s="258"/>
      <c r="Q14" s="244">
        <v>1</v>
      </c>
      <c r="R14" s="245"/>
      <c r="S14" s="245">
        <v>1</v>
      </c>
      <c r="T14" s="245"/>
      <c r="U14" s="245"/>
      <c r="V14" s="245"/>
      <c r="W14" s="245"/>
      <c r="X14" s="245"/>
      <c r="Y14" s="245">
        <v>1</v>
      </c>
      <c r="Z14" s="245">
        <v>1</v>
      </c>
      <c r="AA14" s="245">
        <v>1</v>
      </c>
      <c r="AB14" s="245">
        <v>3</v>
      </c>
      <c r="AC14" s="245"/>
      <c r="AD14" s="245"/>
      <c r="AE14" s="246"/>
      <c r="AF14" s="245"/>
      <c r="AG14" s="245"/>
      <c r="AH14" s="245"/>
      <c r="AI14" s="245"/>
      <c r="AJ14" s="245"/>
    </row>
    <row r="15" spans="1:51" x14ac:dyDescent="0.2">
      <c r="A15" s="175"/>
      <c r="B15" s="260">
        <f t="shared" si="0"/>
        <v>9</v>
      </c>
      <c r="C15" s="262" t="str">
        <f>_xlfn.IFNA(IF(VLOOKUP('1.4 Analyse &amp; Synthese'!$B16,Tabelle4[#All],2,FALSE)="x",VLOOKUP('1.4 Analyse &amp; Synthese'!$B16,Tabelle4[#All],3,FALSE),""),"")</f>
        <v xml:space="preserve">Celesti </v>
      </c>
      <c r="D15" s="254">
        <f>_xlfn.IFNA(IF(VLOOKUP('1.4 Analyse &amp; Synthese'!$B16,Tabelle4[#All],2,FALSE)="x",VLOOKUP('1.4 Analyse &amp; Synthese'!$B16,Tabelle4[#All],4,FALSE),""),"")</f>
        <v>2011</v>
      </c>
      <c r="E15" s="217" t="s">
        <v>8</v>
      </c>
      <c r="F15" s="280" t="s">
        <v>29</v>
      </c>
      <c r="G15" s="247" t="s">
        <v>31</v>
      </c>
      <c r="H15" s="247" t="s">
        <v>611</v>
      </c>
      <c r="I15" s="218" t="s">
        <v>645</v>
      </c>
      <c r="J15" s="247"/>
      <c r="K15" s="257"/>
      <c r="L15" s="258" t="s">
        <v>64</v>
      </c>
      <c r="M15" s="257" t="s">
        <v>64</v>
      </c>
      <c r="N15" s="258"/>
      <c r="O15" s="258"/>
      <c r="P15" s="258"/>
      <c r="Q15" s="244"/>
      <c r="R15" s="245"/>
      <c r="S15" s="245"/>
      <c r="T15" s="245"/>
      <c r="U15" s="245">
        <v>3</v>
      </c>
      <c r="V15" s="245"/>
      <c r="W15" s="245">
        <v>3</v>
      </c>
      <c r="X15" s="245"/>
      <c r="Y15" s="245"/>
      <c r="Z15" s="245"/>
      <c r="AA15" s="245"/>
      <c r="AB15" s="245"/>
      <c r="AC15" s="245"/>
      <c r="AD15" s="245"/>
      <c r="AE15" s="246"/>
      <c r="AF15" s="245">
        <v>1</v>
      </c>
      <c r="AG15" s="245">
        <v>1</v>
      </c>
      <c r="AH15" s="245"/>
      <c r="AI15" s="245">
        <v>1</v>
      </c>
      <c r="AJ15" s="245"/>
    </row>
    <row r="16" spans="1:51" x14ac:dyDescent="0.2">
      <c r="A16" s="175"/>
      <c r="B16" s="260">
        <f t="shared" si="0"/>
        <v>10</v>
      </c>
      <c r="C16" s="263" t="str">
        <f>_xlfn.IFNA(IF(VLOOKUP('1.4 Analyse &amp; Synthese'!$B7,Tabelle4[#All],2,FALSE)="x",VLOOKUP('1.4 Analyse &amp; Synthese'!$B7,Tabelle4[#All],3,FALSE),""),"")</f>
        <v>Chhetri</v>
      </c>
      <c r="D16" s="254">
        <f>_xlfn.IFNA(IF(VLOOKUP('1.4 Analyse &amp; Synthese'!$B7,Tabelle4[#All],2,FALSE)="x",VLOOKUP('1.4 Analyse &amp; Synthese'!$B7,Tabelle4[#All],4,FALSE),""),"")</f>
        <v>2015</v>
      </c>
      <c r="E16" s="217" t="s">
        <v>2</v>
      </c>
      <c r="F16" s="279" t="s">
        <v>28</v>
      </c>
      <c r="G16" s="247" t="s">
        <v>662</v>
      </c>
      <c r="H16" s="248" t="s">
        <v>605</v>
      </c>
      <c r="I16" s="218" t="s">
        <v>373</v>
      </c>
      <c r="J16" s="247"/>
      <c r="K16" s="257" t="s">
        <v>64</v>
      </c>
      <c r="L16" s="258"/>
      <c r="M16" s="257" t="s">
        <v>64</v>
      </c>
      <c r="N16" s="258"/>
      <c r="O16" s="258"/>
      <c r="P16" s="258"/>
      <c r="Q16" s="244">
        <v>1</v>
      </c>
      <c r="R16" s="245">
        <v>3</v>
      </c>
      <c r="S16" s="245">
        <v>3</v>
      </c>
      <c r="T16" s="245"/>
      <c r="U16" s="245"/>
      <c r="V16" s="245"/>
      <c r="W16" s="245"/>
      <c r="X16" s="245">
        <v>3</v>
      </c>
      <c r="Y16" s="245"/>
      <c r="Z16" s="245">
        <v>1</v>
      </c>
      <c r="AA16" s="245"/>
      <c r="AB16" s="245">
        <v>3</v>
      </c>
      <c r="AC16" s="245"/>
      <c r="AD16" s="245">
        <v>3</v>
      </c>
      <c r="AE16" s="246">
        <v>3</v>
      </c>
      <c r="AF16" s="245"/>
      <c r="AG16" s="245"/>
      <c r="AH16" s="245"/>
      <c r="AI16" s="245"/>
      <c r="AJ16" s="245"/>
    </row>
    <row r="17" spans="1:36" x14ac:dyDescent="0.2">
      <c r="A17" s="175"/>
      <c r="B17" s="260">
        <f t="shared" si="0"/>
        <v>11</v>
      </c>
      <c r="C17" s="262" t="str">
        <f>_xlfn.IFNA(IF(VLOOKUP('1.4 Analyse &amp; Synthese'!$B19,Tabelle4[#All],2,FALSE)="x",VLOOKUP('1.4 Analyse &amp; Synthese'!$B19,Tabelle4[#All],3,FALSE),""),"")</f>
        <v xml:space="preserve">Dastjerdi </v>
      </c>
      <c r="D17" s="254">
        <f>_xlfn.IFNA(IF(VLOOKUP('1.4 Analyse &amp; Synthese'!$B19,Tabelle4[#All],2,FALSE)="x",VLOOKUP('1.4 Analyse &amp; Synthese'!$B19,Tabelle4[#All],4,FALSE),""),"")</f>
        <v>2014</v>
      </c>
      <c r="E17" s="217" t="s">
        <v>12</v>
      </c>
      <c r="F17" s="280" t="s">
        <v>28</v>
      </c>
      <c r="G17" s="247" t="s">
        <v>31</v>
      </c>
      <c r="H17" s="247" t="s">
        <v>612</v>
      </c>
      <c r="I17" s="218" t="s">
        <v>656</v>
      </c>
      <c r="J17" s="247" t="s">
        <v>601</v>
      </c>
      <c r="K17" s="257" t="s">
        <v>64</v>
      </c>
      <c r="L17" s="258"/>
      <c r="M17" s="257" t="s">
        <v>64</v>
      </c>
      <c r="N17" s="258"/>
      <c r="O17" s="258"/>
      <c r="P17" s="258"/>
      <c r="Q17" s="244"/>
      <c r="R17" s="245"/>
      <c r="S17" s="245">
        <v>1</v>
      </c>
      <c r="T17" s="245"/>
      <c r="U17" s="245">
        <v>3</v>
      </c>
      <c r="V17" s="245">
        <v>3</v>
      </c>
      <c r="W17" s="245"/>
      <c r="X17" s="245"/>
      <c r="Y17" s="245"/>
      <c r="Z17" s="245">
        <v>1</v>
      </c>
      <c r="AA17" s="249">
        <v>1</v>
      </c>
      <c r="AB17" s="245"/>
      <c r="AC17" s="245"/>
      <c r="AD17" s="245">
        <v>3</v>
      </c>
      <c r="AE17" s="246"/>
      <c r="AF17" s="245">
        <v>3</v>
      </c>
      <c r="AG17" s="245"/>
      <c r="AH17" s="245"/>
      <c r="AI17" s="245"/>
      <c r="AJ17" s="245"/>
    </row>
    <row r="18" spans="1:36" x14ac:dyDescent="0.2">
      <c r="A18" s="219"/>
      <c r="B18" s="260">
        <f t="shared" si="0"/>
        <v>12</v>
      </c>
      <c r="C18" s="262" t="str">
        <f>_xlfn.IFNA(IF(VLOOKUP('1.4 Analyse &amp; Synthese'!$B22,Tabelle4[#All],2,FALSE)="x",VLOOKUP('1.4 Analyse &amp; Synthese'!$B22,Tabelle4[#All],3,FALSE),""),"")</f>
        <v>Demchenko</v>
      </c>
      <c r="D18" s="254">
        <f>_xlfn.IFNA(IF(VLOOKUP('1.4 Analyse &amp; Synthese'!$B22,Tabelle4[#All],2,FALSE)="x",VLOOKUP('1.4 Analyse &amp; Synthese'!$B22,Tabelle4[#All],4,FALSE),""),"")</f>
        <v>2012</v>
      </c>
      <c r="E18" s="217" t="s">
        <v>20</v>
      </c>
      <c r="F18" s="282" t="s">
        <v>29</v>
      </c>
      <c r="G18" s="247" t="s">
        <v>31</v>
      </c>
      <c r="H18" s="247" t="s">
        <v>622</v>
      </c>
      <c r="I18" s="218" t="s">
        <v>741</v>
      </c>
      <c r="J18" s="247" t="s">
        <v>55</v>
      </c>
      <c r="K18" s="257"/>
      <c r="L18" s="258" t="s">
        <v>64</v>
      </c>
      <c r="M18" s="257" t="s">
        <v>64</v>
      </c>
      <c r="N18" s="258" t="s">
        <v>64</v>
      </c>
      <c r="O18" s="258" t="s">
        <v>64</v>
      </c>
      <c r="P18" s="258"/>
      <c r="Q18" s="244"/>
      <c r="R18" s="245"/>
      <c r="S18" s="245">
        <v>3</v>
      </c>
      <c r="T18" s="245"/>
      <c r="U18" s="245"/>
      <c r="V18" s="245"/>
      <c r="W18" s="245">
        <v>3</v>
      </c>
      <c r="X18" s="245"/>
      <c r="Y18" s="245"/>
      <c r="Z18" s="245"/>
      <c r="AA18" s="245"/>
      <c r="AB18" s="245"/>
      <c r="AC18" s="245"/>
      <c r="AD18" s="245">
        <v>1</v>
      </c>
      <c r="AE18" s="246">
        <v>1</v>
      </c>
      <c r="AF18" s="245"/>
      <c r="AG18" s="245">
        <v>1</v>
      </c>
      <c r="AH18" s="245"/>
      <c r="AI18" s="245">
        <v>1</v>
      </c>
      <c r="AJ18" s="245"/>
    </row>
    <row r="19" spans="1:36" x14ac:dyDescent="0.2">
      <c r="A19" s="219"/>
      <c r="B19" s="260">
        <f t="shared" si="0"/>
        <v>13</v>
      </c>
      <c r="C19" s="262" t="str">
        <f>_xlfn.IFNA(IF(VLOOKUP('1.4 Analyse &amp; Synthese'!$B26,Tabelle4[#All],2,FALSE)="x",VLOOKUP('1.4 Analyse &amp; Synthese'!$B26,Tabelle4[#All],3,FALSE),""),"")</f>
        <v>Demchenko</v>
      </c>
      <c r="D19" s="254">
        <f>_xlfn.IFNA(IF(VLOOKUP('1.4 Analyse &amp; Synthese'!$B26,Tabelle4[#All],2,FALSE)="x",VLOOKUP('1.4 Analyse &amp; Synthese'!$B26,Tabelle4[#All],4,FALSE),""),"")</f>
        <v>2013</v>
      </c>
      <c r="E19" s="217" t="s">
        <v>20</v>
      </c>
      <c r="F19" s="281" t="s">
        <v>29</v>
      </c>
      <c r="G19" s="247" t="s">
        <v>31</v>
      </c>
      <c r="H19" s="247" t="s">
        <v>623</v>
      </c>
      <c r="I19" s="218" t="s">
        <v>741</v>
      </c>
      <c r="J19" s="247" t="s">
        <v>55</v>
      </c>
      <c r="K19" s="257"/>
      <c r="L19" s="258" t="s">
        <v>64</v>
      </c>
      <c r="M19" s="257" t="s">
        <v>64</v>
      </c>
      <c r="N19" s="258" t="s">
        <v>64</v>
      </c>
      <c r="O19" s="258" t="s">
        <v>64</v>
      </c>
      <c r="P19" s="258"/>
      <c r="Q19" s="244"/>
      <c r="R19" s="245"/>
      <c r="S19" s="245">
        <v>3</v>
      </c>
      <c r="T19" s="245"/>
      <c r="U19" s="245"/>
      <c r="V19" s="245"/>
      <c r="W19" s="245">
        <v>3</v>
      </c>
      <c r="X19" s="245"/>
      <c r="Y19" s="245"/>
      <c r="Z19" s="245"/>
      <c r="AA19" s="245"/>
      <c r="AB19" s="245"/>
      <c r="AC19" s="245"/>
      <c r="AD19" s="245">
        <v>1</v>
      </c>
      <c r="AE19" s="246">
        <v>1</v>
      </c>
      <c r="AF19" s="245"/>
      <c r="AG19" s="245">
        <v>1</v>
      </c>
      <c r="AH19" s="245"/>
      <c r="AI19" s="245">
        <v>1</v>
      </c>
      <c r="AJ19" s="245"/>
    </row>
    <row r="20" spans="1:36" x14ac:dyDescent="0.2">
      <c r="A20" s="175"/>
      <c r="B20" s="260">
        <f t="shared" si="0"/>
        <v>14</v>
      </c>
      <c r="C20" s="262" t="str">
        <f>_xlfn.IFNA(IF(VLOOKUP('1.4 Analyse &amp; Synthese'!$B18,Tabelle4[#All],2,FALSE)="x",VLOOKUP('1.4 Analyse &amp; Synthese'!$B18,Tabelle4[#All],3,FALSE),""),"")</f>
        <v>El-Awadi</v>
      </c>
      <c r="D20" s="254">
        <f>_xlfn.IFNA(IF(VLOOKUP('1.4 Analyse &amp; Synthese'!$B18,Tabelle4[#All],2,FALSE)="x",VLOOKUP('1.4 Analyse &amp; Synthese'!$B18,Tabelle4[#All],4,FALSE),""),"")</f>
        <v>2015</v>
      </c>
      <c r="E20" s="217" t="s">
        <v>12</v>
      </c>
      <c r="F20" s="279" t="s">
        <v>28</v>
      </c>
      <c r="G20" s="247" t="s">
        <v>662</v>
      </c>
      <c r="H20" s="247" t="s">
        <v>630</v>
      </c>
      <c r="I20" s="218" t="s">
        <v>437</v>
      </c>
      <c r="J20" s="247"/>
      <c r="K20" s="257" t="s">
        <v>64</v>
      </c>
      <c r="L20" s="258"/>
      <c r="M20" s="257" t="s">
        <v>64</v>
      </c>
      <c r="N20" s="258" t="s">
        <v>64</v>
      </c>
      <c r="O20" s="258" t="s">
        <v>64</v>
      </c>
      <c r="P20" s="258"/>
      <c r="Q20" s="244">
        <v>1</v>
      </c>
      <c r="R20" s="245"/>
      <c r="S20" s="245">
        <v>1</v>
      </c>
      <c r="T20" s="245">
        <v>3</v>
      </c>
      <c r="U20" s="245"/>
      <c r="V20" s="245">
        <v>1</v>
      </c>
      <c r="W20" s="245"/>
      <c r="X20" s="245">
        <v>1</v>
      </c>
      <c r="Y20" s="245"/>
      <c r="Z20" s="245">
        <v>1</v>
      </c>
      <c r="AA20" s="245"/>
      <c r="AB20" s="245"/>
      <c r="AC20" s="245"/>
      <c r="AD20" s="245"/>
      <c r="AE20" s="246">
        <v>3</v>
      </c>
      <c r="AF20" s="245"/>
      <c r="AG20" s="245"/>
      <c r="AH20" s="245"/>
      <c r="AI20" s="245"/>
      <c r="AJ20" s="245"/>
    </row>
    <row r="21" spans="1:36" x14ac:dyDescent="0.2">
      <c r="A21" s="219"/>
      <c r="B21" s="260">
        <f t="shared" si="0"/>
        <v>15</v>
      </c>
      <c r="C21" s="262" t="str">
        <f>_xlfn.IFNA(IF(VLOOKUP('1.4 Analyse &amp; Synthese'!$B42,Tabelle4[#All],2,FALSE)="x",VLOOKUP('1.4 Analyse &amp; Synthese'!$B42,Tabelle4[#All],3,FALSE),""),"")</f>
        <v>Ferry</v>
      </c>
      <c r="D21" s="254">
        <f>_xlfn.IFNA(IF(VLOOKUP('1.4 Analyse &amp; Synthese'!$B42,Tabelle4[#All],2,FALSE)="x",VLOOKUP('1.4 Analyse &amp; Synthese'!$B42,Tabelle4[#All],4,FALSE),""),"")</f>
        <v>2013</v>
      </c>
      <c r="E21" s="217" t="s">
        <v>8</v>
      </c>
      <c r="F21" s="281" t="s">
        <v>27</v>
      </c>
      <c r="G21" s="218" t="s">
        <v>31</v>
      </c>
      <c r="H21" s="218" t="s">
        <v>660</v>
      </c>
      <c r="I21" s="218" t="s">
        <v>654</v>
      </c>
      <c r="J21" s="218"/>
      <c r="K21" s="257" t="s">
        <v>64</v>
      </c>
      <c r="L21" s="258"/>
      <c r="M21" s="257" t="s">
        <v>64</v>
      </c>
      <c r="N21" s="258" t="s">
        <v>64</v>
      </c>
      <c r="O21" s="258"/>
      <c r="P21" s="258"/>
      <c r="Q21" s="244"/>
      <c r="R21" s="245">
        <v>1</v>
      </c>
      <c r="S21" s="245"/>
      <c r="T21" s="245">
        <v>3</v>
      </c>
      <c r="U21" s="245"/>
      <c r="V21" s="245"/>
      <c r="W21" s="245">
        <v>3</v>
      </c>
      <c r="X21" s="245"/>
      <c r="Y21" s="245"/>
      <c r="Z21" s="245"/>
      <c r="AA21" s="245"/>
      <c r="AB21" s="245"/>
      <c r="AC21" s="245"/>
      <c r="AD21" s="245"/>
      <c r="AE21" s="246">
        <v>3</v>
      </c>
      <c r="AF21" s="245">
        <v>1</v>
      </c>
      <c r="AG21" s="245">
        <v>1</v>
      </c>
      <c r="AH21" s="245"/>
      <c r="AI21" s="245">
        <v>1</v>
      </c>
      <c r="AJ21" s="245">
        <v>1</v>
      </c>
    </row>
    <row r="22" spans="1:36" x14ac:dyDescent="0.2">
      <c r="A22" s="219"/>
      <c r="B22" s="260">
        <f t="shared" si="0"/>
        <v>16</v>
      </c>
      <c r="C22" s="262" t="str">
        <f>_xlfn.IFNA(IF(VLOOKUP('1.4 Analyse &amp; Synthese'!$B24,Tabelle4[#All],2,FALSE)="x",VLOOKUP('1.4 Analyse &amp; Synthese'!$B24,Tabelle4[#All],3,FALSE),""),"")</f>
        <v>Ghafour</v>
      </c>
      <c r="D22" s="254">
        <f>_xlfn.IFNA(IF(VLOOKUP('1.4 Analyse &amp; Synthese'!$B24,Tabelle4[#All],2,FALSE)="x",VLOOKUP('1.4 Analyse &amp; Synthese'!$B24,Tabelle4[#All],4,FALSE),""),"")</f>
        <v>2014</v>
      </c>
      <c r="E22" s="217" t="s">
        <v>409</v>
      </c>
      <c r="F22" s="282" t="s">
        <v>29</v>
      </c>
      <c r="G22" s="247" t="s">
        <v>31</v>
      </c>
      <c r="H22" s="247" t="s">
        <v>618</v>
      </c>
      <c r="I22" s="218" t="s">
        <v>617</v>
      </c>
      <c r="J22" s="247"/>
      <c r="K22" s="257" t="s">
        <v>64</v>
      </c>
      <c r="L22" s="258"/>
      <c r="M22" s="257"/>
      <c r="N22" s="258"/>
      <c r="O22" s="258"/>
      <c r="P22" s="258" t="s">
        <v>64</v>
      </c>
      <c r="Q22" s="244"/>
      <c r="R22" s="245">
        <v>3</v>
      </c>
      <c r="S22" s="245"/>
      <c r="T22" s="245"/>
      <c r="U22" s="245"/>
      <c r="V22" s="245">
        <v>1</v>
      </c>
      <c r="W22" s="245"/>
      <c r="X22" s="245"/>
      <c r="Y22" s="245"/>
      <c r="Z22" s="245"/>
      <c r="AA22" s="245"/>
      <c r="AB22" s="245"/>
      <c r="AC22" s="245"/>
      <c r="AD22" s="245"/>
      <c r="AE22" s="246">
        <v>1</v>
      </c>
      <c r="AF22" s="245"/>
      <c r="AG22" s="245">
        <v>1</v>
      </c>
      <c r="AH22" s="245"/>
      <c r="AI22" s="245">
        <v>1</v>
      </c>
      <c r="AJ22" s="245">
        <v>1</v>
      </c>
    </row>
    <row r="23" spans="1:36" x14ac:dyDescent="0.2">
      <c r="A23" s="175"/>
      <c r="B23" s="260">
        <f t="shared" si="0"/>
        <v>17</v>
      </c>
      <c r="C23" s="262" t="str">
        <f>_xlfn.IFNA(IF(VLOOKUP('1.4 Analyse &amp; Synthese'!$B21,Tabelle4[#All],2,FALSE)="x",VLOOKUP('1.4 Analyse &amp; Synthese'!$B21,Tabelle4[#All],3,FALSE),""),"")</f>
        <v xml:space="preserve">Gonidis </v>
      </c>
      <c r="D23" s="254">
        <f>_xlfn.IFNA(IF(VLOOKUP('1.4 Analyse &amp; Synthese'!$B21,Tabelle4[#All],2,FALSE)="x",VLOOKUP('1.4 Analyse &amp; Synthese'!$B21,Tabelle4[#All],4,FALSE),""),"")</f>
        <v>2014</v>
      </c>
      <c r="E23" s="217" t="s">
        <v>20</v>
      </c>
      <c r="F23" s="280" t="s">
        <v>29</v>
      </c>
      <c r="G23" s="247" t="s">
        <v>31</v>
      </c>
      <c r="H23" s="247" t="s">
        <v>615</v>
      </c>
      <c r="I23" s="218" t="s">
        <v>656</v>
      </c>
      <c r="J23" s="247"/>
      <c r="K23" s="257"/>
      <c r="L23" s="258" t="s">
        <v>64</v>
      </c>
      <c r="M23" s="257"/>
      <c r="N23" s="258"/>
      <c r="O23" s="258" t="s">
        <v>64</v>
      </c>
      <c r="P23" s="258"/>
      <c r="Q23" s="244"/>
      <c r="R23" s="245"/>
      <c r="S23" s="245"/>
      <c r="T23" s="245"/>
      <c r="U23" s="245"/>
      <c r="V23" s="245">
        <v>1</v>
      </c>
      <c r="W23" s="245">
        <v>1</v>
      </c>
      <c r="X23" s="245"/>
      <c r="Y23" s="245"/>
      <c r="Z23" s="245"/>
      <c r="AA23" s="245"/>
      <c r="AB23" s="245"/>
      <c r="AC23" s="245"/>
      <c r="AD23" s="245"/>
      <c r="AE23" s="246">
        <v>1</v>
      </c>
      <c r="AF23" s="245">
        <v>1</v>
      </c>
      <c r="AG23" s="245">
        <v>1</v>
      </c>
      <c r="AH23" s="245"/>
      <c r="AI23" s="245">
        <v>1</v>
      </c>
      <c r="AJ23" s="245"/>
    </row>
    <row r="24" spans="1:36" x14ac:dyDescent="0.2">
      <c r="A24" s="175"/>
      <c r="B24" s="260">
        <f t="shared" si="0"/>
        <v>18</v>
      </c>
      <c r="C24" s="262" t="str">
        <f>_xlfn.IFNA(IF(VLOOKUP('1.4 Analyse &amp; Synthese'!$B38,Tabelle4[#All],2,FALSE)="x",VLOOKUP('1.4 Analyse &amp; Synthese'!$B38,Tabelle4[#All],3,FALSE),""),"")</f>
        <v>Haji</v>
      </c>
      <c r="D24" s="254">
        <f>_xlfn.IFNA(IF(VLOOKUP('1.4 Analyse &amp; Synthese'!$B38,Tabelle4[#All],2,FALSE)="x",VLOOKUP('1.4 Analyse &amp; Synthese'!$B38,Tabelle4[#All],4,FALSE),""),"")</f>
        <v>2014</v>
      </c>
      <c r="E24" s="217" t="s">
        <v>18</v>
      </c>
      <c r="F24" s="282" t="s">
        <v>29</v>
      </c>
      <c r="G24" s="218" t="s">
        <v>743</v>
      </c>
      <c r="H24" s="218" t="s">
        <v>657</v>
      </c>
      <c r="I24" s="218" t="s">
        <v>744</v>
      </c>
      <c r="J24" s="218" t="s">
        <v>602</v>
      </c>
      <c r="K24" s="257"/>
      <c r="L24" s="258" t="s">
        <v>64</v>
      </c>
      <c r="M24" s="257" t="s">
        <v>64</v>
      </c>
      <c r="N24" s="258"/>
      <c r="O24" s="258"/>
      <c r="P24" s="258"/>
      <c r="Q24" s="244"/>
      <c r="R24" s="245"/>
      <c r="S24" s="245">
        <v>1</v>
      </c>
      <c r="T24" s="245">
        <v>3</v>
      </c>
      <c r="U24" s="245"/>
      <c r="V24" s="245"/>
      <c r="W24" s="245"/>
      <c r="X24" s="245">
        <v>1</v>
      </c>
      <c r="Y24" s="245"/>
      <c r="Z24" s="245"/>
      <c r="AA24" s="245"/>
      <c r="AB24" s="245"/>
      <c r="AC24" s="245"/>
      <c r="AD24" s="245">
        <v>1</v>
      </c>
      <c r="AE24" s="246"/>
      <c r="AF24" s="245">
        <v>3</v>
      </c>
      <c r="AG24" s="245">
        <v>1</v>
      </c>
      <c r="AH24" s="245"/>
      <c r="AI24" s="245">
        <v>1</v>
      </c>
      <c r="AJ24" s="245"/>
    </row>
    <row r="25" spans="1:36" x14ac:dyDescent="0.2">
      <c r="A25" s="175"/>
      <c r="B25" s="260">
        <f t="shared" si="0"/>
        <v>19</v>
      </c>
      <c r="C25" s="262" t="str">
        <f>_xlfn.IFNA(IF(VLOOKUP('1.4 Analyse &amp; Synthese'!$B44,Tabelle4[#All],2,FALSE)="x",VLOOKUP('1.4 Analyse &amp; Synthese'!$B44,Tabelle4[#All],3,FALSE),""),"")</f>
        <v>Jrad</v>
      </c>
      <c r="D25" s="254">
        <f>_xlfn.IFNA(IF(VLOOKUP('1.4 Analyse &amp; Synthese'!$B44,Tabelle4[#All],2,FALSE)="x",VLOOKUP('1.4 Analyse &amp; Synthese'!$B44,Tabelle4[#All],4,FALSE),""),"")</f>
        <v>2012</v>
      </c>
      <c r="E25" s="217" t="s">
        <v>409</v>
      </c>
      <c r="F25" s="281" t="s">
        <v>29</v>
      </c>
      <c r="G25" s="218" t="s">
        <v>31</v>
      </c>
      <c r="H25" s="218" t="s">
        <v>644</v>
      </c>
      <c r="I25" s="218" t="s">
        <v>456</v>
      </c>
      <c r="J25" s="218" t="s">
        <v>601</v>
      </c>
      <c r="K25" s="257"/>
      <c r="L25" s="258" t="s">
        <v>64</v>
      </c>
      <c r="M25" s="257" t="s">
        <v>64</v>
      </c>
      <c r="N25" s="258"/>
      <c r="O25" s="258"/>
      <c r="P25" s="258"/>
      <c r="Q25" s="244"/>
      <c r="R25" s="245">
        <v>3</v>
      </c>
      <c r="S25" s="245">
        <v>1</v>
      </c>
      <c r="T25" s="245"/>
      <c r="U25" s="245"/>
      <c r="V25" s="245"/>
      <c r="W25" s="245"/>
      <c r="X25" s="245"/>
      <c r="Y25" s="245"/>
      <c r="Z25" s="245">
        <v>1</v>
      </c>
      <c r="AA25" s="245"/>
      <c r="AB25" s="245"/>
      <c r="AC25" s="245"/>
      <c r="AD25" s="245"/>
      <c r="AE25" s="246"/>
      <c r="AF25" s="245"/>
      <c r="AG25" s="245">
        <v>1</v>
      </c>
      <c r="AH25" s="245"/>
      <c r="AI25" s="245">
        <v>1</v>
      </c>
      <c r="AJ25" s="245"/>
    </row>
    <row r="26" spans="1:36" x14ac:dyDescent="0.2">
      <c r="B26" s="260">
        <f t="shared" si="0"/>
        <v>20</v>
      </c>
      <c r="C26" s="262" t="str">
        <f>_xlfn.IFNA(IF(VLOOKUP('1.4 Analyse &amp; Synthese'!$B37,Tabelle4[#All],2,FALSE)="x",VLOOKUP('1.4 Analyse &amp; Synthese'!$B37,Tabelle4[#All],3,FALSE),""),"")</f>
        <v xml:space="preserve">Kafeza </v>
      </c>
      <c r="D26" s="254">
        <f>_xlfn.IFNA(IF(VLOOKUP('1.4 Analyse &amp; Synthese'!$B37,Tabelle4[#All],2,FALSE)="x",VLOOKUP('1.4 Analyse &amp; Synthese'!$B37,Tabelle4[#All],4,FALSE),""),"")</f>
        <v>2014</v>
      </c>
      <c r="E26" s="217" t="s">
        <v>12</v>
      </c>
      <c r="F26" s="282" t="s">
        <v>29</v>
      </c>
      <c r="G26" s="218" t="s">
        <v>32</v>
      </c>
      <c r="H26" s="218" t="s">
        <v>635</v>
      </c>
      <c r="I26" s="218" t="s">
        <v>450</v>
      </c>
      <c r="J26" s="218"/>
      <c r="K26" s="257"/>
      <c r="L26" s="258" t="s">
        <v>64</v>
      </c>
      <c r="M26" s="257" t="s">
        <v>64</v>
      </c>
      <c r="N26" s="258" t="s">
        <v>64</v>
      </c>
      <c r="O26" s="258" t="s">
        <v>64</v>
      </c>
      <c r="P26" s="258"/>
      <c r="Q26" s="244">
        <v>3</v>
      </c>
      <c r="R26" s="245"/>
      <c r="S26" s="245">
        <v>1</v>
      </c>
      <c r="T26" s="245"/>
      <c r="U26" s="245"/>
      <c r="V26" s="245">
        <v>3</v>
      </c>
      <c r="W26" s="245"/>
      <c r="X26" s="245"/>
      <c r="Y26" s="245"/>
      <c r="Z26" s="245">
        <v>3</v>
      </c>
      <c r="AA26" s="245"/>
      <c r="AB26" s="245"/>
      <c r="AC26" s="245">
        <v>1</v>
      </c>
      <c r="AD26" s="245"/>
      <c r="AE26" s="246"/>
      <c r="AF26" s="245"/>
      <c r="AG26" s="245"/>
      <c r="AH26" s="245"/>
      <c r="AI26" s="245"/>
      <c r="AJ26" s="245"/>
    </row>
    <row r="27" spans="1:36" x14ac:dyDescent="0.2">
      <c r="B27" s="260">
        <f t="shared" si="0"/>
        <v>21</v>
      </c>
      <c r="C27" s="262" t="str">
        <f>_xlfn.IFNA(IF(VLOOKUP('1.4 Analyse &amp; Synthese'!$B31,Tabelle4[#All],2,FALSE)="x",VLOOKUP('1.4 Analyse &amp; Synthese'!$B31,Tabelle4[#All],3,FALSE),""),"")</f>
        <v>Lee</v>
      </c>
      <c r="D27" s="254">
        <f>_xlfn.IFNA(IF(VLOOKUP('1.4 Analyse &amp; Synthese'!$B31,Tabelle4[#All],2,FALSE)="x",VLOOKUP('1.4 Analyse &amp; Synthese'!$B31,Tabelle4[#All],4,FALSE),""),"")</f>
        <v>2009</v>
      </c>
      <c r="E27" s="217" t="s">
        <v>4</v>
      </c>
      <c r="F27" s="281" t="s">
        <v>29</v>
      </c>
      <c r="G27" s="218" t="s">
        <v>662</v>
      </c>
      <c r="H27" s="218" t="s">
        <v>628</v>
      </c>
      <c r="I27" s="218" t="s">
        <v>652</v>
      </c>
      <c r="J27" s="218"/>
      <c r="K27" s="257" t="s">
        <v>64</v>
      </c>
      <c r="L27" s="258"/>
      <c r="M27" s="257"/>
      <c r="N27" s="258"/>
      <c r="O27" s="258" t="s">
        <v>64</v>
      </c>
      <c r="P27" s="258"/>
      <c r="Q27" s="244"/>
      <c r="R27" s="245"/>
      <c r="S27" s="245">
        <v>1</v>
      </c>
      <c r="T27" s="245">
        <v>3</v>
      </c>
      <c r="U27" s="245"/>
      <c r="V27" s="245">
        <v>3</v>
      </c>
      <c r="W27" s="245"/>
      <c r="X27" s="245">
        <v>1</v>
      </c>
      <c r="Y27" s="245"/>
      <c r="Z27" s="245">
        <v>1</v>
      </c>
      <c r="AA27" s="249"/>
      <c r="AB27" s="245"/>
      <c r="AC27" s="245"/>
      <c r="AD27" s="245"/>
      <c r="AE27" s="246"/>
      <c r="AF27" s="245"/>
      <c r="AG27" s="245"/>
      <c r="AH27" s="245"/>
      <c r="AI27" s="245"/>
      <c r="AJ27" s="245"/>
    </row>
    <row r="28" spans="1:36" x14ac:dyDescent="0.2">
      <c r="B28" s="260">
        <f t="shared" si="0"/>
        <v>22</v>
      </c>
      <c r="C28" s="262" t="str">
        <f>_xlfn.IFNA(IF(VLOOKUP('1.4 Analyse &amp; Synthese'!$B13,Tabelle4[#All],2,FALSE)="x",VLOOKUP('1.4 Analyse &amp; Synthese'!$B13,Tabelle4[#All],3,FALSE),""),"")</f>
        <v xml:space="preserve">Ludwig </v>
      </c>
      <c r="D28" s="254">
        <f>_xlfn.IFNA(IF(VLOOKUP('1.4 Analyse &amp; Synthese'!$B13,Tabelle4[#All],2,FALSE)="x",VLOOKUP('1.4 Analyse &amp; Synthese'!$B13,Tabelle4[#All],4,FALSE),""),"")</f>
        <v>2015</v>
      </c>
      <c r="E28" s="217" t="s">
        <v>4</v>
      </c>
      <c r="F28" s="279" t="s">
        <v>27</v>
      </c>
      <c r="G28" s="247" t="s">
        <v>743</v>
      </c>
      <c r="H28" s="247" t="s">
        <v>608</v>
      </c>
      <c r="I28" s="218" t="s">
        <v>433</v>
      </c>
      <c r="J28" s="247"/>
      <c r="K28" s="257"/>
      <c r="L28" s="258" t="s">
        <v>64</v>
      </c>
      <c r="M28" s="257" t="s">
        <v>64</v>
      </c>
      <c r="N28" s="258" t="s">
        <v>64</v>
      </c>
      <c r="O28" s="258" t="s">
        <v>64</v>
      </c>
      <c r="P28" s="258"/>
      <c r="Q28" s="244"/>
      <c r="R28" s="245">
        <v>3</v>
      </c>
      <c r="S28" s="245">
        <v>1</v>
      </c>
      <c r="T28" s="245"/>
      <c r="U28" s="245"/>
      <c r="V28" s="245"/>
      <c r="W28" s="245">
        <v>3</v>
      </c>
      <c r="X28" s="245"/>
      <c r="Y28" s="245"/>
      <c r="Z28" s="245"/>
      <c r="AA28" s="245">
        <v>3</v>
      </c>
      <c r="AB28" s="245"/>
      <c r="AC28" s="245"/>
      <c r="AD28" s="245"/>
      <c r="AE28" s="246">
        <v>1</v>
      </c>
      <c r="AF28" s="245"/>
      <c r="AG28" s="245">
        <v>3</v>
      </c>
      <c r="AH28" s="245"/>
      <c r="AI28" s="245">
        <v>3</v>
      </c>
      <c r="AJ28" s="245"/>
    </row>
    <row r="29" spans="1:36" x14ac:dyDescent="0.2">
      <c r="B29" s="260">
        <f t="shared" si="0"/>
        <v>23</v>
      </c>
      <c r="C29" s="262" t="str">
        <f>_xlfn.IFNA(IF(VLOOKUP('1.4 Analyse &amp; Synthese'!$B10,Tabelle4[#All],2,FALSE)="x",VLOOKUP('1.4 Analyse &amp; Synthese'!$B10,Tabelle4[#All],3,FALSE),""),"")</f>
        <v>Majda</v>
      </c>
      <c r="D29" s="254">
        <f>_xlfn.IFNA(IF(VLOOKUP('1.4 Analyse &amp; Synthese'!$B10,Tabelle4[#All],2,FALSE)="x",VLOOKUP('1.4 Analyse &amp; Synthese'!$B10,Tabelle4[#All],4,FALSE),""),"")</f>
        <v>2015</v>
      </c>
      <c r="E29" s="217" t="s">
        <v>3</v>
      </c>
      <c r="F29" s="280" t="s">
        <v>29</v>
      </c>
      <c r="G29" s="247" t="s">
        <v>31</v>
      </c>
      <c r="H29" s="247" t="s">
        <v>606</v>
      </c>
      <c r="I29" s="218" t="s">
        <v>435</v>
      </c>
      <c r="J29" s="247"/>
      <c r="K29" s="257"/>
      <c r="L29" s="258" t="s">
        <v>64</v>
      </c>
      <c r="M29" s="257"/>
      <c r="N29" s="258"/>
      <c r="O29" s="258" t="s">
        <v>64</v>
      </c>
      <c r="P29" s="258"/>
      <c r="Q29" s="244"/>
      <c r="R29" s="245"/>
      <c r="S29" s="245"/>
      <c r="T29" s="245">
        <v>3</v>
      </c>
      <c r="U29" s="245"/>
      <c r="V29" s="245"/>
      <c r="W29" s="245"/>
      <c r="X29" s="245"/>
      <c r="Y29" s="245">
        <v>3</v>
      </c>
      <c r="Z29" s="245"/>
      <c r="AA29" s="245"/>
      <c r="AB29" s="245"/>
      <c r="AC29" s="245"/>
      <c r="AD29" s="245"/>
      <c r="AE29" s="246">
        <v>3</v>
      </c>
      <c r="AF29" s="245">
        <v>1</v>
      </c>
      <c r="AG29" s="245">
        <v>1</v>
      </c>
      <c r="AH29" s="245"/>
      <c r="AI29" s="245">
        <v>1</v>
      </c>
      <c r="AJ29" s="245"/>
    </row>
    <row r="30" spans="1:36" x14ac:dyDescent="0.2">
      <c r="B30" s="260">
        <f t="shared" si="0"/>
        <v>24</v>
      </c>
      <c r="C30" s="262" t="str">
        <f>_xlfn.IFNA(IF(VLOOKUP('1.4 Analyse &amp; Synthese'!$B15,Tabelle4[#All],2,FALSE)="x",VLOOKUP('1.4 Analyse &amp; Synthese'!$B15,Tabelle4[#All],3,FALSE),""),"")</f>
        <v>Moscato</v>
      </c>
      <c r="D30" s="254">
        <f>_xlfn.IFNA(IF(VLOOKUP('1.4 Analyse &amp; Synthese'!$B15,Tabelle4[#All],2,FALSE)="x",VLOOKUP('1.4 Analyse &amp; Synthese'!$B15,Tabelle4[#All],4,FALSE),""),"")</f>
        <v>2011</v>
      </c>
      <c r="E30" s="217" t="s">
        <v>7</v>
      </c>
      <c r="F30" s="279" t="s">
        <v>29</v>
      </c>
      <c r="G30" s="247" t="s">
        <v>31</v>
      </c>
      <c r="H30" s="247" t="s">
        <v>620</v>
      </c>
      <c r="I30" s="218" t="s">
        <v>654</v>
      </c>
      <c r="J30" s="247" t="s">
        <v>52</v>
      </c>
      <c r="K30" s="257" t="s">
        <v>64</v>
      </c>
      <c r="L30" s="258"/>
      <c r="M30" s="257" t="s">
        <v>64</v>
      </c>
      <c r="N30" s="258"/>
      <c r="O30" s="258"/>
      <c r="P30" s="258"/>
      <c r="Q30" s="244">
        <v>1</v>
      </c>
      <c r="R30" s="245"/>
      <c r="S30" s="245">
        <v>1</v>
      </c>
      <c r="T30" s="245"/>
      <c r="U30" s="245"/>
      <c r="V30" s="245">
        <v>1</v>
      </c>
      <c r="W30" s="245">
        <v>3</v>
      </c>
      <c r="X30" s="245"/>
      <c r="Y30" s="245"/>
      <c r="Z30" s="245">
        <v>1</v>
      </c>
      <c r="AA30" s="245"/>
      <c r="AB30" s="245"/>
      <c r="AC30" s="245"/>
      <c r="AD30" s="245"/>
      <c r="AE30" s="246">
        <v>1</v>
      </c>
      <c r="AF30" s="245">
        <v>3</v>
      </c>
      <c r="AG30" s="245">
        <v>1</v>
      </c>
      <c r="AH30" s="245"/>
      <c r="AI30" s="245">
        <v>1</v>
      </c>
      <c r="AJ30" s="245"/>
    </row>
    <row r="31" spans="1:36" x14ac:dyDescent="0.2">
      <c r="B31" s="260">
        <f t="shared" si="0"/>
        <v>25</v>
      </c>
      <c r="C31" s="262" t="str">
        <f>_xlfn.IFNA(IF(VLOOKUP('1.4 Analyse &amp; Synthese'!$B46,Tabelle4[#All],2,FALSE)="x",VLOOKUP('1.4 Analyse &amp; Synthese'!$B46,Tabelle4[#All],3,FALSE),""),"")</f>
        <v>Muthusamy</v>
      </c>
      <c r="D31" s="254">
        <f>_xlfn.IFNA(IF(VLOOKUP('1.4 Analyse &amp; Synthese'!$B46,Tabelle4[#All],2,FALSE)="x",VLOOKUP('1.4 Analyse &amp; Synthese'!$B46,Tabelle4[#All],4,FALSE),""),"")</f>
        <v>2010</v>
      </c>
      <c r="E31" s="217" t="s">
        <v>409</v>
      </c>
      <c r="F31" s="281" t="s">
        <v>29</v>
      </c>
      <c r="G31" s="218" t="s">
        <v>31</v>
      </c>
      <c r="H31" s="218" t="s">
        <v>669</v>
      </c>
      <c r="I31" s="218" t="s">
        <v>445</v>
      </c>
      <c r="J31" s="218"/>
      <c r="K31" s="257" t="s">
        <v>64</v>
      </c>
      <c r="L31" s="258"/>
      <c r="M31" s="257" t="s">
        <v>64</v>
      </c>
      <c r="N31" s="258" t="s">
        <v>64</v>
      </c>
      <c r="O31" s="258" t="s">
        <v>64</v>
      </c>
      <c r="P31" s="258"/>
      <c r="Q31" s="244"/>
      <c r="R31" s="245"/>
      <c r="S31" s="245">
        <v>1</v>
      </c>
      <c r="T31" s="245"/>
      <c r="U31" s="245"/>
      <c r="V31" s="245"/>
      <c r="W31" s="245"/>
      <c r="X31" s="245"/>
      <c r="Y31" s="245">
        <v>3</v>
      </c>
      <c r="Z31" s="245"/>
      <c r="AA31" s="245"/>
      <c r="AB31" s="245"/>
      <c r="AC31" s="245">
        <v>1</v>
      </c>
      <c r="AD31" s="245"/>
      <c r="AE31" s="246">
        <v>3</v>
      </c>
      <c r="AF31" s="245"/>
      <c r="AG31" s="245"/>
      <c r="AH31" s="245"/>
      <c r="AI31" s="245"/>
      <c r="AJ31" s="245"/>
    </row>
    <row r="32" spans="1:36" x14ac:dyDescent="0.2">
      <c r="B32" s="260">
        <f t="shared" si="0"/>
        <v>26</v>
      </c>
      <c r="C32" s="262" t="str">
        <f>_xlfn.IFNA(IF(VLOOKUP('1.4 Analyse &amp; Synthese'!$B36,Tabelle4[#All],2,FALSE)="x",VLOOKUP('1.4 Analyse &amp; Synthese'!$B36,Tabelle4[#All],3,FALSE),""),"")</f>
        <v>Nodehi</v>
      </c>
      <c r="D32" s="254">
        <f>_xlfn.IFNA(IF(VLOOKUP('1.4 Analyse &amp; Synthese'!$B36,Tabelle4[#All],2,FALSE)="x",VLOOKUP('1.4 Analyse &amp; Synthese'!$B36,Tabelle4[#All],4,FALSE),""),"")</f>
        <v>2014</v>
      </c>
      <c r="E32" s="217" t="s">
        <v>3</v>
      </c>
      <c r="F32" s="282" t="s">
        <v>29</v>
      </c>
      <c r="G32" s="218" t="s">
        <v>31</v>
      </c>
      <c r="H32" s="218" t="s">
        <v>634</v>
      </c>
      <c r="I32" s="218" t="s">
        <v>654</v>
      </c>
      <c r="J32" s="218"/>
      <c r="K32" s="257"/>
      <c r="L32" s="258" t="s">
        <v>64</v>
      </c>
      <c r="M32" s="257" t="s">
        <v>64</v>
      </c>
      <c r="N32" s="258"/>
      <c r="O32" s="258"/>
      <c r="P32" s="258"/>
      <c r="Q32" s="244"/>
      <c r="R32" s="245"/>
      <c r="S32" s="245">
        <v>1</v>
      </c>
      <c r="T32" s="245"/>
      <c r="U32" s="245"/>
      <c r="V32" s="245"/>
      <c r="W32" s="245"/>
      <c r="X32" s="245"/>
      <c r="Y32" s="245"/>
      <c r="Z32" s="245"/>
      <c r="AA32" s="245"/>
      <c r="AB32" s="245"/>
      <c r="AC32" s="245"/>
      <c r="AD32" s="245"/>
      <c r="AE32" s="246">
        <v>1</v>
      </c>
      <c r="AF32" s="245"/>
      <c r="AG32" s="245">
        <v>1</v>
      </c>
      <c r="AH32" s="245"/>
      <c r="AI32" s="245">
        <v>1</v>
      </c>
      <c r="AJ32" s="245"/>
    </row>
    <row r="33" spans="1:36" s="193" customFormat="1" x14ac:dyDescent="0.2">
      <c r="A33" s="172"/>
      <c r="B33" s="260">
        <f t="shared" si="0"/>
        <v>27</v>
      </c>
      <c r="C33" s="262" t="str">
        <f>_xlfn.IFNA(IF(VLOOKUP('1.4 Analyse &amp; Synthese'!$B27,Tabelle4[#All],2,FALSE)="x",VLOOKUP('1.4 Analyse &amp; Synthese'!$B27,Tabelle4[#All],3,FALSE),""),"")</f>
        <v>Oprescu</v>
      </c>
      <c r="D33" s="254">
        <f>_xlfn.IFNA(IF(VLOOKUP('1.4 Analyse &amp; Synthese'!$B27,Tabelle4[#All],2,FALSE)="x",VLOOKUP('1.4 Analyse &amp; Synthese'!$B27,Tabelle4[#All],4,FALSE),""),"")</f>
        <v>2013</v>
      </c>
      <c r="E33" s="217" t="s">
        <v>8</v>
      </c>
      <c r="F33" s="281" t="s">
        <v>29</v>
      </c>
      <c r="G33" s="218" t="s">
        <v>31</v>
      </c>
      <c r="H33" s="218" t="s">
        <v>624</v>
      </c>
      <c r="I33" s="218" t="s">
        <v>741</v>
      </c>
      <c r="J33" s="218" t="s">
        <v>55</v>
      </c>
      <c r="K33" s="257"/>
      <c r="L33" s="258" t="s">
        <v>64</v>
      </c>
      <c r="M33" s="257" t="s">
        <v>64</v>
      </c>
      <c r="N33" s="258" t="s">
        <v>64</v>
      </c>
      <c r="O33" s="258" t="s">
        <v>64</v>
      </c>
      <c r="P33" s="258"/>
      <c r="Q33" s="244"/>
      <c r="R33" s="245"/>
      <c r="S33" s="245">
        <v>3</v>
      </c>
      <c r="T33" s="245"/>
      <c r="U33" s="245"/>
      <c r="V33" s="245">
        <v>3</v>
      </c>
      <c r="W33" s="245">
        <v>1</v>
      </c>
      <c r="X33" s="245"/>
      <c r="Y33" s="245"/>
      <c r="Z33" s="245">
        <v>3</v>
      </c>
      <c r="AA33" s="245"/>
      <c r="AB33" s="245"/>
      <c r="AC33" s="245"/>
      <c r="AD33" s="245"/>
      <c r="AE33" s="246">
        <v>1</v>
      </c>
      <c r="AF33" s="245"/>
      <c r="AG33" s="245">
        <v>1</v>
      </c>
      <c r="AH33" s="245"/>
      <c r="AI33" s="245">
        <v>1</v>
      </c>
      <c r="AJ33" s="245"/>
    </row>
    <row r="34" spans="1:36" x14ac:dyDescent="0.2">
      <c r="B34" s="260">
        <f t="shared" si="0"/>
        <v>28</v>
      </c>
      <c r="C34" s="262" t="str">
        <f>_xlfn.IFNA(IF(VLOOKUP('1.4 Analyse &amp; Synthese'!$B43,Tabelle4[#All],2,FALSE)="x",VLOOKUP('1.4 Analyse &amp; Synthese'!$B43,Tabelle4[#All],3,FALSE),""),"")</f>
        <v>Paraiso</v>
      </c>
      <c r="D34" s="254">
        <f>_xlfn.IFNA(IF(VLOOKUP('1.4 Analyse &amp; Synthese'!$B43,Tabelle4[#All],2,FALSE)="x",VLOOKUP('1.4 Analyse &amp; Synthese'!$B43,Tabelle4[#All],4,FALSE),""),"")</f>
        <v>2012</v>
      </c>
      <c r="E34" s="217" t="s">
        <v>409</v>
      </c>
      <c r="F34" s="282" t="s">
        <v>28</v>
      </c>
      <c r="G34" s="218" t="s">
        <v>31</v>
      </c>
      <c r="H34" s="250" t="s">
        <v>636</v>
      </c>
      <c r="I34" s="218" t="s">
        <v>654</v>
      </c>
      <c r="J34" s="218"/>
      <c r="K34" s="257" t="s">
        <v>64</v>
      </c>
      <c r="L34" s="258"/>
      <c r="M34" s="257"/>
      <c r="N34" s="258" t="s">
        <v>64</v>
      </c>
      <c r="O34" s="258"/>
      <c r="P34" s="258"/>
      <c r="Q34" s="244"/>
      <c r="R34" s="245"/>
      <c r="S34" s="245"/>
      <c r="T34" s="245"/>
      <c r="U34" s="245">
        <v>1</v>
      </c>
      <c r="V34" s="245"/>
      <c r="W34" s="245"/>
      <c r="X34" s="245"/>
      <c r="Y34" s="245"/>
      <c r="Z34" s="245"/>
      <c r="AA34" s="245"/>
      <c r="AB34" s="245"/>
      <c r="AC34" s="245"/>
      <c r="AD34" s="245"/>
      <c r="AE34" s="246">
        <v>1</v>
      </c>
      <c r="AF34" s="245">
        <v>1</v>
      </c>
      <c r="AG34" s="245">
        <v>1</v>
      </c>
      <c r="AH34" s="245"/>
      <c r="AI34" s="245">
        <v>1</v>
      </c>
      <c r="AJ34" s="245"/>
    </row>
    <row r="35" spans="1:36" x14ac:dyDescent="0.2">
      <c r="B35" s="260">
        <f t="shared" si="0"/>
        <v>29</v>
      </c>
      <c r="C35" s="262" t="str">
        <f>_xlfn.IFNA(IF(VLOOKUP('1.4 Analyse &amp; Synthese'!$B12,Tabelle4[#All],2,FALSE)="x",VLOOKUP('1.4 Analyse &amp; Synthese'!$B12,Tabelle4[#All],3,FALSE),""),"")</f>
        <v xml:space="preserve">Rekik </v>
      </c>
      <c r="D35" s="254">
        <f>_xlfn.IFNA(IF(VLOOKUP('1.4 Analyse &amp; Synthese'!$B12,Tabelle4[#All],2,FALSE)="x",VLOOKUP('1.4 Analyse &amp; Synthese'!$B12,Tabelle4[#All],4,FALSE),""),"")</f>
        <v>2015</v>
      </c>
      <c r="E35" s="217" t="s">
        <v>3</v>
      </c>
      <c r="F35" s="280" t="s">
        <v>29</v>
      </c>
      <c r="G35" s="247" t="s">
        <v>662</v>
      </c>
      <c r="H35" s="247" t="s">
        <v>651</v>
      </c>
      <c r="I35" s="218" t="s">
        <v>437</v>
      </c>
      <c r="J35" s="247" t="s">
        <v>52</v>
      </c>
      <c r="K35" s="257" t="s">
        <v>64</v>
      </c>
      <c r="L35" s="258"/>
      <c r="M35" s="257" t="s">
        <v>64</v>
      </c>
      <c r="N35" s="258" t="s">
        <v>64</v>
      </c>
      <c r="O35" s="258" t="s">
        <v>64</v>
      </c>
      <c r="P35" s="258"/>
      <c r="Q35" s="244"/>
      <c r="R35" s="245">
        <v>1</v>
      </c>
      <c r="S35" s="245">
        <v>3</v>
      </c>
      <c r="T35" s="245"/>
      <c r="U35" s="245"/>
      <c r="V35" s="245">
        <v>1</v>
      </c>
      <c r="W35" s="245"/>
      <c r="X35" s="245"/>
      <c r="Y35" s="245"/>
      <c r="Z35" s="245">
        <v>1</v>
      </c>
      <c r="AA35" s="245"/>
      <c r="AB35" s="245"/>
      <c r="AC35" s="245">
        <v>3</v>
      </c>
      <c r="AD35" s="245"/>
      <c r="AE35" s="246"/>
      <c r="AF35" s="245"/>
      <c r="AG35" s="245"/>
      <c r="AH35" s="245"/>
      <c r="AI35" s="245"/>
      <c r="AJ35" s="245"/>
    </row>
    <row r="36" spans="1:36" x14ac:dyDescent="0.2">
      <c r="B36" s="260">
        <f t="shared" si="0"/>
        <v>30</v>
      </c>
      <c r="C36" s="262" t="str">
        <f>_xlfn.IFNA(IF(VLOOKUP('1.4 Analyse &amp; Synthese'!$B41,Tabelle4[#All],2,FALSE)="x",VLOOKUP('1.4 Analyse &amp; Synthese'!$B41,Tabelle4[#All],3,FALSE),""),"")</f>
        <v>Satzger</v>
      </c>
      <c r="D36" s="254">
        <f>_xlfn.IFNA(IF(VLOOKUP('1.4 Analyse &amp; Synthese'!$B41,Tabelle4[#All],2,FALSE)="x",VLOOKUP('1.4 Analyse &amp; Synthese'!$B41,Tabelle4[#All],4,FALSE),""),"")</f>
        <v>2013</v>
      </c>
      <c r="E36" s="217" t="s">
        <v>16</v>
      </c>
      <c r="F36" s="282" t="s">
        <v>29</v>
      </c>
      <c r="G36" s="218" t="s">
        <v>743</v>
      </c>
      <c r="H36" s="218" t="s">
        <v>659</v>
      </c>
      <c r="I36" s="218" t="s">
        <v>454</v>
      </c>
      <c r="J36" s="218" t="s">
        <v>600</v>
      </c>
      <c r="K36" s="257"/>
      <c r="L36" s="258" t="s">
        <v>64</v>
      </c>
      <c r="M36" s="257" t="s">
        <v>64</v>
      </c>
      <c r="N36" s="258"/>
      <c r="O36" s="258"/>
      <c r="P36" s="258"/>
      <c r="Q36" s="244"/>
      <c r="R36" s="245"/>
      <c r="S36" s="245"/>
      <c r="T36" s="245">
        <v>3</v>
      </c>
      <c r="U36" s="245"/>
      <c r="V36" s="245"/>
      <c r="W36" s="245">
        <v>3</v>
      </c>
      <c r="X36" s="245"/>
      <c r="Y36" s="245"/>
      <c r="Z36" s="245"/>
      <c r="AA36" s="245"/>
      <c r="AB36" s="245"/>
      <c r="AC36" s="245"/>
      <c r="AD36" s="245"/>
      <c r="AE36" s="246">
        <v>1</v>
      </c>
      <c r="AF36" s="245">
        <v>3</v>
      </c>
      <c r="AG36" s="245">
        <v>1</v>
      </c>
      <c r="AH36" s="245"/>
      <c r="AI36" s="245">
        <v>1</v>
      </c>
      <c r="AJ36" s="245"/>
    </row>
    <row r="37" spans="1:36" x14ac:dyDescent="0.2">
      <c r="B37" s="260">
        <f t="shared" si="0"/>
        <v>31</v>
      </c>
      <c r="C37" s="262" t="str">
        <f>_xlfn.IFNA(IF(VLOOKUP('1.4 Analyse &amp; Synthese'!$B47,Tabelle4[#All],2,FALSE)="x",VLOOKUP('1.4 Analyse &amp; Synthese'!$B47,Tabelle4[#All],3,FALSE),""),"")</f>
        <v>Schulte</v>
      </c>
      <c r="D37" s="254">
        <f>_xlfn.IFNA(IF(VLOOKUP('1.4 Analyse &amp; Synthese'!$B47,Tabelle4[#All],2,FALSE)="x",VLOOKUP('1.4 Analyse &amp; Synthese'!$B47,Tabelle4[#All],4,FALSE),""),"")</f>
        <v>2015</v>
      </c>
      <c r="E37" s="217" t="s">
        <v>409</v>
      </c>
      <c r="F37" s="281" t="s">
        <v>29</v>
      </c>
      <c r="G37" s="218" t="s">
        <v>31</v>
      </c>
      <c r="H37" s="251" t="s">
        <v>668</v>
      </c>
      <c r="I37" s="218" t="s">
        <v>617</v>
      </c>
      <c r="J37" s="218"/>
      <c r="K37" s="257" t="s">
        <v>64</v>
      </c>
      <c r="L37" s="258"/>
      <c r="M37" s="257" t="s">
        <v>64</v>
      </c>
      <c r="N37" s="258"/>
      <c r="O37" s="258"/>
      <c r="P37" s="258"/>
      <c r="Q37" s="244"/>
      <c r="R37" s="245"/>
      <c r="S37" s="245">
        <v>3</v>
      </c>
      <c r="T37" s="245"/>
      <c r="U37" s="245"/>
      <c r="V37" s="245"/>
      <c r="W37" s="245"/>
      <c r="X37" s="245"/>
      <c r="Y37" s="245"/>
      <c r="Z37" s="245">
        <v>1</v>
      </c>
      <c r="AA37" s="245"/>
      <c r="AB37" s="245"/>
      <c r="AC37" s="245">
        <v>3</v>
      </c>
      <c r="AD37" s="245"/>
      <c r="AE37" s="246"/>
      <c r="AF37" s="245"/>
      <c r="AG37" s="245"/>
      <c r="AH37" s="245"/>
      <c r="AI37" s="245"/>
      <c r="AJ37" s="245"/>
    </row>
    <row r="38" spans="1:36" x14ac:dyDescent="0.2">
      <c r="B38" s="260">
        <f t="shared" si="0"/>
        <v>32</v>
      </c>
      <c r="C38" s="262" t="str">
        <f>_xlfn.IFNA(IF(VLOOKUP('1.4 Analyse &amp; Synthese'!$B34,Tabelle4[#All],2,FALSE)="x",VLOOKUP('1.4 Analyse &amp; Synthese'!$B34,Tabelle4[#All],3,FALSE),""),"")</f>
        <v>Stanik</v>
      </c>
      <c r="D38" s="254">
        <f>_xlfn.IFNA(IF(VLOOKUP('1.4 Analyse &amp; Synthese'!$B34,Tabelle4[#All],2,FALSE)="x",VLOOKUP('1.4 Analyse &amp; Synthese'!$B34,Tabelle4[#All],4,FALSE),""),"")</f>
        <v>2015</v>
      </c>
      <c r="E38" s="217" t="s">
        <v>4</v>
      </c>
      <c r="F38" s="282" t="s">
        <v>27</v>
      </c>
      <c r="G38" s="218" t="s">
        <v>32</v>
      </c>
      <c r="H38" s="218" t="s">
        <v>631</v>
      </c>
      <c r="I38" s="218" t="s">
        <v>445</v>
      </c>
      <c r="J38" s="218"/>
      <c r="K38" s="257"/>
      <c r="L38" s="258" t="s">
        <v>64</v>
      </c>
      <c r="M38" s="257" t="s">
        <v>64</v>
      </c>
      <c r="N38" s="258"/>
      <c r="O38" s="258"/>
      <c r="P38" s="258"/>
      <c r="Q38" s="244"/>
      <c r="R38" s="245"/>
      <c r="S38" s="245">
        <v>1</v>
      </c>
      <c r="T38" s="245"/>
      <c r="U38" s="245"/>
      <c r="V38" s="245"/>
      <c r="W38" s="245">
        <v>1</v>
      </c>
      <c r="X38" s="245"/>
      <c r="Y38" s="245"/>
      <c r="Z38" s="245"/>
      <c r="AA38" s="245"/>
      <c r="AB38" s="245"/>
      <c r="AC38" s="245"/>
      <c r="AD38" s="245">
        <v>1</v>
      </c>
      <c r="AE38" s="246"/>
      <c r="AF38" s="245">
        <v>1</v>
      </c>
      <c r="AG38" s="245">
        <v>3</v>
      </c>
      <c r="AH38" s="245"/>
      <c r="AI38" s="245">
        <v>3</v>
      </c>
      <c r="AJ38" s="245"/>
    </row>
    <row r="39" spans="1:36" x14ac:dyDescent="0.2">
      <c r="B39" s="260">
        <f t="shared" si="0"/>
        <v>33</v>
      </c>
      <c r="C39" s="262" t="str">
        <f>_xlfn.IFNA(IF(VLOOKUP('1.4 Analyse &amp; Synthese'!$B25,Tabelle4[#All],2,FALSE)="x",VLOOKUP('1.4 Analyse &amp; Synthese'!$B25,Tabelle4[#All],3,FALSE),""),"")</f>
        <v>Stefano</v>
      </c>
      <c r="D39" s="254">
        <f>_xlfn.IFNA(IF(VLOOKUP('1.4 Analyse &amp; Synthese'!$B25,Tabelle4[#All],2,FALSE)="x",VLOOKUP('1.4 Analyse &amp; Synthese'!$B25,Tabelle4[#All],4,FALSE),""),"")</f>
        <v>2013</v>
      </c>
      <c r="E39" s="217" t="s">
        <v>21</v>
      </c>
      <c r="F39" s="280" t="s">
        <v>29</v>
      </c>
      <c r="G39" s="247" t="s">
        <v>31</v>
      </c>
      <c r="H39" s="247" t="s">
        <v>621</v>
      </c>
      <c r="I39" s="218" t="s">
        <v>433</v>
      </c>
      <c r="J39" s="247"/>
      <c r="K39" s="257" t="s">
        <v>64</v>
      </c>
      <c r="L39" s="258"/>
      <c r="M39" s="257" t="s">
        <v>64</v>
      </c>
      <c r="N39" s="258"/>
      <c r="O39" s="258"/>
      <c r="P39" s="258"/>
      <c r="Q39" s="244"/>
      <c r="R39" s="245"/>
      <c r="S39" s="245">
        <v>1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6"/>
      <c r="AF39" s="245">
        <v>1</v>
      </c>
      <c r="AG39" s="245">
        <v>1</v>
      </c>
      <c r="AH39" s="245"/>
      <c r="AI39" s="245">
        <v>1</v>
      </c>
      <c r="AJ39" s="245"/>
    </row>
    <row r="40" spans="1:36" x14ac:dyDescent="0.2">
      <c r="B40" s="260">
        <f t="shared" si="0"/>
        <v>34</v>
      </c>
      <c r="C40" s="262" t="str">
        <f>_xlfn.IFNA(IF(VLOOKUP('1.4 Analyse &amp; Synthese'!$B45,Tabelle4[#All],2,FALSE)="x",VLOOKUP('1.4 Analyse &amp; Synthese'!$B45,Tabelle4[#All],3,FALSE),""),"")</f>
        <v>Su</v>
      </c>
      <c r="D40" s="254">
        <f>_xlfn.IFNA(IF(VLOOKUP('1.4 Analyse &amp; Synthese'!$B45,Tabelle4[#All],2,FALSE)="x",VLOOKUP('1.4 Analyse &amp; Synthese'!$B45,Tabelle4[#All],4,FALSE),""),"")</f>
        <v>2015</v>
      </c>
      <c r="E40" s="217" t="s">
        <v>14</v>
      </c>
      <c r="F40" s="282" t="s">
        <v>29</v>
      </c>
      <c r="G40" s="218" t="s">
        <v>412</v>
      </c>
      <c r="H40" s="218" t="s">
        <v>661</v>
      </c>
      <c r="I40" s="218" t="s">
        <v>640</v>
      </c>
      <c r="J40" s="218"/>
      <c r="K40" s="257"/>
      <c r="L40" s="258" t="s">
        <v>64</v>
      </c>
      <c r="M40" s="257"/>
      <c r="N40" s="258"/>
      <c r="O40" s="258"/>
      <c r="P40" s="258"/>
      <c r="Q40" s="244"/>
      <c r="R40" s="245"/>
      <c r="S40" s="245"/>
      <c r="T40" s="245"/>
      <c r="U40" s="245"/>
      <c r="V40" s="245"/>
      <c r="W40" s="245"/>
      <c r="X40" s="245"/>
      <c r="Y40" s="245">
        <v>3</v>
      </c>
      <c r="Z40" s="245"/>
      <c r="AA40" s="245"/>
      <c r="AB40" s="245"/>
      <c r="AC40" s="245">
        <v>1</v>
      </c>
      <c r="AD40" s="245"/>
      <c r="AE40" s="246"/>
      <c r="AF40" s="245"/>
      <c r="AG40" s="245"/>
      <c r="AH40" s="245"/>
      <c r="AI40" s="245"/>
      <c r="AJ40" s="245"/>
    </row>
    <row r="41" spans="1:36" x14ac:dyDescent="0.2">
      <c r="B41" s="260">
        <f t="shared" si="0"/>
        <v>35</v>
      </c>
      <c r="C41" s="262" t="str">
        <f>_xlfn.IFNA(IF(VLOOKUP('1.4 Analyse &amp; Synthese'!$B33,Tabelle4[#All],2,FALSE)="x",VLOOKUP('1.4 Analyse &amp; Synthese'!$B33,Tabelle4[#All],3,FALSE),""),"")</f>
        <v>Tata</v>
      </c>
      <c r="D41" s="254">
        <f>_xlfn.IFNA(IF(VLOOKUP('1.4 Analyse &amp; Synthese'!$B33,Tabelle4[#All],2,FALSE)="x",VLOOKUP('1.4 Analyse &amp; Synthese'!$B33,Tabelle4[#All],4,FALSE),""),"")</f>
        <v>2016</v>
      </c>
      <c r="E41" s="217" t="s">
        <v>4</v>
      </c>
      <c r="F41" s="281" t="s">
        <v>27</v>
      </c>
      <c r="G41" s="218" t="s">
        <v>743</v>
      </c>
      <c r="H41" s="218" t="s">
        <v>608</v>
      </c>
      <c r="I41" s="218" t="s">
        <v>433</v>
      </c>
      <c r="J41" s="218"/>
      <c r="K41" s="257" t="s">
        <v>64</v>
      </c>
      <c r="L41" s="258"/>
      <c r="M41" s="257"/>
      <c r="N41" s="258" t="s">
        <v>64</v>
      </c>
      <c r="O41" s="258" t="s">
        <v>64</v>
      </c>
      <c r="P41" s="258"/>
      <c r="Q41" s="244"/>
      <c r="R41" s="245">
        <v>3</v>
      </c>
      <c r="S41" s="245">
        <v>1</v>
      </c>
      <c r="T41" s="245"/>
      <c r="U41" s="245"/>
      <c r="V41" s="245"/>
      <c r="W41" s="245">
        <v>3</v>
      </c>
      <c r="X41" s="245"/>
      <c r="Y41" s="245"/>
      <c r="Z41" s="245"/>
      <c r="AA41" s="245">
        <v>3</v>
      </c>
      <c r="AB41" s="245"/>
      <c r="AC41" s="245"/>
      <c r="AD41" s="245"/>
      <c r="AE41" s="246">
        <v>1</v>
      </c>
      <c r="AF41" s="245"/>
      <c r="AG41" s="245">
        <v>3</v>
      </c>
      <c r="AH41" s="245"/>
      <c r="AI41" s="245">
        <v>3</v>
      </c>
      <c r="AJ41" s="245"/>
    </row>
    <row r="42" spans="1:36" s="193" customFormat="1" x14ac:dyDescent="0.2">
      <c r="A42" s="172"/>
      <c r="B42" s="260">
        <f t="shared" si="0"/>
        <v>36</v>
      </c>
      <c r="C42" s="262" t="str">
        <f>_xlfn.IFNA(IF(VLOOKUP('1.4 Analyse &amp; Synthese'!$B28,Tabelle4[#All],2,FALSE)="x",VLOOKUP('1.4 Analyse &amp; Synthese'!$B28,Tabelle4[#All],3,FALSE),""),"")</f>
        <v>Ul Haq</v>
      </c>
      <c r="D42" s="254">
        <f>_xlfn.IFNA(IF(VLOOKUP('1.4 Analyse &amp; Synthese'!$B28,Tabelle4[#All],2,FALSE)="x",VLOOKUP('1.4 Analyse &amp; Synthese'!$B28,Tabelle4[#All],4,FALSE),""),"")</f>
        <v>2009</v>
      </c>
      <c r="E42" s="217" t="s">
        <v>4</v>
      </c>
      <c r="F42" s="282" t="s">
        <v>27</v>
      </c>
      <c r="G42" s="218" t="s">
        <v>32</v>
      </c>
      <c r="H42" s="218" t="s">
        <v>625</v>
      </c>
      <c r="I42" s="218" t="s">
        <v>445</v>
      </c>
      <c r="J42" s="218"/>
      <c r="K42" s="257"/>
      <c r="L42" s="258" t="s">
        <v>64</v>
      </c>
      <c r="M42" s="257" t="s">
        <v>64</v>
      </c>
      <c r="N42" s="258" t="s">
        <v>64</v>
      </c>
      <c r="O42" s="258" t="s">
        <v>64</v>
      </c>
      <c r="P42" s="258"/>
      <c r="Q42" s="244"/>
      <c r="R42" s="245">
        <v>1</v>
      </c>
      <c r="S42" s="245">
        <v>1</v>
      </c>
      <c r="T42" s="245">
        <v>3</v>
      </c>
      <c r="U42" s="245"/>
      <c r="V42" s="245"/>
      <c r="W42" s="245">
        <v>3</v>
      </c>
      <c r="X42" s="245"/>
      <c r="Y42" s="245"/>
      <c r="Z42" s="245">
        <v>3</v>
      </c>
      <c r="AA42" s="245"/>
      <c r="AB42" s="245"/>
      <c r="AC42" s="245"/>
      <c r="AD42" s="245"/>
      <c r="AE42" s="246"/>
      <c r="AF42" s="245"/>
      <c r="AG42" s="245"/>
      <c r="AH42" s="245"/>
      <c r="AI42" s="245"/>
      <c r="AJ42" s="245"/>
    </row>
    <row r="43" spans="1:36" x14ac:dyDescent="0.2">
      <c r="B43" s="260">
        <f t="shared" si="0"/>
        <v>37</v>
      </c>
      <c r="C43" s="262" t="str">
        <f>_xlfn.IFNA(IF(VLOOKUP('1.4 Analyse &amp; Synthese'!$B40,Tabelle4[#All],2,FALSE)="x",VLOOKUP('1.4 Analyse &amp; Synthese'!$B40,Tabelle4[#All],3,FALSE),""),"")</f>
        <v>Vernik</v>
      </c>
      <c r="D43" s="254">
        <f>_xlfn.IFNA(IF(VLOOKUP('1.4 Analyse &amp; Synthese'!$B40,Tabelle4[#All],2,FALSE)="x",VLOOKUP('1.4 Analyse &amp; Synthese'!$B40,Tabelle4[#All],4,FALSE),""),"")</f>
        <v>2013</v>
      </c>
      <c r="E43" s="217" t="s">
        <v>409</v>
      </c>
      <c r="F43" s="281" t="s">
        <v>28</v>
      </c>
      <c r="G43" s="218" t="s">
        <v>743</v>
      </c>
      <c r="H43" s="252" t="s">
        <v>658</v>
      </c>
      <c r="I43" s="218" t="s">
        <v>617</v>
      </c>
      <c r="J43" s="218" t="s">
        <v>603</v>
      </c>
      <c r="K43" s="257"/>
      <c r="L43" s="258" t="s">
        <v>64</v>
      </c>
      <c r="M43" s="257" t="s">
        <v>64</v>
      </c>
      <c r="N43" s="258"/>
      <c r="O43" s="258"/>
      <c r="P43" s="258"/>
      <c r="Q43" s="244"/>
      <c r="R43" s="245"/>
      <c r="S43" s="245"/>
      <c r="T43" s="245"/>
      <c r="U43" s="245"/>
      <c r="V43" s="245"/>
      <c r="W43" s="245"/>
      <c r="X43" s="245"/>
      <c r="Y43" s="245"/>
      <c r="Z43" s="245"/>
      <c r="AA43" s="245"/>
      <c r="AB43" s="245"/>
      <c r="AC43" s="245"/>
      <c r="AD43" s="245"/>
      <c r="AE43" s="246"/>
      <c r="AF43" s="245">
        <v>1</v>
      </c>
      <c r="AG43" s="245">
        <v>1</v>
      </c>
      <c r="AH43" s="245"/>
      <c r="AI43" s="245">
        <v>1</v>
      </c>
      <c r="AJ43" s="245">
        <v>1</v>
      </c>
    </row>
    <row r="44" spans="1:36" x14ac:dyDescent="0.2">
      <c r="B44" s="260">
        <f t="shared" si="0"/>
        <v>38</v>
      </c>
      <c r="C44" s="262" t="str">
        <f>_xlfn.IFNA(IF(VLOOKUP('1.4 Analyse &amp; Synthese'!$B32,Tabelle4[#All],2,FALSE)="x",VLOOKUP('1.4 Analyse &amp; Synthese'!$B32,Tabelle4[#All],3,FALSE),""),"")</f>
        <v xml:space="preserve">Vukovic </v>
      </c>
      <c r="D44" s="254">
        <f>_xlfn.IFNA(IF(VLOOKUP('1.4 Analyse &amp; Synthese'!$B32,Tabelle4[#All],2,FALSE)="x",VLOOKUP('1.4 Analyse &amp; Synthese'!$B32,Tabelle4[#All],4,FALSE),""),"")</f>
        <v>2016</v>
      </c>
      <c r="E44" s="217" t="s">
        <v>8</v>
      </c>
      <c r="F44" s="282" t="s">
        <v>28</v>
      </c>
      <c r="G44" s="218" t="s">
        <v>31</v>
      </c>
      <c r="H44" s="218" t="s">
        <v>629</v>
      </c>
      <c r="I44" s="218" t="s">
        <v>373</v>
      </c>
      <c r="J44" s="218"/>
      <c r="K44" s="257" t="s">
        <v>64</v>
      </c>
      <c r="L44" s="258"/>
      <c r="M44" s="257" t="s">
        <v>64</v>
      </c>
      <c r="N44" s="258" t="s">
        <v>64</v>
      </c>
      <c r="O44" s="258" t="s">
        <v>64</v>
      </c>
      <c r="P44" s="258"/>
      <c r="Q44" s="244"/>
      <c r="R44" s="245">
        <v>1</v>
      </c>
      <c r="S44" s="245"/>
      <c r="T44" s="245"/>
      <c r="U44" s="245"/>
      <c r="V44" s="245"/>
      <c r="W44" s="245"/>
      <c r="X44" s="245"/>
      <c r="Y44" s="245"/>
      <c r="Z44" s="245">
        <v>3</v>
      </c>
      <c r="AA44" s="245"/>
      <c r="AB44" s="245"/>
      <c r="AC44" s="245"/>
      <c r="AD44" s="245"/>
      <c r="AE44" s="246">
        <v>1</v>
      </c>
      <c r="AF44" s="245"/>
      <c r="AG44" s="245"/>
      <c r="AH44" s="245"/>
      <c r="AI44" s="245"/>
      <c r="AJ44" s="245"/>
    </row>
    <row r="45" spans="1:36" x14ac:dyDescent="0.2">
      <c r="B45" s="260">
        <f t="shared" si="0"/>
        <v>39</v>
      </c>
      <c r="C45" s="262" t="str">
        <f>_xlfn.IFNA(IF(VLOOKUP('1.4 Analyse &amp; Synthese'!$B35,Tabelle4[#All],2,FALSE)="x",VLOOKUP('1.4 Analyse &amp; Synthese'!$B35,Tabelle4[#All],3,FALSE),""),"")</f>
        <v>Xia</v>
      </c>
      <c r="D45" s="254">
        <f>_xlfn.IFNA(IF(VLOOKUP('1.4 Analyse &amp; Synthese'!$B35,Tabelle4[#All],2,FALSE)="x",VLOOKUP('1.4 Analyse &amp; Synthese'!$B35,Tabelle4[#All],4,FALSE),""),"")</f>
        <v>2014</v>
      </c>
      <c r="E45" s="217" t="s">
        <v>15</v>
      </c>
      <c r="F45" s="281" t="s">
        <v>28</v>
      </c>
      <c r="G45" s="218" t="s">
        <v>31</v>
      </c>
      <c r="H45" s="218" t="s">
        <v>633</v>
      </c>
      <c r="I45" s="218" t="s">
        <v>632</v>
      </c>
      <c r="J45" s="218"/>
      <c r="K45" s="257" t="s">
        <v>64</v>
      </c>
      <c r="L45" s="258"/>
      <c r="M45" s="257"/>
      <c r="N45" s="258"/>
      <c r="O45" s="258" t="s">
        <v>64</v>
      </c>
      <c r="P45" s="258"/>
      <c r="Q45" s="244"/>
      <c r="R45" s="245">
        <v>1</v>
      </c>
      <c r="S45" s="245"/>
      <c r="T45" s="245"/>
      <c r="U45" s="245"/>
      <c r="V45" s="245"/>
      <c r="W45" s="245"/>
      <c r="X45" s="245"/>
      <c r="Y45" s="245"/>
      <c r="Z45" s="245"/>
      <c r="AA45" s="245"/>
      <c r="AB45" s="245"/>
      <c r="AC45" s="245"/>
      <c r="AD45" s="245">
        <v>1</v>
      </c>
      <c r="AE45" s="246"/>
      <c r="AF45" s="245">
        <v>1</v>
      </c>
      <c r="AG45" s="245"/>
      <c r="AH45" s="245"/>
      <c r="AI45" s="245"/>
      <c r="AJ45" s="245">
        <v>1</v>
      </c>
    </row>
    <row r="46" spans="1:36" x14ac:dyDescent="0.2">
      <c r="B46" s="260">
        <f t="shared" si="0"/>
        <v>40</v>
      </c>
      <c r="C46" s="262" t="str">
        <f>_xlfn.IFNA(IF(VLOOKUP('1.4 Analyse &amp; Synthese'!$B39,Tabelle4[#All],2,FALSE)="x",VLOOKUP('1.4 Analyse &amp; Synthese'!$B39,Tabelle4[#All],3,FALSE),""),"")</f>
        <v>Yangui</v>
      </c>
      <c r="D46" s="254">
        <f>_xlfn.IFNA(IF(VLOOKUP('1.4 Analyse &amp; Synthese'!$B39,Tabelle4[#All],2,FALSE)="x",VLOOKUP('1.4 Analyse &amp; Synthese'!$B39,Tabelle4[#All],4,FALSE),""),"")</f>
        <v>2013</v>
      </c>
      <c r="E46" s="217" t="s">
        <v>18</v>
      </c>
      <c r="F46" s="282" t="s">
        <v>28</v>
      </c>
      <c r="G46" s="218" t="s">
        <v>31</v>
      </c>
      <c r="H46" s="218" t="s">
        <v>655</v>
      </c>
      <c r="I46" s="218" t="s">
        <v>654</v>
      </c>
      <c r="J46" s="218" t="s">
        <v>601</v>
      </c>
      <c r="K46" s="257" t="s">
        <v>64</v>
      </c>
      <c r="L46" s="258"/>
      <c r="M46" s="257"/>
      <c r="N46" s="258" t="s">
        <v>64</v>
      </c>
      <c r="O46" s="258"/>
      <c r="P46" s="258"/>
      <c r="Q46" s="244"/>
      <c r="R46" s="245">
        <v>3</v>
      </c>
      <c r="S46" s="245"/>
      <c r="T46" s="245"/>
      <c r="U46" s="245">
        <v>1</v>
      </c>
      <c r="V46" s="245">
        <v>3</v>
      </c>
      <c r="W46" s="245"/>
      <c r="X46" s="245">
        <v>3</v>
      </c>
      <c r="Y46" s="245"/>
      <c r="Z46" s="245"/>
      <c r="AA46" s="245"/>
      <c r="AB46" s="245"/>
      <c r="AC46" s="245"/>
      <c r="AD46" s="245">
        <v>3</v>
      </c>
      <c r="AE46" s="246"/>
      <c r="AF46" s="245">
        <v>1</v>
      </c>
      <c r="AG46" s="245">
        <v>1</v>
      </c>
      <c r="AH46" s="245"/>
      <c r="AI46" s="245">
        <v>1</v>
      </c>
      <c r="AJ46" s="245"/>
    </row>
    <row r="47" spans="1:36" x14ac:dyDescent="0.2">
      <c r="B47" s="260">
        <f t="shared" si="0"/>
        <v>41</v>
      </c>
      <c r="C47" s="262" t="str">
        <f>_xlfn.IFNA(IF(VLOOKUP('1.4 Analyse &amp; Synthese'!$B8,Tabelle4[#All],2,FALSE)="x",VLOOKUP('1.4 Analyse &amp; Synthese'!$B8,Tabelle4[#All],3,FALSE),""),"")</f>
        <v>Zangara</v>
      </c>
      <c r="D47" s="254">
        <f>_xlfn.IFNA(IF(VLOOKUP('1.4 Analyse &amp; Synthese'!$B8,Tabelle4[#All],2,FALSE)="x",VLOOKUP('1.4 Analyse &amp; Synthese'!$B8,Tabelle4[#All],4,FALSE),""),"")</f>
        <v>2015</v>
      </c>
      <c r="E47" s="217" t="s">
        <v>2</v>
      </c>
      <c r="F47" s="283" t="s">
        <v>28</v>
      </c>
      <c r="G47" s="247" t="s">
        <v>31</v>
      </c>
      <c r="H47" s="247" t="s">
        <v>610</v>
      </c>
      <c r="I47" s="218" t="s">
        <v>654</v>
      </c>
      <c r="J47" s="247" t="s">
        <v>50</v>
      </c>
      <c r="K47" s="257"/>
      <c r="L47" s="258" t="s">
        <v>64</v>
      </c>
      <c r="M47" s="257" t="s">
        <v>64</v>
      </c>
      <c r="N47" s="258" t="s">
        <v>64</v>
      </c>
      <c r="O47" s="258"/>
      <c r="P47" s="258"/>
      <c r="Q47" s="244">
        <v>1</v>
      </c>
      <c r="R47" s="245">
        <v>3</v>
      </c>
      <c r="S47" s="245"/>
      <c r="T47" s="245">
        <v>3</v>
      </c>
      <c r="U47" s="245">
        <v>1</v>
      </c>
      <c r="V47" s="245"/>
      <c r="W47" s="245"/>
      <c r="X47" s="245">
        <v>1</v>
      </c>
      <c r="Y47" s="245"/>
      <c r="Z47" s="245">
        <v>1</v>
      </c>
      <c r="AA47" s="245"/>
      <c r="AB47" s="245">
        <v>3</v>
      </c>
      <c r="AC47" s="245"/>
      <c r="AD47" s="245"/>
      <c r="AE47" s="246">
        <v>1</v>
      </c>
      <c r="AF47" s="245"/>
      <c r="AG47" s="245">
        <v>3</v>
      </c>
      <c r="AH47" s="245"/>
      <c r="AI47" s="245">
        <v>3</v>
      </c>
      <c r="AJ47" s="245"/>
    </row>
  </sheetData>
  <sheetProtection sort="0"/>
  <sortState ref="B4:D9">
    <sortCondition ref="B3"/>
  </sortState>
  <mergeCells count="16">
    <mergeCell ref="V3:AB3"/>
    <mergeCell ref="Q4:AD5"/>
    <mergeCell ref="M4:P5"/>
    <mergeCell ref="K4:L5"/>
    <mergeCell ref="B1:AJ1"/>
    <mergeCell ref="B3:E3"/>
    <mergeCell ref="F3:U3"/>
    <mergeCell ref="B4:B5"/>
    <mergeCell ref="D4:D5"/>
    <mergeCell ref="C4:C5"/>
    <mergeCell ref="AE4:AJ5"/>
    <mergeCell ref="I4:I5"/>
    <mergeCell ref="G4:G5"/>
    <mergeCell ref="F4:F5"/>
    <mergeCell ref="E4:E5"/>
    <mergeCell ref="J4:J5"/>
  </mergeCells>
  <phoneticPr fontId="13" type="noConversion"/>
  <conditionalFormatting sqref="Q7:AJ47">
    <cfRule type="cellIs" dxfId="272" priority="55" operator="equal">
      <formula>1</formula>
    </cfRule>
    <cfRule type="cellIs" dxfId="271" priority="57" operator="equal">
      <formula>3</formula>
    </cfRule>
  </conditionalFormatting>
  <conditionalFormatting sqref="B7:B47">
    <cfRule type="expression" dxfId="270" priority="53">
      <formula>G7="Anbieter- &amp; Serviceauswahl"</formula>
    </cfRule>
  </conditionalFormatting>
  <pageMargins left="0.7" right="0.7" top="0.75" bottom="0.75" header="0.3" footer="0.3"/>
  <pageSetup paperSize="9" orientation="portrait" horizontalDpi="0" verticalDpi="0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49DDAB3D-07D6-A448-9C01-E182A3767BD3}">
            <xm:f>G7='(Codierung)'!$D$5</xm:f>
            <x14:dxf>
              <font>
                <color theme="0"/>
              </font>
              <fill>
                <patternFill>
                  <fgColor theme="9"/>
                  <bgColor theme="9"/>
                </patternFill>
              </fill>
            </x14:dxf>
          </x14:cfRule>
          <x14:cfRule type="expression" priority="48" id="{53360F44-42E1-9841-97CE-B62C8E6C9F72}">
            <xm:f>G7='(Codierung)'!$D$6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49" id="{55A188E4-19DB-B642-9AD9-601A08A0AA23}">
            <xm:f>G7='(Codierung)'!$D$4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expression" priority="50" id="{5D7F9171-E232-B14A-85BC-D9D21ADEECB1}">
            <xm:f>G7='(Codierung)'!$D$2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expression" priority="51" id="{59633A60-09D9-5F47-8222-1A46445C08C7}">
            <xm:f>G7='(Codierung)'!$D$3</xm:f>
            <x14:dxf>
              <font>
                <color theme="0"/>
              </font>
              <fill>
                <patternFill>
                  <bgColor theme="8"/>
                </patternFill>
              </fill>
            </x14:dxf>
          </x14:cfRule>
          <xm:sqref>B7:B47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'(Codierung)'!$B$2:$B$26</xm:f>
          </x14:formula1>
          <xm:sqref>E7:E47</xm:sqref>
        </x14:dataValidation>
        <x14:dataValidation type="list" allowBlank="1" showInputMessage="1" showErrorMessage="1">
          <x14:formula1>
            <xm:f>'(Codierung)'!$D$2:$D$8</xm:f>
          </x14:formula1>
          <xm:sqref>G7:G47</xm:sqref>
        </x14:dataValidation>
        <x14:dataValidation type="list" allowBlank="1" showInputMessage="1">
          <x14:formula1>
            <xm:f>'(Codierung)'!$C$2:$C$4</xm:f>
          </x14:formula1>
          <xm:sqref>F7:F47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 enableFormatConditionsCalculation="0"/>
  <dimension ref="A1:P42"/>
  <sheetViews>
    <sheetView topLeftCell="A5" zoomScale="125" zoomScaleNormal="90" zoomScalePageLayoutView="90" workbookViewId="0">
      <selection activeCell="I16" sqref="I16"/>
    </sheetView>
  </sheetViews>
  <sheetFormatPr baseColWidth="10" defaultRowHeight="16" x14ac:dyDescent="0.2"/>
  <cols>
    <col min="1" max="16384" width="10.83203125" style="139"/>
  </cols>
  <sheetData>
    <row r="1" spans="2:16" ht="100" customHeight="1" x14ac:dyDescent="0.2">
      <c r="B1" s="398" t="s">
        <v>648</v>
      </c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398"/>
      <c r="P1" s="398"/>
    </row>
    <row r="42" spans="1:1" x14ac:dyDescent="0.2">
      <c r="A42" s="210"/>
    </row>
  </sheetData>
  <mergeCells count="1">
    <mergeCell ref="B1:P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 enableFormatConditionsCalculation="0"/>
  <dimension ref="B1:AX65"/>
  <sheetViews>
    <sheetView topLeftCell="C1" zoomScale="87" zoomScaleNormal="130" zoomScalePageLayoutView="130" workbookViewId="0">
      <selection activeCell="J12" sqref="J12:N12"/>
    </sheetView>
  </sheetViews>
  <sheetFormatPr baseColWidth="10" defaultRowHeight="16" x14ac:dyDescent="0.2"/>
  <cols>
    <col min="1" max="1" width="10.83203125" style="137" customWidth="1"/>
    <col min="2" max="2" width="11.33203125" style="137" customWidth="1"/>
    <col min="3" max="3" width="13.6640625" style="137" customWidth="1"/>
    <col min="4" max="6" width="4.83203125" style="233" customWidth="1"/>
    <col min="7" max="7" width="3.5" style="233" bestFit="1" customWidth="1"/>
    <col min="8" max="23" width="4.83203125" style="233" customWidth="1"/>
    <col min="24" max="25" width="4" style="137" customWidth="1"/>
    <col min="26" max="27" width="10.83203125" style="137" customWidth="1"/>
    <col min="28" max="47" width="25.6640625" style="137" customWidth="1"/>
    <col min="48" max="50" width="10.83203125" style="137" customWidth="1"/>
    <col min="51" max="16384" width="10.83203125" style="137"/>
  </cols>
  <sheetData>
    <row r="1" spans="2:50" ht="100" customHeight="1" x14ac:dyDescent="0.2">
      <c r="C1" s="464" t="s">
        <v>649</v>
      </c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</row>
    <row r="2" spans="2:50" ht="31" customHeight="1" thickBot="1" x14ac:dyDescent="0.25">
      <c r="C2" s="229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  <c r="W2" s="231"/>
      <c r="X2" s="229"/>
      <c r="Y2" s="229"/>
    </row>
    <row r="3" spans="2:50" s="158" customFormat="1" ht="31" customHeight="1" x14ac:dyDescent="0.2">
      <c r="C3" s="268"/>
      <c r="D3" s="489" t="s">
        <v>62</v>
      </c>
      <c r="E3" s="490"/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1"/>
      <c r="R3" s="465" t="s">
        <v>38</v>
      </c>
      <c r="S3" s="466"/>
      <c r="T3" s="466"/>
      <c r="U3" s="466"/>
      <c r="V3" s="466"/>
      <c r="W3" s="467"/>
      <c r="AB3" s="477" t="s">
        <v>62</v>
      </c>
      <c r="AC3" s="478"/>
      <c r="AD3" s="478"/>
      <c r="AE3" s="478"/>
      <c r="AF3" s="478"/>
      <c r="AG3" s="478"/>
      <c r="AH3" s="478"/>
      <c r="AI3" s="478"/>
      <c r="AJ3" s="478"/>
      <c r="AK3" s="478"/>
      <c r="AL3" s="478"/>
      <c r="AM3" s="478"/>
      <c r="AN3" s="478"/>
      <c r="AO3" s="479"/>
      <c r="AP3" s="480" t="s">
        <v>38</v>
      </c>
      <c r="AQ3" s="481"/>
      <c r="AR3" s="481"/>
      <c r="AS3" s="481"/>
      <c r="AT3" s="481"/>
      <c r="AU3" s="482"/>
    </row>
    <row r="4" spans="2:50" s="190" customFormat="1" ht="173" customHeight="1" thickBot="1" x14ac:dyDescent="0.25">
      <c r="C4" s="267"/>
      <c r="D4" s="394" t="str">
        <f>Tabelle3[[#Headers],[Preisgestaltungsrichtl.]]</f>
        <v>Preisgestaltungsrichtl.</v>
      </c>
      <c r="E4" s="395" t="str">
        <f>Tabelle3[[#Headers],[Standardisierung]]</f>
        <v>Standardisierung</v>
      </c>
      <c r="F4" s="395" t="str">
        <f>Tabelle3[[#Headers],[Regelungen in SLA]]</f>
        <v>Regelungen in SLA</v>
      </c>
      <c r="G4" s="395" t="str">
        <f>Tabelle3[[#Headers],[Einschränkungen]]</f>
        <v>Einschränkungen</v>
      </c>
      <c r="H4" s="395" t="str">
        <f>Tabelle3[[#Headers],[Benutzerschnittstelle]]</f>
        <v>Benutzerschnittstelle</v>
      </c>
      <c r="I4" s="395" t="str">
        <f>Tabelle3[[#Headers],[Terminologie]]</f>
        <v>Terminologie</v>
      </c>
      <c r="J4" s="395" t="str">
        <f>Tabelle3[[#Headers],[Ökosystem]]</f>
        <v>Ökosystem</v>
      </c>
      <c r="K4" s="395" t="str">
        <f>Tabelle3[[#Headers],[Anforderung]]</f>
        <v>Anforderung</v>
      </c>
      <c r="L4" s="395" t="str">
        <f>Tabelle3[[#Headers],[Rollen]]</f>
        <v>Rollen</v>
      </c>
      <c r="M4" s="395" t="str">
        <f>Tabelle3[[#Headers],[Beschaffungsprozess]]</f>
        <v>Beschaffungsprozess</v>
      </c>
      <c r="N4" s="395" t="str">
        <f>Tabelle3[[#Headers],[Rechtl. Rahmenbeding.]]</f>
        <v>Rechtl. Rahmenbeding.</v>
      </c>
      <c r="O4" s="395" t="str">
        <f>Tabelle3[[#Headers],[Fähigkeitsniveau]]</f>
        <v>Fähigkeitsniveau</v>
      </c>
      <c r="P4" s="395" t="str">
        <f>Tabelle3[[#Headers],[Kult. Hintergrund]]</f>
        <v>Kult. Hintergrund</v>
      </c>
      <c r="Q4" s="396" t="str">
        <f>Tabelle3[[#Headers],[Support Prozess]]</f>
        <v>Support Prozess</v>
      </c>
      <c r="R4" s="394" t="str">
        <f>Tabelle3[[#Headers],[Standardisierung ]]</f>
        <v xml:space="preserve">Standardisierung </v>
      </c>
      <c r="S4" s="395" t="str">
        <f>Tabelle3[[#Headers],[Kommunikation ]]</f>
        <v xml:space="preserve">Kommunikation </v>
      </c>
      <c r="T4" s="395" t="str">
        <f>Tabelle3[[#Headers],[Mechaniken ]]</f>
        <v xml:space="preserve">Mechaniken </v>
      </c>
      <c r="U4" s="395" t="str">
        <f>Tabelle3[[#Headers],[Version]]</f>
        <v>Version</v>
      </c>
      <c r="V4" s="395" t="str">
        <f>Tabelle3[[#Headers],[Serviceschnittstelle]]</f>
        <v>Serviceschnittstelle</v>
      </c>
      <c r="W4" s="397" t="str">
        <f>Tabelle3[[#Headers],[Datenintegrität]]</f>
        <v>Datenintegrität</v>
      </c>
      <c r="X4" s="223"/>
      <c r="Y4" s="223"/>
      <c r="AB4" s="389" t="str">
        <f>Tabelle3[[#Headers],[Preisgestaltungsrichtl.]]</f>
        <v>Preisgestaltungsrichtl.</v>
      </c>
      <c r="AC4" s="390" t="str">
        <f>Tabelle3[[#Headers],[Standardisierung]]</f>
        <v>Standardisierung</v>
      </c>
      <c r="AD4" s="390" t="str">
        <f>Tabelle3[[#Headers],[Regelungen in SLA]]</f>
        <v>Regelungen in SLA</v>
      </c>
      <c r="AE4" s="390" t="str">
        <f>Tabelle3[[#Headers],[Einschränkungen]]</f>
        <v>Einschränkungen</v>
      </c>
      <c r="AF4" s="390" t="str">
        <f>Tabelle3[[#Headers],[Benutzerschnittstelle]]</f>
        <v>Benutzerschnittstelle</v>
      </c>
      <c r="AG4" s="390" t="str">
        <f>Tabelle3[[#Headers],[Terminologie]]</f>
        <v>Terminologie</v>
      </c>
      <c r="AH4" s="390" t="str">
        <f>Tabelle3[[#Headers],[Ökosystem]]</f>
        <v>Ökosystem</v>
      </c>
      <c r="AI4" s="390" t="str">
        <f>Tabelle3[[#Headers],[Anforderung]]</f>
        <v>Anforderung</v>
      </c>
      <c r="AJ4" s="390" t="str">
        <f>Tabelle3[[#Headers],[Rollen]]</f>
        <v>Rollen</v>
      </c>
      <c r="AK4" s="390" t="str">
        <f>Tabelle3[[#Headers],[Beschaffungsprozess]]</f>
        <v>Beschaffungsprozess</v>
      </c>
      <c r="AL4" s="390" t="str">
        <f>Tabelle3[[#Headers],[Rechtl. Rahmenbeding.]]</f>
        <v>Rechtl. Rahmenbeding.</v>
      </c>
      <c r="AM4" s="390" t="str">
        <f>Tabelle3[[#Headers],[Fähigkeitsniveau]]</f>
        <v>Fähigkeitsniveau</v>
      </c>
      <c r="AN4" s="390" t="str">
        <f>Tabelle3[[#Headers],[Kult. Hintergrund]]</f>
        <v>Kult. Hintergrund</v>
      </c>
      <c r="AO4" s="391" t="str">
        <f>Tabelle3[[#Headers],[Support Prozess]]</f>
        <v>Support Prozess</v>
      </c>
      <c r="AP4" s="392" t="str">
        <f>Tabelle3[[#Headers],[Standardisierung ]]</f>
        <v xml:space="preserve">Standardisierung </v>
      </c>
      <c r="AQ4" s="390" t="str">
        <f>Tabelle3[[#Headers],[Kommunikation ]]</f>
        <v xml:space="preserve">Kommunikation </v>
      </c>
      <c r="AR4" s="390" t="str">
        <f>Tabelle3[[#Headers],[Mechaniken ]]</f>
        <v xml:space="preserve">Mechaniken </v>
      </c>
      <c r="AS4" s="390" t="str">
        <f>Tabelle3[[#Headers],[Version]]</f>
        <v>Version</v>
      </c>
      <c r="AT4" s="390" t="str">
        <f>Tabelle3[[#Headers],[Serviceschnittstelle]]</f>
        <v>Serviceschnittstelle</v>
      </c>
      <c r="AU4" s="393" t="str">
        <f>Tabelle3[[#Headers],[Datenintegrität]]</f>
        <v>Datenintegrität</v>
      </c>
    </row>
    <row r="5" spans="2:50" s="138" customFormat="1" ht="31" customHeight="1" thickTop="1" thickBot="1" x14ac:dyDescent="0.25">
      <c r="B5" s="332"/>
      <c r="C5" s="333" t="s">
        <v>676</v>
      </c>
      <c r="D5" s="237">
        <f>SUM(D6:D8)</f>
        <v>5</v>
      </c>
      <c r="E5" s="236">
        <f>SUM(E6:E8)</f>
        <v>7</v>
      </c>
      <c r="F5" s="236">
        <f t="shared" ref="F5:W5" si="0">SUM(F6:F8)</f>
        <v>18</v>
      </c>
      <c r="G5" s="236">
        <f t="shared" si="0"/>
        <v>1</v>
      </c>
      <c r="H5" s="236">
        <f t="shared" si="0"/>
        <v>4</v>
      </c>
      <c r="I5" s="236">
        <f t="shared" si="0"/>
        <v>5</v>
      </c>
      <c r="J5" s="236">
        <f t="shared" si="0"/>
        <v>4</v>
      </c>
      <c r="K5" s="236">
        <f t="shared" si="0"/>
        <v>6</v>
      </c>
      <c r="L5" s="236">
        <f t="shared" si="0"/>
        <v>1</v>
      </c>
      <c r="M5" s="236">
        <f t="shared" si="0"/>
        <v>11</v>
      </c>
      <c r="N5" s="236">
        <f t="shared" si="0"/>
        <v>2</v>
      </c>
      <c r="O5" s="236">
        <f t="shared" si="0"/>
        <v>0</v>
      </c>
      <c r="P5" s="236">
        <f t="shared" si="0"/>
        <v>3</v>
      </c>
      <c r="Q5" s="326">
        <f t="shared" si="0"/>
        <v>7</v>
      </c>
      <c r="R5" s="237">
        <f t="shared" si="0"/>
        <v>15</v>
      </c>
      <c r="S5" s="236">
        <f t="shared" si="0"/>
        <v>13</v>
      </c>
      <c r="T5" s="236">
        <f t="shared" si="0"/>
        <v>20</v>
      </c>
      <c r="U5" s="236">
        <f t="shared" si="0"/>
        <v>0</v>
      </c>
      <c r="V5" s="236">
        <f t="shared" si="0"/>
        <v>20</v>
      </c>
      <c r="W5" s="334">
        <f t="shared" si="0"/>
        <v>5</v>
      </c>
      <c r="X5" s="223"/>
      <c r="Y5" s="223"/>
      <c r="Z5" s="377"/>
      <c r="AA5" s="379"/>
      <c r="AB5" s="380" t="str">
        <f>IF('(Auswertung_2)'!$EQ6="","",'(Auswertung_2)'!$EQ6)</f>
        <v>Vertragsmanagementanwendung_x000D_(Empfehlung - Bochicchio)</v>
      </c>
      <c r="AC5" s="380" t="str">
        <f>IF('(Auswertung_2)'!$EU6="","",'(Auswertung_2)'!$EU6)</f>
        <v>Open-Source Plattform_x000D_(Empfehlung - Bahrami )</v>
      </c>
      <c r="AD5" s="380" t="str">
        <f>IF('(Auswertung_2)'!$EY6="","",'(Auswertung_2)'!$EY6)</f>
        <v>Cloud Metrik Evaluierung_x000D_(Empfehlung - Abdeladim)</v>
      </c>
      <c r="AE5" s="380" t="str">
        <f>IF('(Auswertung_2)'!$FC6="","",'(Auswertung_2)'!$FC6)</f>
        <v>Datenintegration_x000D_(Empfehlung - Bennani )</v>
      </c>
      <c r="AF5" s="380" t="str">
        <f>IF('(Auswertung_2)'!$FG6="","",'(Auswertung_2)'!$FG6)</f>
        <v>Ressourcenverteilung_x000D_(Empfehlung - Abosi)</v>
      </c>
      <c r="AG5" s="380" t="str">
        <f>IF('(Auswertung_2)'!$FK6="","",'(Auswertung_2)'!$FK6)</f>
        <v>Datenintegration_x000D_(Empfehlung - Ghafour)</v>
      </c>
      <c r="AH5" s="380" t="str">
        <f>IF('(Auswertung_2)'!$FO6="","",'(Auswertung_2)'!$FO6)</f>
        <v>Open-Source Plattform_x000D_(Empfehlung - Bahrami )</v>
      </c>
      <c r="AI5" s="380" t="str">
        <f>IF('(Auswertung_2)'!$FS6="","",'(Auswertung_2)'!$FS6)</f>
        <v>Cloud Metrik Evaluierung_x000D_(Empfehlung - Abdeladim)</v>
      </c>
      <c r="AJ5" s="380" t="str">
        <f>IF('(Auswertung_2)'!$FW6="","",'(Auswertung_2)'!$FW6)</f>
        <v>Vertragsmanagementanwendung_x000D_(Empfehlung - Bochicchio)</v>
      </c>
      <c r="AK5" s="380" t="str">
        <f>IF('(Auswertung_2)'!$GA6="","",'(Auswertung_2)'!$GA6)</f>
        <v>Cloud Metrik Evaluierung_x000D_(Empfehlung - Abdeladim)</v>
      </c>
      <c r="AL5" s="380" t="str">
        <f>IF('(Auswertung_2)'!$GE6="","",'(Auswertung_2)'!$GE6)</f>
        <v>Vertragsmanagementanwendung_x000D_(Empfehlung - Bochicchio)</v>
      </c>
      <c r="AM5" s="380" t="str">
        <f>IF('(Auswertung_2)'!$GI6="","",'(Auswertung_2)'!$GI6)</f>
        <v/>
      </c>
      <c r="AN5" s="380" t="str">
        <f>IF('(Auswertung_2)'!$GM6="","",'(Auswertung_2)'!$GM6)</f>
        <v>Rechtliche Rahmenbedingung_x000D_(Empfehlung - Kafeza )</v>
      </c>
      <c r="AO5" s="380" t="str">
        <f>IF('(Auswertung_2)'!$GQ6="","",'(Auswertung_2)'!$GQ6)</f>
        <v>Ressourcenverteilung_x000D_(Empfehlung - Abosi)</v>
      </c>
      <c r="AP5" s="380" t="str">
        <f>IF('(Auswertung_2)'!$GU6="","",'(Auswertung_2)'!$GU6)</f>
        <v>Open-Source Plattform_x000D_(Empfehlung - Bahrami )</v>
      </c>
      <c r="AQ5" s="380" t="str">
        <f>IF('(Auswertung_2)'!$GY6="","",'(Auswertung_2)'!$GY6)</f>
        <v>Ressourcenverteilung_x000D_(Empfehlung - Abosi)</v>
      </c>
      <c r="AR5" s="380" t="str">
        <f>IF('(Auswertung_2)'!$HC6="","",'(Auswertung_2)'!$HC6)</f>
        <v>Virtualisierungsinfrastruktur_x000D_(Empfehlung - Celesti )</v>
      </c>
      <c r="AS5" s="380" t="str">
        <f>IF('(Auswertung_2)'!$HG6="","",'(Auswertung_2)'!$HG6)</f>
        <v/>
      </c>
      <c r="AT5" s="380" t="str">
        <f>IF('(Auswertung_2)'!$HK6="","",'(Auswertung_2)'!$HK6)</f>
        <v>Virtualisierungsinfrastruktur_x000D_(Empfehlung - Celesti )</v>
      </c>
      <c r="AU5" s="380" t="str">
        <f>IF('(Auswertung_2)'!$HO6="","",'(Auswertung_2)'!$HO6)</f>
        <v>Datenintegration_x000D_(Empfehlung - Bennani )</v>
      </c>
      <c r="AV5" s="377"/>
      <c r="AW5" s="377"/>
      <c r="AX5" s="377"/>
    </row>
    <row r="6" spans="2:50" s="138" customFormat="1" ht="31" customHeight="1" x14ac:dyDescent="0.2">
      <c r="B6" s="331"/>
      <c r="C6" s="338" t="str">
        <f>'(Codierung)'!C2</f>
        <v>Empfehlung</v>
      </c>
      <c r="D6" s="323">
        <f>COUNTIFS(Tabelle3[Preisgestaltungsrichtl.],1,Tabelle3[5],$C6)</f>
        <v>2</v>
      </c>
      <c r="E6" s="325">
        <f>COUNTIFS(Tabelle3[Standardisierung],1,Tabelle3[5],$C6)</f>
        <v>2</v>
      </c>
      <c r="F6" s="325">
        <f>COUNTIFS(Tabelle3[Regelungen in SLA],1,Tabelle3[5],$C6)</f>
        <v>11</v>
      </c>
      <c r="G6" s="325">
        <f>COUNTIFS(Tabelle3[Einschränkungen],1,Tabelle3[5],$C6)</f>
        <v>1</v>
      </c>
      <c r="H6" s="325">
        <f>COUNTIFS(Tabelle3[Benutzerschnittstelle],1,Tabelle3[5],$C6)</f>
        <v>1</v>
      </c>
      <c r="I6" s="325">
        <f>COUNTIFS(Tabelle3[Terminologie],1,Tabelle3[5],$C6)</f>
        <v>4</v>
      </c>
      <c r="J6" s="325">
        <f>COUNTIFS(Tabelle3[Ökosystem],1,Tabelle3[5],$C6)</f>
        <v>3</v>
      </c>
      <c r="K6" s="325">
        <f>COUNTIFS(Tabelle3[Anforderung],1,Tabelle3[5],$C6)</f>
        <v>4</v>
      </c>
      <c r="L6" s="325">
        <f>COUNTIFS(Tabelle3[Rollen],1,Tabelle3[5],$C6)</f>
        <v>1</v>
      </c>
      <c r="M6" s="325">
        <f>COUNTIFS(Tabelle3[Beschaffungsprozess],1,Tabelle3[5],$C6)</f>
        <v>7</v>
      </c>
      <c r="N6" s="325">
        <f>COUNTIFS(Tabelle3[Rechtl. Rahmenbeding.],1,Tabelle3[5],$C6)</f>
        <v>1</v>
      </c>
      <c r="O6" s="325">
        <f>COUNTIFS(Tabelle3[Fähigkeitsniveau],1,Tabelle3[5],$C6)</f>
        <v>0</v>
      </c>
      <c r="P6" s="325">
        <f>COUNTIFS(Tabelle3[Kult. Hintergrund],1,Tabelle3[5],$C6)</f>
        <v>3</v>
      </c>
      <c r="Q6" s="327">
        <f>COUNTIFS(Tabelle3[Support Prozess],1,Tabelle3[5],$C6)</f>
        <v>4</v>
      </c>
      <c r="R6" s="330">
        <f>COUNTIFS(Tabelle3[[Standardisierung ]],1,Tabelle3[5],$C6)</f>
        <v>9</v>
      </c>
      <c r="S6" s="325">
        <f>COUNTIFS(Tabelle3[[Kommunikation ]],1,Tabelle3[5],$C6)</f>
        <v>5</v>
      </c>
      <c r="T6" s="325">
        <f>COUNTIFS(Tabelle3[[Mechaniken ]],1,Tabelle3[5],$C6)</f>
        <v>13</v>
      </c>
      <c r="U6" s="325">
        <f>COUNTIFS(Tabelle3[Version],1,Tabelle3[5],$C6)</f>
        <v>0</v>
      </c>
      <c r="V6" s="325">
        <f>COUNTIFS(Tabelle3[Serviceschnittstelle],1,Tabelle3[5],$C6)</f>
        <v>13</v>
      </c>
      <c r="W6" s="335">
        <f>COUNTIFS(Tabelle3[Datenintegrität],1,Tabelle3[5],$C6)</f>
        <v>2</v>
      </c>
      <c r="X6" s="223"/>
      <c r="Y6" s="223"/>
      <c r="Z6" s="377"/>
      <c r="AA6" s="379"/>
      <c r="AB6" s="380" t="str">
        <f>IF('(Auswertung_2)'!$EQ7="","",'(Auswertung_2)'!$EQ7)</f>
        <v>Open-Source Plattform_x000D_(Empfehlung - Moscato)</v>
      </c>
      <c r="AC6" s="380" t="str">
        <f>IF('(Auswertung_2)'!$EU7="","",'(Auswertung_2)'!$EU7)</f>
        <v>Einheitl. Servicebeschreibung_x000D_(Empfehlung - Rekik )</v>
      </c>
      <c r="AD6" s="380" t="str">
        <f>IF('(Auswertung_2)'!$EY7="","",'(Auswertung_2)'!$EY7)</f>
        <v>Datenintegration_x000D_(Empfehlung - Bennani )</v>
      </c>
      <c r="AE6" s="380" t="str">
        <f>IF('(Auswertung_2)'!$FC7="","",'(Auswertung_2)'!$FC7)</f>
        <v/>
      </c>
      <c r="AF6" s="380" t="str">
        <f>IF('(Auswertung_2)'!$FG7="","",'(Auswertung_2)'!$FG7)</f>
        <v>Open-Source Plattform_x000D_(Werkzeug - Paraiso)</v>
      </c>
      <c r="AG6" s="380" t="str">
        <f>IF('(Auswertung_2)'!$FK7="","",'(Auswertung_2)'!$FK7)</f>
        <v>Cloud Service Komposition_x000D_(Empfehlung - Gonidis )</v>
      </c>
      <c r="AH6" s="380" t="str">
        <f>IF('(Auswertung_2)'!$FO7="","",'(Auswertung_2)'!$FO7)</f>
        <v>Cloud Service Komposition_x000D_(Empfehlung - Gonidis )</v>
      </c>
      <c r="AI6" s="380" t="str">
        <f>IF('(Auswertung_2)'!$FS7="","",'(Auswertung_2)'!$FS7)</f>
        <v>Datenintegration_x000D_(Empfehlung - Bennani )</v>
      </c>
      <c r="AJ6" s="380" t="str">
        <f>IF('(Auswertung_2)'!$FW7="","",'(Auswertung_2)'!$FW7)</f>
        <v/>
      </c>
      <c r="AK6" s="380" t="str">
        <f>IF('(Auswertung_2)'!$GA7="","",'(Auswertung_2)'!$GA7)</f>
        <v>Vertragsmanagementanwendung_x000D_(Empfehlung - Bochicchio)</v>
      </c>
      <c r="AL6" s="380" t="str">
        <f>IF('(Auswertung_2)'!$GE7="","",'(Auswertung_2)'!$GE7)</f>
        <v>Cloud Service Komposition_x000D_(Werkzeug - Dastjerdi )</v>
      </c>
      <c r="AM6" s="380" t="str">
        <f>IF('(Auswertung_2)'!$GI7="","",'(Auswertung_2)'!$GI7)</f>
        <v/>
      </c>
      <c r="AN6" s="380" t="str">
        <f>IF('(Auswertung_2)'!$GM7="","",'(Auswertung_2)'!$GM7)</f>
        <v>SLA Management Aggregation_x000D_(Empfehlung - Muthusamy)</v>
      </c>
      <c r="AO6" s="380" t="str">
        <f>IF('(Auswertung_2)'!$GQ7="","",'(Auswertung_2)'!$GQ7)</f>
        <v>Application Programming Interface_x000D_(Empfehlung - Demchenko)</v>
      </c>
      <c r="AP6" s="380" t="str">
        <f>IF('(Auswertung_2)'!$GU7="","",'(Auswertung_2)'!$GU7)</f>
        <v>Application Programming Interface_x000D_(Empfehlung - Demchenko)</v>
      </c>
      <c r="AQ6" s="380" t="str">
        <f>IF('(Auswertung_2)'!$GY7="","",'(Auswertung_2)'!$GY7)</f>
        <v>Virtualisierungsinfrastruktur_x000D_(Empfehlung - Celesti )</v>
      </c>
      <c r="AR6" s="380" t="str">
        <f>IF('(Auswertung_2)'!$HC7="","",'(Auswertung_2)'!$HC7)</f>
        <v>Application Programming Interface_x000D_(Empfehlung - Demchenko)</v>
      </c>
      <c r="AS6" s="380" t="str">
        <f>IF('(Auswertung_2)'!$HG7="","",'(Auswertung_2)'!$HG7)</f>
        <v/>
      </c>
      <c r="AT6" s="380" t="str">
        <f>IF('(Auswertung_2)'!$HK7="","",'(Auswertung_2)'!$HK7)</f>
        <v>Application Programming Interface_x000D_(Empfehlung - Demchenko)</v>
      </c>
      <c r="AU6" s="380" t="str">
        <f>IF('(Auswertung_2)'!$HO7="","",'(Auswertung_2)'!$HO7)</f>
        <v>Datenintegration_x000D_(Empfehlung - Ghafour)</v>
      </c>
      <c r="AV6" s="377"/>
      <c r="AW6" s="377"/>
      <c r="AX6" s="377"/>
    </row>
    <row r="7" spans="2:50" s="138" customFormat="1" ht="31" customHeight="1" x14ac:dyDescent="0.2">
      <c r="B7" s="331"/>
      <c r="C7" s="339" t="str">
        <f>'(Codierung)'!C3</f>
        <v>Methode</v>
      </c>
      <c r="D7" s="323">
        <f>COUNTIFS(Tabelle3[Preisgestaltungsrichtl.],1,Tabelle3[5],$C7)</f>
        <v>0</v>
      </c>
      <c r="E7" s="234">
        <f>COUNTIFS(Tabelle3[Standardisierung],1,Tabelle3[5],$C7)</f>
        <v>3</v>
      </c>
      <c r="F7" s="234">
        <f>COUNTIFS(Tabelle3[Regelungen in SLA],1,Tabelle3[5],$C7)</f>
        <v>5</v>
      </c>
      <c r="G7" s="234">
        <f>COUNTIFS(Tabelle3[Einschränkungen],1,Tabelle3[5],$C7)</f>
        <v>0</v>
      </c>
      <c r="H7" s="234">
        <f>COUNTIFS(Tabelle3[Benutzerschnittstelle],1,Tabelle3[5],$C7)</f>
        <v>0</v>
      </c>
      <c r="I7" s="234">
        <f>COUNTIFS(Tabelle3[Terminologie],1,Tabelle3[5],$C7)</f>
        <v>0</v>
      </c>
      <c r="J7" s="234">
        <f>COUNTIFS(Tabelle3[Ökosystem],1,Tabelle3[5],$C7)</f>
        <v>1</v>
      </c>
      <c r="K7" s="234">
        <f>COUNTIFS(Tabelle3[Anforderung],1,Tabelle3[5],$C7)</f>
        <v>0</v>
      </c>
      <c r="L7" s="234">
        <f>COUNTIFS(Tabelle3[Rollen],1,Tabelle3[5],$C7)</f>
        <v>0</v>
      </c>
      <c r="M7" s="234">
        <f>COUNTIFS(Tabelle3[Beschaffungsprozess],1,Tabelle3[5],$C7)</f>
        <v>0</v>
      </c>
      <c r="N7" s="234">
        <f>COUNTIFS(Tabelle3[Rechtl. Rahmenbeding.],1,Tabelle3[5],$C7)</f>
        <v>0</v>
      </c>
      <c r="O7" s="234">
        <f>COUNTIFS(Tabelle3[Fähigkeitsniveau],1,Tabelle3[5],$C7)</f>
        <v>0</v>
      </c>
      <c r="P7" s="234">
        <f>COUNTIFS(Tabelle3[Kult. Hintergrund],1,Tabelle3[5],$C7)</f>
        <v>0</v>
      </c>
      <c r="Q7" s="328">
        <f>COUNTIFS(Tabelle3[Support Prozess],1,Tabelle3[5],$C7)</f>
        <v>2</v>
      </c>
      <c r="R7" s="235">
        <f>COUNTIFS(Tabelle3[[Standardisierung ]],1,Tabelle3[5],$C7)</f>
        <v>3</v>
      </c>
      <c r="S7" s="234">
        <f>COUNTIFS(Tabelle3[[Kommunikation ]],1,Tabelle3[5],$C7)</f>
        <v>4</v>
      </c>
      <c r="T7" s="234">
        <f>COUNTIFS(Tabelle3[[Mechaniken ]],1,Tabelle3[5],$C7)</f>
        <v>4</v>
      </c>
      <c r="U7" s="234">
        <f>COUNTIFS(Tabelle3[Version],1,Tabelle3[5],$C7)</f>
        <v>0</v>
      </c>
      <c r="V7" s="234">
        <f>COUNTIFS(Tabelle3[Serviceschnittstelle],1,Tabelle3[5],$C7)</f>
        <v>4</v>
      </c>
      <c r="W7" s="336">
        <f>COUNTIFS(Tabelle3[Datenintegrität],1,Tabelle3[5],$C7)</f>
        <v>1</v>
      </c>
      <c r="X7" s="223"/>
      <c r="Y7" s="223"/>
      <c r="Z7" s="377"/>
      <c r="AA7" s="379"/>
      <c r="AB7" s="380" t="str">
        <f>IF('(Auswertung_2)'!$EQ8="","",'(Auswertung_2)'!$EQ8)</f>
        <v>Atificial Intelligence_x000D_(Werkzeug - Chhetri)</v>
      </c>
      <c r="AC7" s="380" t="str">
        <f>IF('(Auswertung_2)'!$EU8="","",'(Auswertung_2)'!$EU8)</f>
        <v>Infrastruktur Interpreter_x000D_(Methode - Allison)</v>
      </c>
      <c r="AD7" s="380" t="str">
        <f>IF('(Auswertung_2)'!$EY8="","",'(Auswertung_2)'!$EY8)</f>
        <v>Vertragsmanagementanwendung_x000D_(Empfehlung - Bochicchio)</v>
      </c>
      <c r="AE7" s="380" t="str">
        <f>IF('(Auswertung_2)'!$FC8="","",'(Auswertung_2)'!$FC8)</f>
        <v/>
      </c>
      <c r="AF7" s="380" t="str">
        <f>IF('(Auswertung_2)'!$FG8="","",'(Auswertung_2)'!$FG8)</f>
        <v>Open-Source Plattform_x000D_(Werkzeug - Yangui)</v>
      </c>
      <c r="AG7" s="380" t="str">
        <f>IF('(Auswertung_2)'!$FK8="","",'(Auswertung_2)'!$FK8)</f>
        <v>Open-Source Plattform_x000D_(Empfehlung - Moscato)</v>
      </c>
      <c r="AH7" s="380" t="str">
        <f>IF('(Auswertung_2)'!$FO8="","",'(Auswertung_2)'!$FO8)</f>
        <v>Application Programming Interface_x000D_(Empfehlung - Oprescu)</v>
      </c>
      <c r="AI7" s="380" t="str">
        <f>IF('(Auswertung_2)'!$FS8="","",'(Auswertung_2)'!$FS8)</f>
        <v>OVF Erweiterung_x000D_(Empfehlung - Haji)</v>
      </c>
      <c r="AJ7" s="380" t="str">
        <f>IF('(Auswertung_2)'!$FW8="","",'(Auswertung_2)'!$FW8)</f>
        <v/>
      </c>
      <c r="AK7" s="380" t="str">
        <f>IF('(Auswertung_2)'!$GA8="","",'(Auswertung_2)'!$GA8)</f>
        <v>Cloud Service Broker_x000D_(Empfehlung - Jrad)</v>
      </c>
      <c r="AL7" s="380" t="str">
        <f>IF('(Auswertung_2)'!$GE8="","",'(Auswertung_2)'!$GE8)</f>
        <v/>
      </c>
      <c r="AM7" s="380" t="str">
        <f>IF('(Auswertung_2)'!$GI8="","",'(Auswertung_2)'!$GI8)</f>
        <v/>
      </c>
      <c r="AN7" s="380" t="str">
        <f>IF('(Auswertung_2)'!$GM8="","",'(Auswertung_2)'!$GM8)</f>
        <v>Cultural Frames_x000D_(Empfehlung - Su)</v>
      </c>
      <c r="AO7" s="380" t="str">
        <f>IF('(Auswertung_2)'!$GQ8="","",'(Auswertung_2)'!$GQ8)</f>
        <v>OVF Erweiterung_x000D_(Empfehlung - Haji)</v>
      </c>
      <c r="AP7" s="380" t="str">
        <f>IF('(Auswertung_2)'!$GU8="","",'(Auswertung_2)'!$GU8)</f>
        <v>Datenintegration_x000D_(Empfehlung - Ghafour)</v>
      </c>
      <c r="AQ7" s="380" t="str">
        <f>IF('(Auswertung_2)'!$GY8="","",'(Auswertung_2)'!$GY8)</f>
        <v>Cloud Service Komposition_x000D_(Empfehlung - Gonidis )</v>
      </c>
      <c r="AR7" s="380" t="str">
        <f>IF('(Auswertung_2)'!$HC8="","",'(Auswertung_2)'!$HC8)</f>
        <v>Datenintegration_x000D_(Empfehlung - Ghafour)</v>
      </c>
      <c r="AS7" s="380" t="str">
        <f>IF('(Auswertung_2)'!$HG8="","",'(Auswertung_2)'!$HG8)</f>
        <v/>
      </c>
      <c r="AT7" s="380" t="str">
        <f>IF('(Auswertung_2)'!$HK8="","",'(Auswertung_2)'!$HK8)</f>
        <v>Datenintegration_x000D_(Empfehlung - Ghafour)</v>
      </c>
      <c r="AU7" s="380" t="str">
        <f>IF('(Auswertung_2)'!$HO8="","",'(Auswertung_2)'!$HO8)</f>
        <v>Open-Source Plattform_x000D_(Methode - Ferry)</v>
      </c>
      <c r="AV7" s="377"/>
      <c r="AW7" s="377"/>
      <c r="AX7" s="377"/>
    </row>
    <row r="8" spans="2:50" s="138" customFormat="1" ht="31" customHeight="1" thickBot="1" x14ac:dyDescent="0.25">
      <c r="B8" s="331"/>
      <c r="C8" s="341" t="str">
        <f>'(Codierung)'!C4</f>
        <v>Werkzeug</v>
      </c>
      <c r="D8" s="324">
        <f>COUNTIFS(Tabelle3[Preisgestaltungsrichtl.],1,Tabelle3[5],$C8)</f>
        <v>3</v>
      </c>
      <c r="E8" s="266">
        <f>COUNTIFS(Tabelle3[Standardisierung],1,Tabelle3[5],$C8)</f>
        <v>2</v>
      </c>
      <c r="F8" s="266">
        <f>COUNTIFS(Tabelle3[Regelungen in SLA],1,Tabelle3[5],$C8)</f>
        <v>2</v>
      </c>
      <c r="G8" s="266">
        <f>COUNTIFS(Tabelle3[Einschränkungen],1,Tabelle3[5],$C8)</f>
        <v>0</v>
      </c>
      <c r="H8" s="266">
        <f>COUNTIFS(Tabelle3[Benutzerschnittstelle],1,Tabelle3[5],$C8)</f>
        <v>3</v>
      </c>
      <c r="I8" s="266">
        <f>COUNTIFS(Tabelle3[Terminologie],1,Tabelle3[5],$C8)</f>
        <v>1</v>
      </c>
      <c r="J8" s="266">
        <f>COUNTIFS(Tabelle3[Ökosystem],1,Tabelle3[6],$C8)</f>
        <v>0</v>
      </c>
      <c r="K8" s="266">
        <f>COUNTIFS(Tabelle3[Anforderung],1,Tabelle3[5],$C8)</f>
        <v>2</v>
      </c>
      <c r="L8" s="266">
        <f>COUNTIFS(Tabelle3[Rollen],1,Tabelle3[5],$C8)</f>
        <v>0</v>
      </c>
      <c r="M8" s="266">
        <f>COUNTIFS(Tabelle3[Beschaffungsprozess],1,Tabelle3[5],$C8)</f>
        <v>4</v>
      </c>
      <c r="N8" s="266">
        <f>COUNTIFS(Tabelle3[Rechtl. Rahmenbeding.],1,Tabelle3[5],$C8)</f>
        <v>1</v>
      </c>
      <c r="O8" s="266">
        <f>COUNTIFS(Tabelle3[Fähigkeitsniveau],1,Tabelle3[5],$C8)</f>
        <v>0</v>
      </c>
      <c r="P8" s="266">
        <f>COUNTIFS(Tabelle3[Kult. Hintergrund],1,Tabelle3[5],$C8)</f>
        <v>0</v>
      </c>
      <c r="Q8" s="329">
        <f>COUNTIFS(Tabelle3[Support Prozess],1,Tabelle3[5],$C8)</f>
        <v>1</v>
      </c>
      <c r="R8" s="265">
        <f>COUNTIFS(Tabelle3[[Standardisierung ]],1,Tabelle3[5],$C8)</f>
        <v>3</v>
      </c>
      <c r="S8" s="266">
        <f>COUNTIFS(Tabelle3[[Kommunikation ]],1,Tabelle3[5],$C8)</f>
        <v>4</v>
      </c>
      <c r="T8" s="266">
        <f>COUNTIFS(Tabelle3[[Mechaniken ]],1,Tabelle3[5],$C8)</f>
        <v>3</v>
      </c>
      <c r="U8" s="266">
        <f>COUNTIFS(Tabelle3[Version],1,Tabelle3[5],$C8)</f>
        <v>0</v>
      </c>
      <c r="V8" s="266">
        <f>COUNTIFS(Tabelle3[Serviceschnittstelle],1,Tabelle3[5],$C8)</f>
        <v>3</v>
      </c>
      <c r="W8" s="337">
        <f>COUNTIFS(Tabelle3[Datenintegrität],1,Tabelle3[5],$C8)</f>
        <v>2</v>
      </c>
      <c r="X8" s="223"/>
      <c r="Y8" s="223"/>
      <c r="Z8" s="377"/>
      <c r="AA8" s="378"/>
      <c r="AB8" s="380" t="str">
        <f>IF('(Auswertung_2)'!$EQ9="","",'(Auswertung_2)'!$EQ9)</f>
        <v>Einheitl. Servicebeschreibung_x000D_(Werkzeug - El-Awadi)</v>
      </c>
      <c r="AC8" s="380" t="str">
        <f>IF('(Auswertung_2)'!$EU9="","",'(Auswertung_2)'!$EU9)</f>
        <v>Open-Source Plattform_x000D_(Methode - Ferry)</v>
      </c>
      <c r="AD8" s="380" t="str">
        <f>IF('(Auswertung_2)'!$EY9="","",'(Auswertung_2)'!$EY9)</f>
        <v>OVF Erweiterung_x000D_(Empfehlung - Haji)</v>
      </c>
      <c r="AE8" s="380" t="str">
        <f>IF('(Auswertung_2)'!$FC9="","",'(Auswertung_2)'!$FC9)</f>
        <v/>
      </c>
      <c r="AF8" s="380" t="str">
        <f>IF('(Auswertung_2)'!$FG9="","",'(Auswertung_2)'!$FG9)</f>
        <v>Open-Source Plattform_x000D_(Werkzeug - Zangara)</v>
      </c>
      <c r="AG8" s="380" t="str">
        <f>IF('(Auswertung_2)'!$FK9="","",'(Auswertung_2)'!$FK9)</f>
        <v>Einheitl. Servicebeschreibung_x000D_(Empfehlung - Rekik )</v>
      </c>
      <c r="AH8" s="380" t="str">
        <f>IF('(Auswertung_2)'!$FO9="","",'(Auswertung_2)'!$FO9)</f>
        <v>SLA Management Aggregation_x000D_(Methode - Stanik)</v>
      </c>
      <c r="AI8" s="380" t="str">
        <f>IF('(Auswertung_2)'!$FS9="","",'(Auswertung_2)'!$FS9)</f>
        <v>Cloud Metrik Evaluierung_x000D_(Empfehlung - Lee)</v>
      </c>
      <c r="AJ8" s="380" t="str">
        <f>IF('(Auswertung_2)'!$FW9="","",'(Auswertung_2)'!$FW9)</f>
        <v/>
      </c>
      <c r="AK8" s="380" t="str">
        <f>IF('(Auswertung_2)'!$GA9="","",'(Auswertung_2)'!$GA9)</f>
        <v>Cloud Metrik Evaluierung_x000D_(Empfehlung - Lee)</v>
      </c>
      <c r="AL8" s="380" t="str">
        <f>IF('(Auswertung_2)'!$GE9="","",'(Auswertung_2)'!$GE9)</f>
        <v/>
      </c>
      <c r="AM8" s="380" t="str">
        <f>IF('(Auswertung_2)'!$GI9="","",'(Auswertung_2)'!$GI9)</f>
        <v/>
      </c>
      <c r="AN8" s="380" t="str">
        <f>IF('(Auswertung_2)'!$GM9="","",'(Auswertung_2)'!$GM9)</f>
        <v/>
      </c>
      <c r="AO8" s="380" t="str">
        <f>IF('(Auswertung_2)'!$GQ9="","",'(Auswertung_2)'!$GQ9)</f>
        <v>Monitoring System_x000D_(Methode - Al-Hazmi )</v>
      </c>
      <c r="AP8" s="380" t="str">
        <f>IF('(Auswertung_2)'!$GU9="","",'(Auswertung_2)'!$GU9)</f>
        <v>Cloud Service Komposition_x000D_(Empfehlung - Gonidis )</v>
      </c>
      <c r="AQ8" s="380" t="str">
        <f>IF('(Auswertung_2)'!$GY9="","",'(Auswertung_2)'!$GY9)</f>
        <v>Protokolltransmitter_x000D_(Empfehlung - Majda)</v>
      </c>
      <c r="AR8" s="380" t="str">
        <f>IF('(Auswertung_2)'!$HC9="","",'(Auswertung_2)'!$HC9)</f>
        <v>Cloud Service Komposition_x000D_(Empfehlung - Gonidis )</v>
      </c>
      <c r="AS8" s="380" t="str">
        <f>IF('(Auswertung_2)'!$HG9="","",'(Auswertung_2)'!$HG9)</f>
        <v/>
      </c>
      <c r="AT8" s="380" t="str">
        <f>IF('(Auswertung_2)'!$HK9="","",'(Auswertung_2)'!$HK9)</f>
        <v>Cloud Service Komposition_x000D_(Empfehlung - Gonidis )</v>
      </c>
      <c r="AU8" s="380" t="str">
        <f>IF('(Auswertung_2)'!$HO9="","",'(Auswertung_2)'!$HO9)</f>
        <v>Datenintegration_x000D_(Werkzeug - Vernik)</v>
      </c>
      <c r="AV8" s="377"/>
      <c r="AW8" s="377"/>
      <c r="AX8" s="377"/>
    </row>
    <row r="9" spans="2:50" s="138" customFormat="1" ht="31" customHeight="1" thickBot="1" x14ac:dyDescent="0.25">
      <c r="B9" s="331"/>
      <c r="C9" s="340" t="s">
        <v>740</v>
      </c>
      <c r="D9" s="470">
        <f>SUM(D5:Q5)</f>
        <v>74</v>
      </c>
      <c r="E9" s="471"/>
      <c r="F9" s="471"/>
      <c r="G9" s="471"/>
      <c r="H9" s="471"/>
      <c r="I9" s="471"/>
      <c r="J9" s="471"/>
      <c r="K9" s="471"/>
      <c r="L9" s="471"/>
      <c r="M9" s="471"/>
      <c r="N9" s="471"/>
      <c r="O9" s="471"/>
      <c r="P9" s="471"/>
      <c r="Q9" s="471"/>
      <c r="R9" s="483">
        <f>SUM(R5:W5)</f>
        <v>73</v>
      </c>
      <c r="S9" s="471"/>
      <c r="T9" s="471"/>
      <c r="U9" s="471"/>
      <c r="V9" s="471"/>
      <c r="W9" s="484"/>
      <c r="X9" s="223"/>
      <c r="Y9" s="223"/>
      <c r="Z9" s="377"/>
      <c r="AA9" s="377"/>
      <c r="AB9" s="380" t="str">
        <f>IF('(Auswertung_2)'!$EQ10="","",'(Auswertung_2)'!$EQ10)</f>
        <v>Open-Source Plattform_x000D_(Werkzeug - Zangara)</v>
      </c>
      <c r="AC9" s="380" t="str">
        <f>IF('(Auswertung_2)'!$EU10="","",'(Auswertung_2)'!$EU10)</f>
        <v>SLA Management Aggregation_x000D_(Methode - Ul Haq)</v>
      </c>
      <c r="AD9" s="380" t="str">
        <f>IF('(Auswertung_2)'!$EY10="","",'(Auswertung_2)'!$EY10)</f>
        <v>Cloud Service Broker_x000D_(Empfehlung - Jrad)</v>
      </c>
      <c r="AE9" s="380" t="str">
        <f>IF('(Auswertung_2)'!$FC10="","",'(Auswertung_2)'!$FC10)</f>
        <v/>
      </c>
      <c r="AF9" s="380" t="str">
        <f>IF('(Auswertung_2)'!$FG10="","",'(Auswertung_2)'!$FG10)</f>
        <v/>
      </c>
      <c r="AG9" s="380" t="str">
        <f>IF('(Auswertung_2)'!$FK10="","",'(Auswertung_2)'!$FK10)</f>
        <v>Einheitl. Servicebeschreibung_x000D_(Werkzeug - El-Awadi)</v>
      </c>
      <c r="AH9" s="380" t="str">
        <f>IF('(Auswertung_2)'!$FO10="","",'(Auswertung_2)'!$FO10)</f>
        <v/>
      </c>
      <c r="AI9" s="380" t="str">
        <f>IF('(Auswertung_2)'!$FS10="","",'(Auswertung_2)'!$FS10)</f>
        <v>Einheitl. Servicebeschreibung_x000D_(Werkzeug - El-Awadi)</v>
      </c>
      <c r="AJ9" s="380" t="str">
        <f>IF('(Auswertung_2)'!$FW10="","",'(Auswertung_2)'!$FW10)</f>
        <v/>
      </c>
      <c r="AK9" s="380" t="str">
        <f>IF('(Auswertung_2)'!$GA10="","",'(Auswertung_2)'!$GA10)</f>
        <v>Open-Source Plattform_x000D_(Empfehlung - Moscato)</v>
      </c>
      <c r="AL9" s="380" t="str">
        <f>IF('(Auswertung_2)'!$GE10="","",'(Auswertung_2)'!$GE10)</f>
        <v/>
      </c>
      <c r="AM9" s="380" t="str">
        <f>IF('(Auswertung_2)'!$GI10="","",'(Auswertung_2)'!$GI10)</f>
        <v/>
      </c>
      <c r="AN9" s="380" t="str">
        <f>IF('(Auswertung_2)'!$GM10="","",'(Auswertung_2)'!$GM10)</f>
        <v/>
      </c>
      <c r="AO9" s="380" t="str">
        <f>IF('(Auswertung_2)'!$GQ10="","",'(Auswertung_2)'!$GQ10)</f>
        <v>SLA Management Aggregation_x000D_(Methode - Stanik)</v>
      </c>
      <c r="AP9" s="380" t="str">
        <f>IF('(Auswertung_2)'!$GU10="","",'(Auswertung_2)'!$GU10)</f>
        <v>Open-Source Plattform_x000D_(Empfehlung - Moscato)</v>
      </c>
      <c r="AQ9" s="380" t="str">
        <f>IF('(Auswertung_2)'!$GY10="","",'(Auswertung_2)'!$GY10)</f>
        <v>Monitoring System_x000D_(Empfehlung - Stefano)</v>
      </c>
      <c r="AR9" s="380" t="str">
        <f>IF('(Auswertung_2)'!$HC10="","",'(Auswertung_2)'!$HC10)</f>
        <v>OVF Erweiterung_x000D_(Empfehlung - Haji)</v>
      </c>
      <c r="AS9" s="380" t="str">
        <f>IF('(Auswertung_2)'!$HG10="","",'(Auswertung_2)'!$HG10)</f>
        <v/>
      </c>
      <c r="AT9" s="380" t="str">
        <f>IF('(Auswertung_2)'!$HK10="","",'(Auswertung_2)'!$HK10)</f>
        <v>OVF Erweiterung_x000D_(Empfehlung - Haji)</v>
      </c>
      <c r="AU9" s="380" t="str">
        <f>IF('(Auswertung_2)'!$HO10="","",'(Auswertung_2)'!$HO10)</f>
        <v>Collaboration SaaS_x000D_(Werkzeug - Xia)</v>
      </c>
      <c r="AV9" s="377"/>
      <c r="AW9" s="377"/>
      <c r="AX9" s="377"/>
    </row>
    <row r="10" spans="2:50" s="138" customFormat="1" ht="31" customHeight="1" thickBot="1" x14ac:dyDescent="0.25">
      <c r="C10" s="230"/>
      <c r="D10" s="232"/>
      <c r="E10" s="232"/>
      <c r="F10" s="232"/>
      <c r="G10" s="232"/>
      <c r="H10" s="232"/>
      <c r="I10" s="232"/>
      <c r="J10" s="232"/>
      <c r="K10" s="232"/>
      <c r="L10" s="232"/>
      <c r="M10" s="232"/>
      <c r="N10" s="232"/>
      <c r="O10" s="232"/>
      <c r="P10" s="232"/>
      <c r="Q10" s="232"/>
      <c r="R10" s="232"/>
      <c r="S10" s="232"/>
      <c r="T10" s="232"/>
      <c r="U10" s="232"/>
      <c r="V10" s="232"/>
      <c r="W10" s="232"/>
      <c r="X10" s="223"/>
      <c r="Y10" s="223"/>
      <c r="Z10" s="377"/>
      <c r="AA10" s="377"/>
      <c r="AB10" s="380" t="str">
        <f>IF('(Auswertung_2)'!$EQ11="","",'(Auswertung_2)'!$EQ11)</f>
        <v/>
      </c>
      <c r="AC10" s="380" t="str">
        <f>IF('(Auswertung_2)'!$EU11="","",'(Auswertung_2)'!$EU11)</f>
        <v>Atificial Intelligence_x000D_(Werkzeug - Vukovic )</v>
      </c>
      <c r="AD10" s="380" t="str">
        <f>IF('(Auswertung_2)'!$EY11="","",'(Auswertung_2)'!$EY11)</f>
        <v>Rechtliche Rahmenbedingung_x000D_(Empfehlung - Kafeza )</v>
      </c>
      <c r="AE10" s="380" t="str">
        <f>IF('(Auswertung_2)'!$FC11="","",'(Auswertung_2)'!$FC11)</f>
        <v/>
      </c>
      <c r="AF10" s="380" t="str">
        <f>IF('(Auswertung_2)'!$FG11="","",'(Auswertung_2)'!$FG11)</f>
        <v/>
      </c>
      <c r="AG10" s="380" t="str">
        <f>IF('(Auswertung_2)'!$FK11="","",'(Auswertung_2)'!$FK11)</f>
        <v/>
      </c>
      <c r="AH10" s="380" t="str">
        <f>IF('(Auswertung_2)'!$FO11="","",'(Auswertung_2)'!$FO11)</f>
        <v/>
      </c>
      <c r="AI10" s="380" t="str">
        <f>IF('(Auswertung_2)'!$FS11="","",'(Auswertung_2)'!$FS11)</f>
        <v>Open-Source Plattform_x000D_(Werkzeug - Zangara)</v>
      </c>
      <c r="AJ10" s="380" t="str">
        <f>IF('(Auswertung_2)'!$FW11="","",'(Auswertung_2)'!$FW11)</f>
        <v/>
      </c>
      <c r="AK10" s="380" t="str">
        <f>IF('(Auswertung_2)'!$GA11="","",'(Auswertung_2)'!$GA11)</f>
        <v>Einheitl. Servicebeschreibung_x000D_(Empfehlung - Rekik )</v>
      </c>
      <c r="AL10" s="380" t="str">
        <f>IF('(Auswertung_2)'!$GE11="","",'(Auswertung_2)'!$GE11)</f>
        <v/>
      </c>
      <c r="AM10" s="380" t="str">
        <f>IF('(Auswertung_2)'!$GI11="","",'(Auswertung_2)'!$GI11)</f>
        <v/>
      </c>
      <c r="AN10" s="380" t="str">
        <f>IF('(Auswertung_2)'!$GM11="","",'(Auswertung_2)'!$GM11)</f>
        <v/>
      </c>
      <c r="AO10" s="380" t="str">
        <f>IF('(Auswertung_2)'!$GQ11="","",'(Auswertung_2)'!$GQ11)</f>
        <v>Collaboration SaaS_x000D_(Werkzeug - Xia)</v>
      </c>
      <c r="AP10" s="380" t="str">
        <f>IF('(Auswertung_2)'!$GU11="","",'(Auswertung_2)'!$GU11)</f>
        <v>Open-Source Plattform_x000D_(Empfehlung - Nodehi)</v>
      </c>
      <c r="AQ10" s="380" t="str">
        <f>IF('(Auswertung_2)'!$GY11="","",'(Auswertung_2)'!$GY11)</f>
        <v>Infrastruktur Interpreter_x000D_(Methode - Allison)</v>
      </c>
      <c r="AR10" s="380" t="str">
        <f>IF('(Auswertung_2)'!$HC11="","",'(Auswertung_2)'!$HC11)</f>
        <v>Cloud Service Broker_x000D_(Empfehlung - Jrad)</v>
      </c>
      <c r="AS10" s="380" t="str">
        <f>IF('(Auswertung_2)'!$HG11="","",'(Auswertung_2)'!$HG11)</f>
        <v/>
      </c>
      <c r="AT10" s="380" t="str">
        <f>IF('(Auswertung_2)'!$HK11="","",'(Auswertung_2)'!$HK11)</f>
        <v>Cloud Service Broker_x000D_(Empfehlung - Jrad)</v>
      </c>
      <c r="AU10" s="380" t="str">
        <f>IF('(Auswertung_2)'!$HO11="","",'(Auswertung_2)'!$HO11)</f>
        <v/>
      </c>
      <c r="AV10" s="377"/>
      <c r="AW10" s="377"/>
      <c r="AX10" s="377"/>
    </row>
    <row r="11" spans="2:50" s="138" customFormat="1" ht="31" customHeight="1" x14ac:dyDescent="0.2">
      <c r="C11" s="230"/>
      <c r="D11" s="492" t="s">
        <v>823</v>
      </c>
      <c r="E11" s="476"/>
      <c r="F11" s="476"/>
      <c r="G11" s="476"/>
      <c r="H11" s="476"/>
      <c r="I11" s="476"/>
      <c r="J11" s="476" t="s">
        <v>30</v>
      </c>
      <c r="K11" s="476"/>
      <c r="L11" s="476"/>
      <c r="M11" s="476"/>
      <c r="N11" s="476"/>
      <c r="O11" s="485" t="s">
        <v>677</v>
      </c>
      <c r="P11" s="486"/>
      <c r="Q11" s="486"/>
      <c r="R11" s="486"/>
      <c r="S11" s="486"/>
      <c r="T11" s="486"/>
      <c r="U11" s="486"/>
      <c r="V11" s="486"/>
      <c r="W11" s="487"/>
      <c r="X11" s="230"/>
      <c r="Y11" s="230"/>
      <c r="Z11" s="377"/>
      <c r="AA11" s="377"/>
      <c r="AB11" s="380" t="str">
        <f>IF('(Auswertung_2)'!$EQ12="","",'(Auswertung_2)'!$EQ12)</f>
        <v/>
      </c>
      <c r="AC11" s="380" t="str">
        <f>IF('(Auswertung_2)'!$EU12="","",'(Auswertung_2)'!$EU12)</f>
        <v>Collaboration SaaS_x000D_(Werkzeug - Xia)</v>
      </c>
      <c r="AD11" s="380" t="str">
        <f>IF('(Auswertung_2)'!$EY12="","",'(Auswertung_2)'!$EY12)</f>
        <v>Cloud Metrik Evaluierung_x000D_(Empfehlung - Lee)</v>
      </c>
      <c r="AE11" s="380" t="str">
        <f>IF('(Auswertung_2)'!$FC12="","",'(Auswertung_2)'!$FC12)</f>
        <v/>
      </c>
      <c r="AF11" s="380" t="str">
        <f>IF('(Auswertung_2)'!$FG12="","",'(Auswertung_2)'!$FG12)</f>
        <v/>
      </c>
      <c r="AG11" s="380" t="str">
        <f>IF('(Auswertung_2)'!$FK12="","",'(Auswertung_2)'!$FK12)</f>
        <v/>
      </c>
      <c r="AH11" s="380" t="str">
        <f>IF('(Auswertung_2)'!$FO12="","",'(Auswertung_2)'!$FO12)</f>
        <v/>
      </c>
      <c r="AI11" s="380" t="str">
        <f>IF('(Auswertung_2)'!$FS12="","",'(Auswertung_2)'!$FS12)</f>
        <v/>
      </c>
      <c r="AJ11" s="380" t="str">
        <f>IF('(Auswertung_2)'!$FW12="","",'(Auswertung_2)'!$FW12)</f>
        <v/>
      </c>
      <c r="AK11" s="380" t="str">
        <f>IF('(Auswertung_2)'!$GA12="","",'(Auswertung_2)'!$GA12)</f>
        <v>Datenintegration_x000D_(Empfehlung - Schulte)</v>
      </c>
      <c r="AL11" s="380" t="str">
        <f>IF('(Auswertung_2)'!$GE12="","",'(Auswertung_2)'!$GE12)</f>
        <v/>
      </c>
      <c r="AM11" s="380" t="str">
        <f>IF('(Auswertung_2)'!$GI12="","",'(Auswertung_2)'!$GI12)</f>
        <v/>
      </c>
      <c r="AN11" s="380" t="str">
        <f>IF('(Auswertung_2)'!$GM12="","",'(Auswertung_2)'!$GM12)</f>
        <v/>
      </c>
      <c r="AO11" s="380" t="str">
        <f>IF('(Auswertung_2)'!$GQ12="","",'(Auswertung_2)'!$GQ12)</f>
        <v/>
      </c>
      <c r="AP11" s="380" t="str">
        <f>IF('(Auswertung_2)'!$GU12="","",'(Auswertung_2)'!$GU12)</f>
        <v>Application Programming Interface_x000D_(Empfehlung - Oprescu)</v>
      </c>
      <c r="AQ11" s="380" t="str">
        <f>IF('(Auswertung_2)'!$GY12="","",'(Auswertung_2)'!$GY12)</f>
        <v>Monitoring System_x000D_(Methode - Aversa)</v>
      </c>
      <c r="AR11" s="380" t="str">
        <f>IF('(Auswertung_2)'!$HC12="","",'(Auswertung_2)'!$HC12)</f>
        <v>Protokolltransmitter_x000D_(Empfehlung - Majda)</v>
      </c>
      <c r="AS11" s="380" t="str">
        <f>IF('(Auswertung_2)'!$HG12="","",'(Auswertung_2)'!$HG12)</f>
        <v/>
      </c>
      <c r="AT11" s="380" t="str">
        <f>IF('(Auswertung_2)'!$HK12="","",'(Auswertung_2)'!$HK12)</f>
        <v>Protokolltransmitter_x000D_(Empfehlung - Majda)</v>
      </c>
      <c r="AU11" s="380" t="str">
        <f>IF('(Auswertung_2)'!$HO12="","",'(Auswertung_2)'!$HO12)</f>
        <v/>
      </c>
      <c r="AV11" s="377"/>
      <c r="AW11" s="377"/>
      <c r="AX11" s="377"/>
    </row>
    <row r="12" spans="2:50" s="138" customFormat="1" ht="31" customHeight="1" x14ac:dyDescent="0.2">
      <c r="D12" s="473" t="str">
        <f>'(Auswertung_1)'!V6</f>
        <v>Cloud Metrik Evaluierung</v>
      </c>
      <c r="E12" s="468"/>
      <c r="F12" s="468"/>
      <c r="G12" s="468"/>
      <c r="H12" s="468"/>
      <c r="I12" s="468"/>
      <c r="J12" s="472" t="s">
        <v>662</v>
      </c>
      <c r="K12" s="472"/>
      <c r="L12" s="472"/>
      <c r="M12" s="472"/>
      <c r="N12" s="472"/>
      <c r="O12" s="472" t="s">
        <v>678</v>
      </c>
      <c r="P12" s="472"/>
      <c r="Q12" s="472"/>
      <c r="R12" s="472"/>
      <c r="S12" s="472"/>
      <c r="T12" s="472"/>
      <c r="U12" s="472"/>
      <c r="V12" s="472"/>
      <c r="W12" s="488"/>
      <c r="X12" s="230"/>
      <c r="Y12" s="230"/>
      <c r="Z12" s="377"/>
      <c r="AA12" s="377"/>
      <c r="AB12" s="380" t="str">
        <f>IF('(Auswertung_2)'!$EQ13="","",'(Auswertung_2)'!$EQ13)</f>
        <v/>
      </c>
      <c r="AC12" s="380" t="str">
        <f>IF('(Auswertung_2)'!$EU13="","",'(Auswertung_2)'!$EU13)</f>
        <v/>
      </c>
      <c r="AD12" s="380" t="str">
        <f>IF('(Auswertung_2)'!$EY13="","",'(Auswertung_2)'!$EY13)</f>
        <v>Open-Source Plattform_x000D_(Empfehlung - Moscato)</v>
      </c>
      <c r="AE12" s="380" t="str">
        <f>IF('(Auswertung_2)'!$FC13="","",'(Auswertung_2)'!$FC13)</f>
        <v/>
      </c>
      <c r="AF12" s="380" t="str">
        <f>IF('(Auswertung_2)'!$FG13="","",'(Auswertung_2)'!$FG13)</f>
        <v/>
      </c>
      <c r="AG12" s="380" t="str">
        <f>IF('(Auswertung_2)'!$FK13="","",'(Auswertung_2)'!$FK13)</f>
        <v/>
      </c>
      <c r="AH12" s="380" t="str">
        <f>IF('(Auswertung_2)'!$FO13="","",'(Auswertung_2)'!$FO13)</f>
        <v/>
      </c>
      <c r="AI12" s="380" t="str">
        <f>IF('(Auswertung_2)'!$FS13="","",'(Auswertung_2)'!$FS13)</f>
        <v/>
      </c>
      <c r="AJ12" s="380" t="str">
        <f>IF('(Auswertung_2)'!$FW13="","",'(Auswertung_2)'!$FW13)</f>
        <v/>
      </c>
      <c r="AK12" s="380" t="str">
        <f>IF('(Auswertung_2)'!$GA13="","",'(Auswertung_2)'!$GA13)</f>
        <v>Atificial Intelligence_x000D_(Werkzeug - Chhetri)</v>
      </c>
      <c r="AL12" s="380" t="str">
        <f>IF('(Auswertung_2)'!$GE13="","",'(Auswertung_2)'!$GE13)</f>
        <v/>
      </c>
      <c r="AM12" s="380" t="str">
        <f>IF('(Auswertung_2)'!$GI13="","",'(Auswertung_2)'!$GI13)</f>
        <v/>
      </c>
      <c r="AN12" s="380" t="str">
        <f>IF('(Auswertung_2)'!$GM13="","",'(Auswertung_2)'!$GM13)</f>
        <v/>
      </c>
      <c r="AO12" s="380" t="str">
        <f>IF('(Auswertung_2)'!$GQ13="","",'(Auswertung_2)'!$GQ13)</f>
        <v/>
      </c>
      <c r="AP12" s="380" t="str">
        <f>IF('(Auswertung_2)'!$GU13="","",'(Auswertung_2)'!$GU13)</f>
        <v>Meta Cloud API_x000D_(Empfehlung - Satzger)</v>
      </c>
      <c r="AQ12" s="380" t="str">
        <f>IF('(Auswertung_2)'!$GY13="","",'(Auswertung_2)'!$GY13)</f>
        <v>Open-Source Plattform_x000D_(Methode - Ferry)</v>
      </c>
      <c r="AR12" s="380" t="str">
        <f>IF('(Auswertung_2)'!$HC13="","",'(Auswertung_2)'!$HC13)</f>
        <v>Open-Source Plattform_x000D_(Empfehlung - Moscato)</v>
      </c>
      <c r="AS12" s="380" t="str">
        <f>IF('(Auswertung_2)'!$HG13="","",'(Auswertung_2)'!$HG13)</f>
        <v/>
      </c>
      <c r="AT12" s="380" t="str">
        <f>IF('(Auswertung_2)'!$HK13="","",'(Auswertung_2)'!$HK13)</f>
        <v>Open-Source Plattform_x000D_(Empfehlung - Moscato)</v>
      </c>
      <c r="AU12" s="380" t="str">
        <f>IF('(Auswertung_2)'!$HO13="","",'(Auswertung_2)'!$HO13)</f>
        <v/>
      </c>
      <c r="AV12" s="377"/>
      <c r="AW12" s="377"/>
      <c r="AX12" s="377"/>
    </row>
    <row r="13" spans="2:50" s="138" customFormat="1" ht="31" customHeight="1" x14ac:dyDescent="0.2">
      <c r="D13" s="473" t="str">
        <f>'(Auswertung_1)'!V7</f>
        <v>Ressourcenverteilung</v>
      </c>
      <c r="E13" s="468"/>
      <c r="F13" s="468"/>
      <c r="G13" s="468"/>
      <c r="H13" s="468"/>
      <c r="I13" s="468"/>
      <c r="J13" s="472" t="s">
        <v>412</v>
      </c>
      <c r="K13" s="472"/>
      <c r="L13" s="472"/>
      <c r="M13" s="472"/>
      <c r="N13" s="472"/>
      <c r="O13" s="468" t="s">
        <v>679</v>
      </c>
      <c r="P13" s="468"/>
      <c r="Q13" s="468"/>
      <c r="R13" s="468"/>
      <c r="S13" s="468"/>
      <c r="T13" s="468"/>
      <c r="U13" s="468"/>
      <c r="V13" s="468"/>
      <c r="W13" s="469"/>
      <c r="X13" s="230"/>
      <c r="Y13" s="230"/>
      <c r="Z13" s="377"/>
      <c r="AA13" s="377"/>
      <c r="AB13" s="380" t="str">
        <f>IF('(Auswertung_2)'!$EQ14="","",'(Auswertung_2)'!$EQ14)</f>
        <v/>
      </c>
      <c r="AC13" s="380" t="str">
        <f>IF('(Auswertung_2)'!$EU14="","",'(Auswertung_2)'!$EU14)</f>
        <v/>
      </c>
      <c r="AD13" s="380" t="str">
        <f>IF('(Auswertung_2)'!$EY14="","",'(Auswertung_2)'!$EY14)</f>
        <v>SLA Management Aggregation_x000D_(Empfehlung - Muthusamy)</v>
      </c>
      <c r="AE13" s="380" t="str">
        <f>IF('(Auswertung_2)'!$FC14="","",'(Auswertung_2)'!$FC14)</f>
        <v/>
      </c>
      <c r="AF13" s="380" t="str">
        <f>IF('(Auswertung_2)'!$FG14="","",'(Auswertung_2)'!$FG14)</f>
        <v/>
      </c>
      <c r="AG13" s="380" t="str">
        <f>IF('(Auswertung_2)'!$FK14="","",'(Auswertung_2)'!$FK14)</f>
        <v/>
      </c>
      <c r="AH13" s="380" t="str">
        <f>IF('(Auswertung_2)'!$FO14="","",'(Auswertung_2)'!$FO14)</f>
        <v/>
      </c>
      <c r="AI13" s="380" t="str">
        <f>IF('(Auswertung_2)'!$FS14="","",'(Auswertung_2)'!$FS14)</f>
        <v/>
      </c>
      <c r="AJ13" s="380" t="str">
        <f>IF('(Auswertung_2)'!$FW14="","",'(Auswertung_2)'!$FW14)</f>
        <v/>
      </c>
      <c r="AK13" s="380" t="str">
        <f>IF('(Auswertung_2)'!$GA14="","",'(Auswertung_2)'!$GA14)</f>
        <v>Cloud Service Komposition_x000D_(Werkzeug - Dastjerdi )</v>
      </c>
      <c r="AL13" s="380" t="str">
        <f>IF('(Auswertung_2)'!$GE14="","",'(Auswertung_2)'!$GE14)</f>
        <v/>
      </c>
      <c r="AM13" s="380" t="str">
        <f>IF('(Auswertung_2)'!$GI14="","",'(Auswertung_2)'!$GI14)</f>
        <v/>
      </c>
      <c r="AN13" s="380" t="str">
        <f>IF('(Auswertung_2)'!$GM14="","",'(Auswertung_2)'!$GM14)</f>
        <v/>
      </c>
      <c r="AO13" s="380" t="str">
        <f>IF('(Auswertung_2)'!$GQ14="","",'(Auswertung_2)'!$GQ14)</f>
        <v/>
      </c>
      <c r="AP13" s="380" t="str">
        <f>IF('(Auswertung_2)'!$GU14="","",'(Auswertung_2)'!$GU14)</f>
        <v>Monitoring System_x000D_(Methode - Al-Hazmi )</v>
      </c>
      <c r="AQ13" s="380" t="str">
        <f>IF('(Auswertung_2)'!$GY14="","",'(Auswertung_2)'!$GY14)</f>
        <v>SLA Management Aggregation_x000D_(Methode - Stanik)</v>
      </c>
      <c r="AR13" s="380" t="str">
        <f>IF('(Auswertung_2)'!$HC14="","",'(Auswertung_2)'!$HC14)</f>
        <v>Open-Source Plattform_x000D_(Empfehlung - Nodehi)</v>
      </c>
      <c r="AS13" s="380" t="str">
        <f>IF('(Auswertung_2)'!$HG14="","",'(Auswertung_2)'!$HG14)</f>
        <v/>
      </c>
      <c r="AT13" s="380" t="str">
        <f>IF('(Auswertung_2)'!$HK14="","",'(Auswertung_2)'!$HK14)</f>
        <v>Open-Source Plattform_x000D_(Empfehlung - Nodehi)</v>
      </c>
      <c r="AU13" s="380" t="str">
        <f>IF('(Auswertung_2)'!$HO14="","",'(Auswertung_2)'!$HO14)</f>
        <v/>
      </c>
      <c r="AV13" s="377"/>
      <c r="AW13" s="377"/>
      <c r="AX13" s="377"/>
    </row>
    <row r="14" spans="2:50" s="138" customFormat="1" ht="31" customHeight="1" x14ac:dyDescent="0.2">
      <c r="D14" s="473" t="str">
        <f>'(Auswertung_1)'!V8</f>
        <v>Monitoring System</v>
      </c>
      <c r="E14" s="468"/>
      <c r="F14" s="468"/>
      <c r="G14" s="468"/>
      <c r="H14" s="468"/>
      <c r="I14" s="468"/>
      <c r="J14" s="472" t="s">
        <v>743</v>
      </c>
      <c r="K14" s="472"/>
      <c r="L14" s="472"/>
      <c r="M14" s="472"/>
      <c r="N14" s="472"/>
      <c r="O14" s="468" t="s">
        <v>695</v>
      </c>
      <c r="P14" s="468"/>
      <c r="Q14" s="468"/>
      <c r="R14" s="468"/>
      <c r="S14" s="468"/>
      <c r="T14" s="468"/>
      <c r="U14" s="468"/>
      <c r="V14" s="468"/>
      <c r="W14" s="469"/>
      <c r="X14" s="230"/>
      <c r="Y14" s="230"/>
      <c r="Z14" s="377"/>
      <c r="AA14" s="377"/>
      <c r="AB14" s="380" t="str">
        <f>IF('(Auswertung_2)'!$EQ15="","",'(Auswertung_2)'!$EQ15)</f>
        <v/>
      </c>
      <c r="AC14" s="380" t="str">
        <f>IF('(Auswertung_2)'!$EU15="","",'(Auswertung_2)'!$EU15)</f>
        <v/>
      </c>
      <c r="AD14" s="380" t="str">
        <f>IF('(Auswertung_2)'!$EY15="","",'(Auswertung_2)'!$EY15)</f>
        <v>Open-Source Plattform_x000D_(Empfehlung - Nodehi)</v>
      </c>
      <c r="AE14" s="380" t="str">
        <f>IF('(Auswertung_2)'!$FC15="","",'(Auswertung_2)'!$FC15)</f>
        <v/>
      </c>
      <c r="AF14" s="380" t="str">
        <f>IF('(Auswertung_2)'!$FG15="","",'(Auswertung_2)'!$FG15)</f>
        <v/>
      </c>
      <c r="AG14" s="380" t="str">
        <f>IF('(Auswertung_2)'!$FK15="","",'(Auswertung_2)'!$FK15)</f>
        <v/>
      </c>
      <c r="AH14" s="380" t="str">
        <f>IF('(Auswertung_2)'!$FO15="","",'(Auswertung_2)'!$FO15)</f>
        <v/>
      </c>
      <c r="AI14" s="380" t="str">
        <f>IF('(Auswertung_2)'!$FS15="","",'(Auswertung_2)'!$FS15)</f>
        <v/>
      </c>
      <c r="AJ14" s="380" t="str">
        <f>IF('(Auswertung_2)'!$FW15="","",'(Auswertung_2)'!$FW15)</f>
        <v/>
      </c>
      <c r="AK14" s="380" t="str">
        <f>IF('(Auswertung_2)'!$GA15="","",'(Auswertung_2)'!$GA15)</f>
        <v>Einheitl. Servicebeschreibung_x000D_(Werkzeug - El-Awadi)</v>
      </c>
      <c r="AL14" s="380" t="str">
        <f>IF('(Auswertung_2)'!$GE15="","",'(Auswertung_2)'!$GE15)</f>
        <v/>
      </c>
      <c r="AM14" s="380" t="str">
        <f>IF('(Auswertung_2)'!$GI15="","",'(Auswertung_2)'!$GI15)</f>
        <v/>
      </c>
      <c r="AN14" s="380" t="str">
        <f>IF('(Auswertung_2)'!$GM15="","",'(Auswertung_2)'!$GM15)</f>
        <v/>
      </c>
      <c r="AO14" s="380" t="str">
        <f>IF('(Auswertung_2)'!$GQ15="","",'(Auswertung_2)'!$GQ15)</f>
        <v/>
      </c>
      <c r="AP14" s="380" t="str">
        <f>IF('(Auswertung_2)'!$GU15="","",'(Auswertung_2)'!$GU15)</f>
        <v>Monitoring System_x000D_(Methode - Ludwig )</v>
      </c>
      <c r="AQ14" s="380" t="str">
        <f>IF('(Auswertung_2)'!$GY15="","",'(Auswertung_2)'!$GY15)</f>
        <v>Open-Source Plattform_x000D_(Werkzeug - Paraiso)</v>
      </c>
      <c r="AR14" s="380" t="str">
        <f>IF('(Auswertung_2)'!$HC15="","",'(Auswertung_2)'!$HC15)</f>
        <v>Application Programming Interface_x000D_(Empfehlung - Oprescu)</v>
      </c>
      <c r="AS14" s="380" t="str">
        <f>IF('(Auswertung_2)'!$HG15="","",'(Auswertung_2)'!$HG15)</f>
        <v/>
      </c>
      <c r="AT14" s="380" t="str">
        <f>IF('(Auswertung_2)'!$HK15="","",'(Auswertung_2)'!$HK15)</f>
        <v>Application Programming Interface_x000D_(Empfehlung - Oprescu)</v>
      </c>
      <c r="AU14" s="380" t="str">
        <f>IF('(Auswertung_2)'!$HO15="","",'(Auswertung_2)'!$HO15)</f>
        <v/>
      </c>
      <c r="AV14" s="377"/>
      <c r="AW14" s="377"/>
      <c r="AX14" s="377"/>
    </row>
    <row r="15" spans="2:50" s="138" customFormat="1" ht="31" customHeight="1" x14ac:dyDescent="0.2">
      <c r="D15" s="473"/>
      <c r="E15" s="468"/>
      <c r="F15" s="468"/>
      <c r="G15" s="468"/>
      <c r="H15" s="468"/>
      <c r="I15" s="468"/>
      <c r="J15" s="472" t="s">
        <v>31</v>
      </c>
      <c r="K15" s="472"/>
      <c r="L15" s="472"/>
      <c r="M15" s="472"/>
      <c r="N15" s="472"/>
      <c r="O15" s="468" t="s">
        <v>696</v>
      </c>
      <c r="P15" s="468"/>
      <c r="Q15" s="468"/>
      <c r="R15" s="468"/>
      <c r="S15" s="468"/>
      <c r="T15" s="468"/>
      <c r="U15" s="468"/>
      <c r="V15" s="468"/>
      <c r="W15" s="469"/>
      <c r="X15" s="230"/>
      <c r="Y15" s="230"/>
      <c r="Z15" s="377"/>
      <c r="AA15" s="377"/>
      <c r="AB15" s="380" t="str">
        <f>IF('(Auswertung_2)'!$EQ16="","",'(Auswertung_2)'!$EQ16)</f>
        <v/>
      </c>
      <c r="AC15" s="380" t="str">
        <f>IF('(Auswertung_2)'!$EU16="","",'(Auswertung_2)'!$EU16)</f>
        <v/>
      </c>
      <c r="AD15" s="380" t="str">
        <f>IF('(Auswertung_2)'!$EY16="","",'(Auswertung_2)'!$EY16)</f>
        <v>Monitoring System_x000D_(Empfehlung - Stefano)</v>
      </c>
      <c r="AE15" s="380" t="str">
        <f>IF('(Auswertung_2)'!$FC16="","",'(Auswertung_2)'!$FC16)</f>
        <v/>
      </c>
      <c r="AF15" s="380" t="str">
        <f>IF('(Auswertung_2)'!$FG16="","",'(Auswertung_2)'!$FG16)</f>
        <v/>
      </c>
      <c r="AG15" s="380" t="str">
        <f>IF('(Auswertung_2)'!$FK16="","",'(Auswertung_2)'!$FK16)</f>
        <v/>
      </c>
      <c r="AH15" s="380" t="str">
        <f>IF('(Auswertung_2)'!$FO16="","",'(Auswertung_2)'!$FO16)</f>
        <v/>
      </c>
      <c r="AI15" s="380" t="str">
        <f>IF('(Auswertung_2)'!$FS16="","",'(Auswertung_2)'!$FS16)</f>
        <v/>
      </c>
      <c r="AJ15" s="380" t="str">
        <f>IF('(Auswertung_2)'!$FW16="","",'(Auswertung_2)'!$FW16)</f>
        <v/>
      </c>
      <c r="AK15" s="380" t="str">
        <f>IF('(Auswertung_2)'!$GA16="","",'(Auswertung_2)'!$GA16)</f>
        <v>Open-Source Plattform_x000D_(Werkzeug - Zangara)</v>
      </c>
      <c r="AL15" s="380" t="str">
        <f>IF('(Auswertung_2)'!$GE16="","",'(Auswertung_2)'!$GE16)</f>
        <v/>
      </c>
      <c r="AM15" s="380" t="str">
        <f>IF('(Auswertung_2)'!$GI16="","",'(Auswertung_2)'!$GI16)</f>
        <v/>
      </c>
      <c r="AN15" s="380" t="str">
        <f>IF('(Auswertung_2)'!$GM16="","",'(Auswertung_2)'!$GM16)</f>
        <v/>
      </c>
      <c r="AO15" s="380" t="str">
        <f>IF('(Auswertung_2)'!$GQ16="","",'(Auswertung_2)'!$GQ16)</f>
        <v/>
      </c>
      <c r="AP15" s="380" t="str">
        <f>IF('(Auswertung_2)'!$GU16="","",'(Auswertung_2)'!$GU16)</f>
        <v>Monitoring System_x000D_(Methode - Tata)</v>
      </c>
      <c r="AQ15" s="380" t="str">
        <f>IF('(Auswertung_2)'!$GY16="","",'(Auswertung_2)'!$GY16)</f>
        <v>Datenintegration_x000D_(Werkzeug - Vernik)</v>
      </c>
      <c r="AR15" s="380" t="str">
        <f>IF('(Auswertung_2)'!$HC16="","",'(Auswertung_2)'!$HC16)</f>
        <v>Meta Cloud API_x000D_(Empfehlung - Satzger)</v>
      </c>
      <c r="AS15" s="380" t="str">
        <f>IF('(Auswertung_2)'!$HG16="","",'(Auswertung_2)'!$HG16)</f>
        <v/>
      </c>
      <c r="AT15" s="380" t="str">
        <f>IF('(Auswertung_2)'!$HK16="","",'(Auswertung_2)'!$HK16)</f>
        <v>Meta Cloud API_x000D_(Empfehlung - Satzger)</v>
      </c>
      <c r="AU15" s="380" t="str">
        <f>IF('(Auswertung_2)'!$HO16="","",'(Auswertung_2)'!$HO16)</f>
        <v/>
      </c>
      <c r="AV15" s="377"/>
      <c r="AW15" s="377"/>
      <c r="AX15" s="377"/>
    </row>
    <row r="16" spans="2:50" s="138" customFormat="1" ht="31" customHeight="1" x14ac:dyDescent="0.2">
      <c r="D16" s="473" t="str">
        <f>'(Auswertung_1)'!V9</f>
        <v>Infrastruktur Interpreter</v>
      </c>
      <c r="E16" s="468"/>
      <c r="F16" s="468"/>
      <c r="G16" s="468"/>
      <c r="H16" s="468"/>
      <c r="I16" s="468"/>
      <c r="J16" s="472" t="s">
        <v>31</v>
      </c>
      <c r="K16" s="472"/>
      <c r="L16" s="472"/>
      <c r="M16" s="472"/>
      <c r="N16" s="472"/>
      <c r="O16" s="468" t="s">
        <v>680</v>
      </c>
      <c r="P16" s="468"/>
      <c r="Q16" s="468"/>
      <c r="R16" s="468"/>
      <c r="S16" s="468"/>
      <c r="T16" s="468"/>
      <c r="U16" s="468"/>
      <c r="V16" s="468"/>
      <c r="W16" s="469"/>
      <c r="X16" s="230"/>
      <c r="Y16" s="230"/>
      <c r="Z16" s="377"/>
      <c r="AA16" s="377"/>
      <c r="AB16" s="380" t="str">
        <f>IF('(Auswertung_2)'!$EQ17="","",'(Auswertung_2)'!$EQ17)</f>
        <v/>
      </c>
      <c r="AC16" s="380" t="str">
        <f>IF('(Auswertung_2)'!$EU17="","",'(Auswertung_2)'!$EU17)</f>
        <v/>
      </c>
      <c r="AD16" s="380" t="str">
        <f>IF('(Auswertung_2)'!$EY17="","",'(Auswertung_2)'!$EY17)</f>
        <v>Monitoring System_x000D_(Methode - Al-Hazmi )</v>
      </c>
      <c r="AE16" s="380" t="str">
        <f>IF('(Auswertung_2)'!$FC17="","",'(Auswertung_2)'!$FC17)</f>
        <v/>
      </c>
      <c r="AF16" s="380" t="str">
        <f>IF('(Auswertung_2)'!$FG17="","",'(Auswertung_2)'!$FG17)</f>
        <v/>
      </c>
      <c r="AG16" s="380" t="str">
        <f>IF('(Auswertung_2)'!$FK17="","",'(Auswertung_2)'!$FK17)</f>
        <v/>
      </c>
      <c r="AH16" s="380" t="str">
        <f>IF('(Auswertung_2)'!$FO17="","",'(Auswertung_2)'!$FO17)</f>
        <v/>
      </c>
      <c r="AI16" s="380" t="str">
        <f>IF('(Auswertung_2)'!$FS17="","",'(Auswertung_2)'!$FS17)</f>
        <v/>
      </c>
      <c r="AJ16" s="380" t="str">
        <f>IF('(Auswertung_2)'!$FW17="","",'(Auswertung_2)'!$FW17)</f>
        <v/>
      </c>
      <c r="AK16" s="380" t="str">
        <f>IF('(Auswertung_2)'!$GA17="","",'(Auswertung_2)'!$GA17)</f>
        <v/>
      </c>
      <c r="AL16" s="380" t="str">
        <f>IF('(Auswertung_2)'!$GE17="","",'(Auswertung_2)'!$GE17)</f>
        <v/>
      </c>
      <c r="AM16" s="380" t="str">
        <f>IF('(Auswertung_2)'!$GI17="","",'(Auswertung_2)'!$GI17)</f>
        <v/>
      </c>
      <c r="AN16" s="380" t="str">
        <f>IF('(Auswertung_2)'!$GM17="","",'(Auswertung_2)'!$GM17)</f>
        <v/>
      </c>
      <c r="AO16" s="380" t="str">
        <f>IF('(Auswertung_2)'!$GQ17="","",'(Auswertung_2)'!$GQ17)</f>
        <v/>
      </c>
      <c r="AP16" s="380" t="str">
        <f>IF('(Auswertung_2)'!$GU17="","",'(Auswertung_2)'!$GU17)</f>
        <v>Open-Source Plattform_x000D_(Werkzeug - Paraiso)</v>
      </c>
      <c r="AQ16" s="380" t="str">
        <f>IF('(Auswertung_2)'!$GY17="","",'(Auswertung_2)'!$GY17)</f>
        <v>Collaboration SaaS_x000D_(Werkzeug - Xia)</v>
      </c>
      <c r="AR16" s="380" t="str">
        <f>IF('(Auswertung_2)'!$HC17="","",'(Auswertung_2)'!$HC17)</f>
        <v>Monitoring System_x000D_(Empfehlung - Stefano)</v>
      </c>
      <c r="AS16" s="380" t="str">
        <f>IF('(Auswertung_2)'!$HG17="","",'(Auswertung_2)'!$HG17)</f>
        <v/>
      </c>
      <c r="AT16" s="380" t="str">
        <f>IF('(Auswertung_2)'!$HK17="","",'(Auswertung_2)'!$HK17)</f>
        <v>Monitoring System_x000D_(Empfehlung - Stefano)</v>
      </c>
      <c r="AU16" s="380" t="str">
        <f>IF('(Auswertung_2)'!$HO17="","",'(Auswertung_2)'!$HO17)</f>
        <v/>
      </c>
      <c r="AV16" s="377"/>
      <c r="AW16" s="377"/>
      <c r="AX16" s="377"/>
    </row>
    <row r="17" spans="4:50" s="138" customFormat="1" ht="31" customHeight="1" x14ac:dyDescent="0.2">
      <c r="D17" s="473" t="str">
        <f>'(Auswertung_1)'!V10</f>
        <v>Open-Source Plattform</v>
      </c>
      <c r="E17" s="468"/>
      <c r="F17" s="468"/>
      <c r="G17" s="468"/>
      <c r="H17" s="468"/>
      <c r="I17" s="468"/>
      <c r="J17" s="472" t="s">
        <v>743</v>
      </c>
      <c r="K17" s="472"/>
      <c r="L17" s="472"/>
      <c r="M17" s="472"/>
      <c r="N17" s="472"/>
      <c r="O17" s="468" t="s">
        <v>694</v>
      </c>
      <c r="P17" s="468"/>
      <c r="Q17" s="468"/>
      <c r="R17" s="468"/>
      <c r="S17" s="468"/>
      <c r="T17" s="468"/>
      <c r="U17" s="468"/>
      <c r="V17" s="468"/>
      <c r="W17" s="469"/>
      <c r="X17" s="230"/>
      <c r="Y17" s="230"/>
      <c r="Z17" s="377"/>
      <c r="AA17" s="377"/>
      <c r="AB17" s="380" t="str">
        <f>IF('(Auswertung_2)'!$EQ18="","",'(Auswertung_2)'!$EQ18)</f>
        <v/>
      </c>
      <c r="AC17" s="380" t="str">
        <f>IF('(Auswertung_2)'!$EU18="","",'(Auswertung_2)'!$EU18)</f>
        <v/>
      </c>
      <c r="AD17" s="380" t="str">
        <f>IF('(Auswertung_2)'!$EY18="","",'(Auswertung_2)'!$EY18)</f>
        <v>Monitoring System_x000D_(Methode - Ludwig )</v>
      </c>
      <c r="AE17" s="380" t="str">
        <f>IF('(Auswertung_2)'!$FC18="","",'(Auswertung_2)'!$FC18)</f>
        <v/>
      </c>
      <c r="AF17" s="380" t="str">
        <f>IF('(Auswertung_2)'!$FG18="","",'(Auswertung_2)'!$FG18)</f>
        <v/>
      </c>
      <c r="AG17" s="380" t="str">
        <f>IF('(Auswertung_2)'!$FK18="","",'(Auswertung_2)'!$FK18)</f>
        <v/>
      </c>
      <c r="AH17" s="380" t="str">
        <f>IF('(Auswertung_2)'!$FO18="","",'(Auswertung_2)'!$FO18)</f>
        <v/>
      </c>
      <c r="AI17" s="380" t="str">
        <f>IF('(Auswertung_2)'!$FS18="","",'(Auswertung_2)'!$FS18)</f>
        <v/>
      </c>
      <c r="AJ17" s="380" t="str">
        <f>IF('(Auswertung_2)'!$FW18="","",'(Auswertung_2)'!$FW18)</f>
        <v/>
      </c>
      <c r="AK17" s="380" t="str">
        <f>IF('(Auswertung_2)'!$GA18="","",'(Auswertung_2)'!$GA18)</f>
        <v/>
      </c>
      <c r="AL17" s="380" t="str">
        <f>IF('(Auswertung_2)'!$GE18="","",'(Auswertung_2)'!$GE18)</f>
        <v/>
      </c>
      <c r="AM17" s="380" t="str">
        <f>IF('(Auswertung_2)'!$GI18="","",'(Auswertung_2)'!$GI18)</f>
        <v/>
      </c>
      <c r="AN17" s="380" t="str">
        <f>IF('(Auswertung_2)'!$GM18="","",'(Auswertung_2)'!$GM18)</f>
        <v/>
      </c>
      <c r="AO17" s="380" t="str">
        <f>IF('(Auswertung_2)'!$GQ18="","",'(Auswertung_2)'!$GQ18)</f>
        <v/>
      </c>
      <c r="AP17" s="380" t="str">
        <f>IF('(Auswertung_2)'!$GU18="","",'(Auswertung_2)'!$GU18)</f>
        <v>Atificial Intelligence_x000D_(Werkzeug - Vukovic )</v>
      </c>
      <c r="AQ17" s="380" t="str">
        <f>IF('(Auswertung_2)'!$GY18="","",'(Auswertung_2)'!$GY18)</f>
        <v>Open-Source Plattform_x000D_(Werkzeug - Yangui)</v>
      </c>
      <c r="AR17" s="380" t="str">
        <f>IF('(Auswertung_2)'!$HC18="","",'(Auswertung_2)'!$HC18)</f>
        <v>Monitoring System_x000D_(Methode - Al-Hazmi )</v>
      </c>
      <c r="AS17" s="380" t="str">
        <f>IF('(Auswertung_2)'!$HG18="","",'(Auswertung_2)'!$HG18)</f>
        <v/>
      </c>
      <c r="AT17" s="380" t="str">
        <f>IF('(Auswertung_2)'!$HK18="","",'(Auswertung_2)'!$HK18)</f>
        <v>Monitoring System_x000D_(Methode - Al-Hazmi )</v>
      </c>
      <c r="AU17" s="380" t="str">
        <f>IF('(Auswertung_2)'!$HO18="","",'(Auswertung_2)'!$HO18)</f>
        <v/>
      </c>
      <c r="AV17" s="377"/>
      <c r="AW17" s="377"/>
      <c r="AX17" s="377"/>
    </row>
    <row r="18" spans="4:50" s="138" customFormat="1" ht="31" customHeight="1" x14ac:dyDescent="0.2">
      <c r="D18" s="473"/>
      <c r="E18" s="468"/>
      <c r="F18" s="468"/>
      <c r="G18" s="468"/>
      <c r="H18" s="468"/>
      <c r="I18" s="468"/>
      <c r="J18" s="472" t="s">
        <v>31</v>
      </c>
      <c r="K18" s="472"/>
      <c r="L18" s="472"/>
      <c r="M18" s="472"/>
      <c r="N18" s="472"/>
      <c r="O18" s="468" t="s">
        <v>822</v>
      </c>
      <c r="P18" s="468"/>
      <c r="Q18" s="468"/>
      <c r="R18" s="468"/>
      <c r="S18" s="468"/>
      <c r="T18" s="468"/>
      <c r="U18" s="468"/>
      <c r="V18" s="468"/>
      <c r="W18" s="469"/>
      <c r="X18" s="230"/>
      <c r="Y18" s="230"/>
      <c r="Z18" s="377"/>
      <c r="AA18" s="377"/>
      <c r="AB18" s="380" t="str">
        <f>IF('(Auswertung_2)'!$EQ19="","",'(Auswertung_2)'!$EQ19)</f>
        <v/>
      </c>
      <c r="AC18" s="380" t="str">
        <f>IF('(Auswertung_2)'!$EU19="","",'(Auswertung_2)'!$EU19)</f>
        <v/>
      </c>
      <c r="AD18" s="380" t="str">
        <f>IF('(Auswertung_2)'!$EY19="","",'(Auswertung_2)'!$EY19)</f>
        <v>SLA Management Aggregation_x000D_(Methode - Stanik)</v>
      </c>
      <c r="AE18" s="380" t="str">
        <f>IF('(Auswertung_2)'!$FC19="","",'(Auswertung_2)'!$FC19)</f>
        <v/>
      </c>
      <c r="AF18" s="380" t="str">
        <f>IF('(Auswertung_2)'!$FG19="","",'(Auswertung_2)'!$FG19)</f>
        <v/>
      </c>
      <c r="AG18" s="380" t="str">
        <f>IF('(Auswertung_2)'!$FK19="","",'(Auswertung_2)'!$FK19)</f>
        <v/>
      </c>
      <c r="AH18" s="380" t="str">
        <f>IF('(Auswertung_2)'!$FO19="","",'(Auswertung_2)'!$FO19)</f>
        <v/>
      </c>
      <c r="AI18" s="380" t="str">
        <f>IF('(Auswertung_2)'!$FS19="","",'(Auswertung_2)'!$FS19)</f>
        <v/>
      </c>
      <c r="AJ18" s="380" t="str">
        <f>IF('(Auswertung_2)'!$FW19="","",'(Auswertung_2)'!$FW19)</f>
        <v/>
      </c>
      <c r="AK18" s="380" t="str">
        <f>IF('(Auswertung_2)'!$GA19="","",'(Auswertung_2)'!$GA19)</f>
        <v/>
      </c>
      <c r="AL18" s="380" t="str">
        <f>IF('(Auswertung_2)'!$GE19="","",'(Auswertung_2)'!$GE19)</f>
        <v/>
      </c>
      <c r="AM18" s="380" t="str">
        <f>IF('(Auswertung_2)'!$GI19="","",'(Auswertung_2)'!$GI19)</f>
        <v/>
      </c>
      <c r="AN18" s="380" t="str">
        <f>IF('(Auswertung_2)'!$GM19="","",'(Auswertung_2)'!$GM19)</f>
        <v/>
      </c>
      <c r="AO18" s="380" t="str">
        <f>IF('(Auswertung_2)'!$GQ19="","",'(Auswertung_2)'!$GQ19)</f>
        <v/>
      </c>
      <c r="AP18" s="380" t="str">
        <f>IF('(Auswertung_2)'!$GU19="","",'(Auswertung_2)'!$GU19)</f>
        <v>Open-Source Plattform_x000D_(Werkzeug - Zangara)</v>
      </c>
      <c r="AQ18" s="380" t="str">
        <f>IF('(Auswertung_2)'!$GY19="","",'(Auswertung_2)'!$GY19)</f>
        <v/>
      </c>
      <c r="AR18" s="380" t="str">
        <f>IF('(Auswertung_2)'!$HC19="","",'(Auswertung_2)'!$HC19)</f>
        <v>Infrastruktur Interpreter_x000D_(Methode - Allison)</v>
      </c>
      <c r="AS18" s="380" t="str">
        <f>IF('(Auswertung_2)'!$HG19="","",'(Auswertung_2)'!$HG19)</f>
        <v/>
      </c>
      <c r="AT18" s="380" t="str">
        <f>IF('(Auswertung_2)'!$HK19="","",'(Auswertung_2)'!$HK19)</f>
        <v>Infrastruktur Interpreter_x000D_(Methode - Allison)</v>
      </c>
      <c r="AU18" s="380" t="str">
        <f>IF('(Auswertung_2)'!$HO19="","",'(Auswertung_2)'!$HO19)</f>
        <v/>
      </c>
      <c r="AV18" s="377"/>
      <c r="AW18" s="377"/>
      <c r="AX18" s="377"/>
    </row>
    <row r="19" spans="4:50" s="138" customFormat="1" ht="31" customHeight="1" x14ac:dyDescent="0.2">
      <c r="D19" s="473" t="str">
        <f>'(Auswertung_1)'!V11</f>
        <v>Datenintegration</v>
      </c>
      <c r="E19" s="468"/>
      <c r="F19" s="468"/>
      <c r="G19" s="468"/>
      <c r="H19" s="468"/>
      <c r="I19" s="468"/>
      <c r="J19" s="472" t="s">
        <v>743</v>
      </c>
      <c r="K19" s="472"/>
      <c r="L19" s="472"/>
      <c r="M19" s="472"/>
      <c r="N19" s="472"/>
      <c r="O19" s="468" t="s">
        <v>698</v>
      </c>
      <c r="P19" s="468"/>
      <c r="Q19" s="468"/>
      <c r="R19" s="468"/>
      <c r="S19" s="468"/>
      <c r="T19" s="468"/>
      <c r="U19" s="468"/>
      <c r="V19" s="468"/>
      <c r="W19" s="469"/>
      <c r="X19" s="230"/>
      <c r="Y19" s="230"/>
      <c r="Z19" s="377"/>
      <c r="AA19" s="377"/>
      <c r="AB19" s="380" t="str">
        <f>IF('(Auswertung_2)'!$EQ20="","",'(Auswertung_2)'!$EQ20)</f>
        <v/>
      </c>
      <c r="AC19" s="380" t="str">
        <f>IF('(Auswertung_2)'!$EU20="","",'(Auswertung_2)'!$EU20)</f>
        <v/>
      </c>
      <c r="AD19" s="380" t="str">
        <f>IF('(Auswertung_2)'!$EY20="","",'(Auswertung_2)'!$EY20)</f>
        <v>Monitoring System_x000D_(Methode - Tata)</v>
      </c>
      <c r="AE19" s="380" t="str">
        <f>IF('(Auswertung_2)'!$FC20="","",'(Auswertung_2)'!$FC20)</f>
        <v/>
      </c>
      <c r="AF19" s="380" t="str">
        <f>IF('(Auswertung_2)'!$FG20="","",'(Auswertung_2)'!$FG20)</f>
        <v/>
      </c>
      <c r="AG19" s="380" t="str">
        <f>IF('(Auswertung_2)'!$FK20="","",'(Auswertung_2)'!$FK20)</f>
        <v/>
      </c>
      <c r="AH19" s="380" t="str">
        <f>IF('(Auswertung_2)'!$FO20="","",'(Auswertung_2)'!$FO20)</f>
        <v/>
      </c>
      <c r="AI19" s="380" t="str">
        <f>IF('(Auswertung_2)'!$FS20="","",'(Auswertung_2)'!$FS20)</f>
        <v/>
      </c>
      <c r="AJ19" s="380" t="str">
        <f>IF('(Auswertung_2)'!$FW20="","",'(Auswertung_2)'!$FW20)</f>
        <v/>
      </c>
      <c r="AK19" s="380" t="str">
        <f>IF('(Auswertung_2)'!$GA20="","",'(Auswertung_2)'!$GA20)</f>
        <v/>
      </c>
      <c r="AL19" s="380" t="str">
        <f>IF('(Auswertung_2)'!$GE20="","",'(Auswertung_2)'!$GE20)</f>
        <v/>
      </c>
      <c r="AM19" s="380" t="str">
        <f>IF('(Auswertung_2)'!$GI20="","",'(Auswertung_2)'!$GI20)</f>
        <v/>
      </c>
      <c r="AN19" s="380" t="str">
        <f>IF('(Auswertung_2)'!$GM20="","",'(Auswertung_2)'!$GM20)</f>
        <v/>
      </c>
      <c r="AO19" s="380" t="str">
        <f>IF('(Auswertung_2)'!$GQ20="","",'(Auswertung_2)'!$GQ20)</f>
        <v/>
      </c>
      <c r="AP19" s="380" t="str">
        <f>IF('(Auswertung_2)'!$GU20="","",'(Auswertung_2)'!$GU20)</f>
        <v/>
      </c>
      <c r="AQ19" s="380" t="str">
        <f>IF('(Auswertung_2)'!$GY20="","",'(Auswertung_2)'!$GY20)</f>
        <v/>
      </c>
      <c r="AR19" s="380" t="str">
        <f>IF('(Auswertung_2)'!$HC20="","",'(Auswertung_2)'!$HC20)</f>
        <v>Monitoring System_x000D_(Methode - Aversa)</v>
      </c>
      <c r="AS19" s="380" t="str">
        <f>IF('(Auswertung_2)'!$HG20="","",'(Auswertung_2)'!$HG20)</f>
        <v/>
      </c>
      <c r="AT19" s="380" t="str">
        <f>IF('(Auswertung_2)'!$HK20="","",'(Auswertung_2)'!$HK20)</f>
        <v>Monitoring System_x000D_(Methode - Aversa)</v>
      </c>
      <c r="AU19" s="380" t="str">
        <f>IF('(Auswertung_2)'!$HO20="","",'(Auswertung_2)'!$HO20)</f>
        <v/>
      </c>
      <c r="AV19" s="377"/>
      <c r="AW19" s="377"/>
      <c r="AX19" s="377"/>
    </row>
    <row r="20" spans="4:50" s="138" customFormat="1" ht="31" customHeight="1" x14ac:dyDescent="0.2">
      <c r="D20" s="473"/>
      <c r="E20" s="468"/>
      <c r="F20" s="468"/>
      <c r="G20" s="468"/>
      <c r="H20" s="468"/>
      <c r="I20" s="468"/>
      <c r="J20" s="472" t="s">
        <v>693</v>
      </c>
      <c r="K20" s="472"/>
      <c r="L20" s="472"/>
      <c r="M20" s="472"/>
      <c r="N20" s="472"/>
      <c r="O20" s="468" t="s">
        <v>699</v>
      </c>
      <c r="P20" s="468"/>
      <c r="Q20" s="468"/>
      <c r="R20" s="468"/>
      <c r="S20" s="468"/>
      <c r="T20" s="468"/>
      <c r="U20" s="468"/>
      <c r="V20" s="468"/>
      <c r="W20" s="469"/>
      <c r="X20" s="230"/>
      <c r="Y20" s="230"/>
      <c r="Z20" s="377"/>
      <c r="AA20" s="377"/>
      <c r="AB20" s="380" t="str">
        <f>IF('(Auswertung_2)'!$EQ21="","",'(Auswertung_2)'!$EQ21)</f>
        <v/>
      </c>
      <c r="AC20" s="380" t="str">
        <f>IF('(Auswertung_2)'!$EU21="","",'(Auswertung_2)'!$EU21)</f>
        <v/>
      </c>
      <c r="AD20" s="380" t="str">
        <f>IF('(Auswertung_2)'!$EY21="","",'(Auswertung_2)'!$EY21)</f>
        <v>SLA Management Aggregation_x000D_(Methode - Ul Haq)</v>
      </c>
      <c r="AE20" s="380" t="str">
        <f>IF('(Auswertung_2)'!$FC21="","",'(Auswertung_2)'!$FC21)</f>
        <v/>
      </c>
      <c r="AF20" s="380" t="str">
        <f>IF('(Auswertung_2)'!$FG21="","",'(Auswertung_2)'!$FG21)</f>
        <v/>
      </c>
      <c r="AG20" s="380" t="str">
        <f>IF('(Auswertung_2)'!$FK21="","",'(Auswertung_2)'!$FK21)</f>
        <v/>
      </c>
      <c r="AH20" s="380" t="str">
        <f>IF('(Auswertung_2)'!$FO21="","",'(Auswertung_2)'!$FO21)</f>
        <v/>
      </c>
      <c r="AI20" s="380" t="str">
        <f>IF('(Auswertung_2)'!$FS21="","",'(Auswertung_2)'!$FS21)</f>
        <v/>
      </c>
      <c r="AJ20" s="380" t="str">
        <f>IF('(Auswertung_2)'!$FW21="","",'(Auswertung_2)'!$FW21)</f>
        <v/>
      </c>
      <c r="AK20" s="380" t="str">
        <f>IF('(Auswertung_2)'!$GA21="","",'(Auswertung_2)'!$GA21)</f>
        <v/>
      </c>
      <c r="AL20" s="380" t="str">
        <f>IF('(Auswertung_2)'!$GE21="","",'(Auswertung_2)'!$GE21)</f>
        <v/>
      </c>
      <c r="AM20" s="380" t="str">
        <f>IF('(Auswertung_2)'!$GI21="","",'(Auswertung_2)'!$GI21)</f>
        <v/>
      </c>
      <c r="AN20" s="380" t="str">
        <f>IF('(Auswertung_2)'!$GM21="","",'(Auswertung_2)'!$GM21)</f>
        <v/>
      </c>
      <c r="AO20" s="380" t="str">
        <f>IF('(Auswertung_2)'!$GQ21="","",'(Auswertung_2)'!$GQ21)</f>
        <v/>
      </c>
      <c r="AP20" s="380" t="str">
        <f>IF('(Auswertung_2)'!$GU21="","",'(Auswertung_2)'!$GU21)</f>
        <v/>
      </c>
      <c r="AQ20" s="380" t="str">
        <f>IF('(Auswertung_2)'!$GY21="","",'(Auswertung_2)'!$GY21)</f>
        <v/>
      </c>
      <c r="AR20" s="380" t="str">
        <f>IF('(Auswertung_2)'!$HC21="","",'(Auswertung_2)'!$HC21)</f>
        <v>Open-Source Plattform_x000D_(Methode - Ferry)</v>
      </c>
      <c r="AS20" s="380" t="str">
        <f>IF('(Auswertung_2)'!$HG21="","",'(Auswertung_2)'!$HG21)</f>
        <v/>
      </c>
      <c r="AT20" s="380" t="str">
        <f>IF('(Auswertung_2)'!$HK21="","",'(Auswertung_2)'!$HK21)</f>
        <v>Open-Source Plattform_x000D_(Methode - Ferry)</v>
      </c>
      <c r="AU20" s="380" t="str">
        <f>IF('(Auswertung_2)'!$HO21="","",'(Auswertung_2)'!$HO21)</f>
        <v/>
      </c>
      <c r="AV20" s="377"/>
      <c r="AW20" s="377"/>
      <c r="AX20" s="377"/>
    </row>
    <row r="21" spans="4:50" s="138" customFormat="1" ht="31" customHeight="1" x14ac:dyDescent="0.2">
      <c r="D21" s="473"/>
      <c r="E21" s="468"/>
      <c r="F21" s="468"/>
      <c r="G21" s="468"/>
      <c r="H21" s="468"/>
      <c r="I21" s="468"/>
      <c r="J21" s="472" t="s">
        <v>32</v>
      </c>
      <c r="K21" s="472"/>
      <c r="L21" s="472"/>
      <c r="M21" s="472"/>
      <c r="N21" s="472"/>
      <c r="O21" s="468" t="s">
        <v>697</v>
      </c>
      <c r="P21" s="468"/>
      <c r="Q21" s="468"/>
      <c r="R21" s="468"/>
      <c r="S21" s="468"/>
      <c r="T21" s="468"/>
      <c r="U21" s="468"/>
      <c r="V21" s="468"/>
      <c r="W21" s="469"/>
      <c r="X21" s="230"/>
      <c r="Y21" s="230"/>
      <c r="Z21" s="377"/>
      <c r="AA21" s="377"/>
      <c r="AB21" s="380" t="str">
        <f>IF('(Auswertung_2)'!$EQ22="","",'(Auswertung_2)'!$EQ22)</f>
        <v/>
      </c>
      <c r="AC21" s="380" t="str">
        <f>IF('(Auswertung_2)'!$EU22="","",'(Auswertung_2)'!$EU22)</f>
        <v/>
      </c>
      <c r="AD21" s="380" t="str">
        <f>IF('(Auswertung_2)'!$EY22="","",'(Auswertung_2)'!$EY22)</f>
        <v>Cloud Service Komposition_x000D_(Werkzeug - Dastjerdi )</v>
      </c>
      <c r="AE21" s="380" t="str">
        <f>IF('(Auswertung_2)'!$FC22="","",'(Auswertung_2)'!$FC22)</f>
        <v/>
      </c>
      <c r="AF21" s="380" t="str">
        <f>IF('(Auswertung_2)'!$FG22="","",'(Auswertung_2)'!$FG22)</f>
        <v/>
      </c>
      <c r="AG21" s="380" t="str">
        <f>IF('(Auswertung_2)'!$FK22="","",'(Auswertung_2)'!$FK22)</f>
        <v/>
      </c>
      <c r="AH21" s="380" t="str">
        <f>IF('(Auswertung_2)'!$FO22="","",'(Auswertung_2)'!$FO22)</f>
        <v/>
      </c>
      <c r="AI21" s="380" t="str">
        <f>IF('(Auswertung_2)'!$FS22="","",'(Auswertung_2)'!$FS22)</f>
        <v/>
      </c>
      <c r="AJ21" s="380" t="str">
        <f>IF('(Auswertung_2)'!$FW22="","",'(Auswertung_2)'!$FW22)</f>
        <v/>
      </c>
      <c r="AK21" s="380" t="str">
        <f>IF('(Auswertung_2)'!$GA22="","",'(Auswertung_2)'!$GA22)</f>
        <v/>
      </c>
      <c r="AL21" s="380" t="str">
        <f>IF('(Auswertung_2)'!$GE22="","",'(Auswertung_2)'!$GE22)</f>
        <v/>
      </c>
      <c r="AM21" s="380" t="str">
        <f>IF('(Auswertung_2)'!$GI22="","",'(Auswertung_2)'!$GI22)</f>
        <v/>
      </c>
      <c r="AN21" s="380" t="str">
        <f>IF('(Auswertung_2)'!$GM22="","",'(Auswertung_2)'!$GM22)</f>
        <v/>
      </c>
      <c r="AO21" s="380" t="str">
        <f>IF('(Auswertung_2)'!$GQ22="","",'(Auswertung_2)'!$GQ22)</f>
        <v/>
      </c>
      <c r="AP21" s="380" t="str">
        <f>IF('(Auswertung_2)'!$GU22="","",'(Auswertung_2)'!$GU22)</f>
        <v/>
      </c>
      <c r="AQ21" s="380" t="str">
        <f>IF('(Auswertung_2)'!$GY22="","",'(Auswertung_2)'!$GY22)</f>
        <v/>
      </c>
      <c r="AR21" s="380" t="str">
        <f>IF('(Auswertung_2)'!$HC22="","",'(Auswertung_2)'!$HC22)</f>
        <v>Open-Source Plattform_x000D_(Werkzeug - Paraiso)</v>
      </c>
      <c r="AS21" s="380" t="str">
        <f>IF('(Auswertung_2)'!$HG22="","",'(Auswertung_2)'!$HG22)</f>
        <v/>
      </c>
      <c r="AT21" s="380" t="str">
        <f>IF('(Auswertung_2)'!$HK22="","",'(Auswertung_2)'!$HK22)</f>
        <v>Open-Source Plattform_x000D_(Werkzeug - Paraiso)</v>
      </c>
      <c r="AU21" s="380" t="str">
        <f>IF('(Auswertung_2)'!$HO22="","",'(Auswertung_2)'!$HO22)</f>
        <v/>
      </c>
      <c r="AV21" s="377"/>
      <c r="AW21" s="377"/>
      <c r="AX21" s="377"/>
    </row>
    <row r="22" spans="4:50" ht="31" customHeight="1" x14ac:dyDescent="0.2">
      <c r="D22" s="473" t="str">
        <f>'(Auswertung_1)'!V12</f>
        <v>Vertragsmanagementanwendung</v>
      </c>
      <c r="E22" s="468"/>
      <c r="F22" s="468"/>
      <c r="G22" s="468"/>
      <c r="H22" s="468"/>
      <c r="I22" s="468"/>
      <c r="J22" s="472" t="s">
        <v>662</v>
      </c>
      <c r="K22" s="472"/>
      <c r="L22" s="472"/>
      <c r="M22" s="472"/>
      <c r="N22" s="472"/>
      <c r="O22" s="468" t="s">
        <v>681</v>
      </c>
      <c r="P22" s="468"/>
      <c r="Q22" s="468"/>
      <c r="R22" s="468"/>
      <c r="S22" s="468"/>
      <c r="T22" s="468"/>
      <c r="U22" s="468"/>
      <c r="V22" s="468"/>
      <c r="W22" s="469"/>
      <c r="X22" s="230"/>
      <c r="Y22" s="230"/>
      <c r="Z22" s="191"/>
      <c r="AA22" s="191"/>
      <c r="AB22" s="388" t="str">
        <f>IF('(Auswertung_2)'!$EQ23="","",'(Auswertung_2)'!$EQ23)</f>
        <v/>
      </c>
      <c r="AC22" s="388" t="str">
        <f>IF('(Auswertung_2)'!$EU23="","",'(Auswertung_2)'!$EU23)</f>
        <v/>
      </c>
      <c r="AD22" s="388" t="str">
        <f>IF('(Auswertung_2)'!$EY23="","",'(Auswertung_2)'!$EY23)</f>
        <v>Einheitl. Servicebeschreibung_x000D_(Werkzeug - El-Awadi)</v>
      </c>
      <c r="AE22" s="388" t="str">
        <f>IF('(Auswertung_2)'!$FC23="","",'(Auswertung_2)'!$FC23)</f>
        <v/>
      </c>
      <c r="AF22" s="388" t="str">
        <f>IF('(Auswertung_2)'!$FG23="","",'(Auswertung_2)'!$FG23)</f>
        <v/>
      </c>
      <c r="AG22" s="388" t="str">
        <f>IF('(Auswertung_2)'!$FK23="","",'(Auswertung_2)'!$FK23)</f>
        <v/>
      </c>
      <c r="AH22" s="388" t="str">
        <f>IF('(Auswertung_2)'!$FO23="","",'(Auswertung_2)'!$FO23)</f>
        <v/>
      </c>
      <c r="AI22" s="388" t="str">
        <f>IF('(Auswertung_2)'!$FS23="","",'(Auswertung_2)'!$FS23)</f>
        <v/>
      </c>
      <c r="AJ22" s="388" t="str">
        <f>IF('(Auswertung_2)'!$FW23="","",'(Auswertung_2)'!$FW23)</f>
        <v/>
      </c>
      <c r="AK22" s="388" t="str">
        <f>IF('(Auswertung_2)'!$GA23="","",'(Auswertung_2)'!$GA23)</f>
        <v/>
      </c>
      <c r="AL22" s="388" t="str">
        <f>IF('(Auswertung_2)'!$GE23="","",'(Auswertung_2)'!$GE23)</f>
        <v/>
      </c>
      <c r="AM22" s="388" t="str">
        <f>IF('(Auswertung_2)'!$GI23="","",'(Auswertung_2)'!$GI23)</f>
        <v/>
      </c>
      <c r="AN22" s="388" t="str">
        <f>IF('(Auswertung_2)'!$GM23="","",'(Auswertung_2)'!$GM23)</f>
        <v/>
      </c>
      <c r="AO22" s="388" t="str">
        <f>IF('(Auswertung_2)'!$GQ23="","",'(Auswertung_2)'!$GQ23)</f>
        <v/>
      </c>
      <c r="AP22" s="388" t="str">
        <f>IF('(Auswertung_2)'!$GU23="","",'(Auswertung_2)'!$GU23)</f>
        <v/>
      </c>
      <c r="AQ22" s="388" t="str">
        <f>IF('(Auswertung_2)'!$GY23="","",'(Auswertung_2)'!$GY23)</f>
        <v/>
      </c>
      <c r="AR22" s="388" t="str">
        <f>IF('(Auswertung_2)'!$HC23="","",'(Auswertung_2)'!$HC23)</f>
        <v>Datenintegration_x000D_(Werkzeug - Vernik)</v>
      </c>
      <c r="AS22" s="388" t="str">
        <f>IF('(Auswertung_2)'!$HG23="","",'(Auswertung_2)'!$HG23)</f>
        <v/>
      </c>
      <c r="AT22" s="388" t="str">
        <f>IF('(Auswertung_2)'!$HK23="","",'(Auswertung_2)'!$HK23)</f>
        <v>Datenintegration_x000D_(Werkzeug - Vernik)</v>
      </c>
      <c r="AU22" s="388" t="str">
        <f>IF('(Auswertung_2)'!$HO23="","",'(Auswertung_2)'!$HO23)</f>
        <v/>
      </c>
      <c r="AV22" s="191"/>
      <c r="AW22" s="191"/>
      <c r="AX22" s="191"/>
    </row>
    <row r="23" spans="4:50" ht="31" customHeight="1" x14ac:dyDescent="0.2">
      <c r="D23" s="473" t="str">
        <f>'(Auswertung_1)'!V13</f>
        <v>Virtualisierungsinfrastruktur</v>
      </c>
      <c r="E23" s="468"/>
      <c r="F23" s="468"/>
      <c r="G23" s="468"/>
      <c r="H23" s="468"/>
      <c r="I23" s="468"/>
      <c r="J23" s="472" t="s">
        <v>31</v>
      </c>
      <c r="K23" s="472"/>
      <c r="L23" s="472"/>
      <c r="M23" s="472"/>
      <c r="N23" s="472"/>
      <c r="O23" s="468" t="s">
        <v>682</v>
      </c>
      <c r="P23" s="468"/>
      <c r="Q23" s="468"/>
      <c r="R23" s="468"/>
      <c r="S23" s="468"/>
      <c r="T23" s="468"/>
      <c r="U23" s="468"/>
      <c r="V23" s="468"/>
      <c r="W23" s="469"/>
      <c r="X23" s="228"/>
      <c r="Y23" s="228"/>
      <c r="Z23" s="191"/>
      <c r="AA23" s="191"/>
      <c r="AV23" s="191"/>
      <c r="AW23" s="191"/>
      <c r="AX23" s="191"/>
    </row>
    <row r="24" spans="4:50" ht="31" customHeight="1" x14ac:dyDescent="0.2">
      <c r="D24" s="473" t="str">
        <f>'(Auswertung_1)'!V14</f>
        <v>Atificial Intelligence</v>
      </c>
      <c r="E24" s="468"/>
      <c r="F24" s="468"/>
      <c r="G24" s="468"/>
      <c r="H24" s="468"/>
      <c r="I24" s="468"/>
      <c r="J24" s="472" t="s">
        <v>31</v>
      </c>
      <c r="K24" s="472"/>
      <c r="L24" s="472"/>
      <c r="M24" s="472"/>
      <c r="N24" s="472"/>
      <c r="O24" s="468" t="s">
        <v>700</v>
      </c>
      <c r="P24" s="468"/>
      <c r="Q24" s="468"/>
      <c r="R24" s="468"/>
      <c r="S24" s="468"/>
      <c r="T24" s="468"/>
      <c r="U24" s="468"/>
      <c r="V24" s="468"/>
      <c r="W24" s="469"/>
      <c r="X24" s="228"/>
      <c r="Y24" s="228"/>
      <c r="Z24" s="191"/>
      <c r="AA24" s="191"/>
      <c r="AV24" s="191"/>
      <c r="AW24" s="191"/>
      <c r="AX24" s="191"/>
    </row>
    <row r="25" spans="4:50" ht="31" customHeight="1" x14ac:dyDescent="0.2">
      <c r="D25" s="473"/>
      <c r="E25" s="468"/>
      <c r="F25" s="468"/>
      <c r="G25" s="468"/>
      <c r="H25" s="468"/>
      <c r="I25" s="468"/>
      <c r="J25" s="472" t="s">
        <v>662</v>
      </c>
      <c r="K25" s="472"/>
      <c r="L25" s="472"/>
      <c r="M25" s="472"/>
      <c r="N25" s="472"/>
      <c r="O25" s="468" t="s">
        <v>701</v>
      </c>
      <c r="P25" s="468"/>
      <c r="Q25" s="468"/>
      <c r="R25" s="468"/>
      <c r="S25" s="468"/>
      <c r="T25" s="468"/>
      <c r="U25" s="468"/>
      <c r="V25" s="468"/>
      <c r="W25" s="469"/>
      <c r="X25" s="228"/>
      <c r="Y25" s="228"/>
      <c r="Z25" s="191"/>
      <c r="AA25" s="191"/>
      <c r="AV25" s="191"/>
      <c r="AW25" s="191"/>
      <c r="AX25" s="191"/>
    </row>
    <row r="26" spans="4:50" ht="31" customHeight="1" x14ac:dyDescent="0.2">
      <c r="D26" s="473" t="str">
        <f>'(Auswertung_1)'!V15</f>
        <v>Cloud Service Komposition</v>
      </c>
      <c r="E26" s="468"/>
      <c r="F26" s="468"/>
      <c r="G26" s="468"/>
      <c r="H26" s="468"/>
      <c r="I26" s="468"/>
      <c r="J26" s="472" t="s">
        <v>31</v>
      </c>
      <c r="K26" s="472"/>
      <c r="L26" s="472"/>
      <c r="M26" s="472"/>
      <c r="N26" s="472"/>
      <c r="O26" s="468" t="s">
        <v>683</v>
      </c>
      <c r="P26" s="468"/>
      <c r="Q26" s="468"/>
      <c r="R26" s="468"/>
      <c r="S26" s="468"/>
      <c r="T26" s="468"/>
      <c r="U26" s="468"/>
      <c r="V26" s="468"/>
      <c r="W26" s="469"/>
      <c r="X26" s="51"/>
      <c r="Y26" s="51"/>
      <c r="Z26" s="191"/>
      <c r="AA26" s="191"/>
      <c r="AV26" s="191"/>
      <c r="AW26" s="191"/>
      <c r="AX26" s="191"/>
    </row>
    <row r="27" spans="4:50" ht="31" customHeight="1" x14ac:dyDescent="0.2">
      <c r="D27" s="473" t="str">
        <f>'(Auswertung_1)'!V16</f>
        <v>Application Programming Interface</v>
      </c>
      <c r="E27" s="468"/>
      <c r="F27" s="468"/>
      <c r="G27" s="468"/>
      <c r="H27" s="468"/>
      <c r="I27" s="468"/>
      <c r="J27" s="472" t="s">
        <v>31</v>
      </c>
      <c r="K27" s="472"/>
      <c r="L27" s="472"/>
      <c r="M27" s="472"/>
      <c r="N27" s="472"/>
      <c r="O27" s="468" t="s">
        <v>684</v>
      </c>
      <c r="P27" s="468"/>
      <c r="Q27" s="468"/>
      <c r="R27" s="468"/>
      <c r="S27" s="468"/>
      <c r="T27" s="468"/>
      <c r="U27" s="468"/>
      <c r="V27" s="468"/>
      <c r="W27" s="469"/>
      <c r="Z27" s="191"/>
      <c r="AA27" s="191"/>
      <c r="AV27" s="191"/>
      <c r="AW27" s="191"/>
      <c r="AX27" s="191"/>
    </row>
    <row r="28" spans="4:50" ht="31" customHeight="1" x14ac:dyDescent="0.2">
      <c r="D28" s="473" t="str">
        <f>'(Auswertung_1)'!V17</f>
        <v>Einheitl. Servicebeschreibung</v>
      </c>
      <c r="E28" s="468"/>
      <c r="F28" s="468"/>
      <c r="G28" s="468"/>
      <c r="H28" s="468"/>
      <c r="I28" s="468"/>
      <c r="J28" s="472" t="s">
        <v>662</v>
      </c>
      <c r="K28" s="472"/>
      <c r="L28" s="472"/>
      <c r="M28" s="472"/>
      <c r="N28" s="472"/>
      <c r="O28" s="468" t="s">
        <v>685</v>
      </c>
      <c r="P28" s="468"/>
      <c r="Q28" s="468"/>
      <c r="R28" s="468"/>
      <c r="S28" s="468"/>
      <c r="T28" s="468"/>
      <c r="U28" s="468"/>
      <c r="V28" s="468"/>
      <c r="W28" s="469"/>
      <c r="Z28" s="191"/>
      <c r="AA28" s="191"/>
      <c r="AV28" s="191"/>
      <c r="AW28" s="191"/>
      <c r="AX28" s="191"/>
    </row>
    <row r="29" spans="4:50" ht="31" customHeight="1" x14ac:dyDescent="0.2">
      <c r="D29" s="473" t="str">
        <f>'(Auswertung_1)'!V18</f>
        <v>OVF Erweiterung</v>
      </c>
      <c r="E29" s="468"/>
      <c r="F29" s="468"/>
      <c r="G29" s="468"/>
      <c r="H29" s="468"/>
      <c r="I29" s="468"/>
      <c r="J29" s="472" t="s">
        <v>743</v>
      </c>
      <c r="K29" s="472"/>
      <c r="L29" s="472"/>
      <c r="M29" s="472"/>
      <c r="N29" s="472"/>
      <c r="O29" s="468" t="s">
        <v>686</v>
      </c>
      <c r="P29" s="468"/>
      <c r="Q29" s="468"/>
      <c r="R29" s="468"/>
      <c r="S29" s="468"/>
      <c r="T29" s="468"/>
      <c r="U29" s="468"/>
      <c r="V29" s="468"/>
      <c r="W29" s="469"/>
      <c r="Z29" s="191"/>
      <c r="AA29" s="191"/>
      <c r="AV29" s="191"/>
      <c r="AW29" s="191"/>
      <c r="AX29" s="191"/>
    </row>
    <row r="30" spans="4:50" ht="31" customHeight="1" x14ac:dyDescent="0.2">
      <c r="D30" s="473" t="str">
        <f>'(Auswertung_1)'!V19</f>
        <v>Cloud Service Broker</v>
      </c>
      <c r="E30" s="468"/>
      <c r="F30" s="468"/>
      <c r="G30" s="468"/>
      <c r="H30" s="468"/>
      <c r="I30" s="468"/>
      <c r="J30" s="472" t="s">
        <v>31</v>
      </c>
      <c r="K30" s="472"/>
      <c r="L30" s="472"/>
      <c r="M30" s="472"/>
      <c r="N30" s="472"/>
      <c r="O30" s="468" t="s">
        <v>687</v>
      </c>
      <c r="P30" s="468"/>
      <c r="Q30" s="468"/>
      <c r="R30" s="468"/>
      <c r="S30" s="468"/>
      <c r="T30" s="468"/>
      <c r="U30" s="468"/>
      <c r="V30" s="468"/>
      <c r="W30" s="469"/>
      <c r="Z30" s="191"/>
      <c r="AA30" s="191"/>
      <c r="AV30" s="191"/>
      <c r="AW30" s="191"/>
      <c r="AX30" s="191"/>
    </row>
    <row r="31" spans="4:50" ht="31" customHeight="1" x14ac:dyDescent="0.2">
      <c r="D31" s="473" t="str">
        <f>'(Auswertung_1)'!V20</f>
        <v>Rechtliche Rahmenbedingung</v>
      </c>
      <c r="E31" s="468"/>
      <c r="F31" s="468"/>
      <c r="G31" s="468"/>
      <c r="H31" s="468"/>
      <c r="I31" s="468"/>
      <c r="J31" s="472" t="s">
        <v>416</v>
      </c>
      <c r="K31" s="472"/>
      <c r="L31" s="472"/>
      <c r="M31" s="472"/>
      <c r="N31" s="472"/>
      <c r="O31" s="468" t="s">
        <v>688</v>
      </c>
      <c r="P31" s="468"/>
      <c r="Q31" s="468"/>
      <c r="R31" s="468"/>
      <c r="S31" s="468"/>
      <c r="T31" s="468"/>
      <c r="U31" s="468"/>
      <c r="V31" s="468"/>
      <c r="W31" s="469"/>
    </row>
    <row r="32" spans="4:50" ht="31" customHeight="1" x14ac:dyDescent="0.2">
      <c r="D32" s="473" t="str">
        <f>'(Auswertung_1)'!V21</f>
        <v>Protokolltransmitter</v>
      </c>
      <c r="E32" s="468"/>
      <c r="F32" s="468"/>
      <c r="G32" s="468"/>
      <c r="H32" s="468"/>
      <c r="I32" s="468"/>
      <c r="J32" s="472" t="s">
        <v>31</v>
      </c>
      <c r="K32" s="472"/>
      <c r="L32" s="472"/>
      <c r="M32" s="472"/>
      <c r="N32" s="472"/>
      <c r="O32" s="468" t="s">
        <v>689</v>
      </c>
      <c r="P32" s="468"/>
      <c r="Q32" s="468"/>
      <c r="R32" s="468"/>
      <c r="S32" s="468"/>
      <c r="T32" s="468"/>
      <c r="U32" s="468"/>
      <c r="V32" s="468"/>
      <c r="W32" s="469"/>
    </row>
    <row r="33" spans="2:23" ht="31" customHeight="1" x14ac:dyDescent="0.2">
      <c r="D33" s="473" t="str">
        <f>'(Auswertung_1)'!V22</f>
        <v>SLA Management Aggregation</v>
      </c>
      <c r="E33" s="468"/>
      <c r="F33" s="468"/>
      <c r="G33" s="468"/>
      <c r="H33" s="468"/>
      <c r="I33" s="468"/>
      <c r="J33" s="472" t="s">
        <v>31</v>
      </c>
      <c r="K33" s="472"/>
      <c r="L33" s="472"/>
      <c r="M33" s="472"/>
      <c r="N33" s="472"/>
      <c r="O33" s="468" t="s">
        <v>702</v>
      </c>
      <c r="P33" s="468"/>
      <c r="Q33" s="468"/>
      <c r="R33" s="468"/>
      <c r="S33" s="468"/>
      <c r="T33" s="468"/>
      <c r="U33" s="468"/>
      <c r="V33" s="468"/>
      <c r="W33" s="469"/>
    </row>
    <row r="34" spans="2:23" ht="31" customHeight="1" x14ac:dyDescent="0.2">
      <c r="D34" s="473"/>
      <c r="E34" s="468"/>
      <c r="F34" s="468"/>
      <c r="G34" s="468"/>
      <c r="H34" s="468"/>
      <c r="I34" s="468"/>
      <c r="J34" s="472" t="s">
        <v>416</v>
      </c>
      <c r="K34" s="472"/>
      <c r="L34" s="472"/>
      <c r="M34" s="472"/>
      <c r="N34" s="472"/>
      <c r="O34" s="468" t="s">
        <v>703</v>
      </c>
      <c r="P34" s="468"/>
      <c r="Q34" s="468"/>
      <c r="R34" s="468"/>
      <c r="S34" s="468"/>
      <c r="T34" s="468"/>
      <c r="U34" s="468"/>
      <c r="V34" s="468"/>
      <c r="W34" s="469"/>
    </row>
    <row r="35" spans="2:23" ht="31" customHeight="1" x14ac:dyDescent="0.2">
      <c r="D35" s="473" t="str">
        <f>'(Auswertung_1)'!V23</f>
        <v>Meta Cloud API</v>
      </c>
      <c r="E35" s="468"/>
      <c r="F35" s="468"/>
      <c r="G35" s="468"/>
      <c r="H35" s="468"/>
      <c r="I35" s="468"/>
      <c r="J35" s="472" t="s">
        <v>743</v>
      </c>
      <c r="K35" s="472"/>
      <c r="L35" s="472"/>
      <c r="M35" s="472"/>
      <c r="N35" s="472"/>
      <c r="O35" s="468" t="s">
        <v>690</v>
      </c>
      <c r="P35" s="468"/>
      <c r="Q35" s="468"/>
      <c r="R35" s="468"/>
      <c r="S35" s="468"/>
      <c r="T35" s="468"/>
      <c r="U35" s="468"/>
      <c r="V35" s="468"/>
      <c r="W35" s="469"/>
    </row>
    <row r="36" spans="2:23" ht="31" customHeight="1" x14ac:dyDescent="0.2">
      <c r="D36" s="473" t="str">
        <f>'(Auswertung_1)'!V24</f>
        <v>Cultural Frames</v>
      </c>
      <c r="E36" s="468"/>
      <c r="F36" s="468"/>
      <c r="G36" s="468"/>
      <c r="H36" s="468"/>
      <c r="I36" s="468"/>
      <c r="J36" s="472" t="s">
        <v>412</v>
      </c>
      <c r="K36" s="472"/>
      <c r="L36" s="472"/>
      <c r="M36" s="472"/>
      <c r="N36" s="472"/>
      <c r="O36" s="468" t="s">
        <v>691</v>
      </c>
      <c r="P36" s="468"/>
      <c r="Q36" s="468"/>
      <c r="R36" s="468"/>
      <c r="S36" s="468"/>
      <c r="T36" s="468"/>
      <c r="U36" s="468"/>
      <c r="V36" s="468"/>
      <c r="W36" s="469"/>
    </row>
    <row r="37" spans="2:23" ht="31" customHeight="1" thickBot="1" x14ac:dyDescent="0.25">
      <c r="D37" s="474" t="str">
        <f>'(Auswertung_1)'!V25</f>
        <v>Collaboration SaaS</v>
      </c>
      <c r="E37" s="475"/>
      <c r="F37" s="475"/>
      <c r="G37" s="475"/>
      <c r="H37" s="475"/>
      <c r="I37" s="475"/>
      <c r="J37" s="494" t="s">
        <v>31</v>
      </c>
      <c r="K37" s="494"/>
      <c r="L37" s="494"/>
      <c r="M37" s="494"/>
      <c r="N37" s="494"/>
      <c r="O37" s="475" t="s">
        <v>692</v>
      </c>
      <c r="P37" s="475"/>
      <c r="Q37" s="475"/>
      <c r="R37" s="475"/>
      <c r="S37" s="475"/>
      <c r="T37" s="475"/>
      <c r="U37" s="475"/>
      <c r="V37" s="475"/>
      <c r="W37" s="493"/>
    </row>
    <row r="38" spans="2:23" ht="26" customHeight="1" x14ac:dyDescent="0.2">
      <c r="R38" s="274"/>
      <c r="S38" s="274"/>
      <c r="T38" s="274"/>
      <c r="U38" s="274"/>
      <c r="V38" s="274"/>
      <c r="W38" s="274"/>
    </row>
    <row r="39" spans="2:23" ht="26" customHeight="1" x14ac:dyDescent="0.2">
      <c r="R39" s="274"/>
      <c r="S39" s="274"/>
      <c r="T39" s="274"/>
      <c r="U39" s="274"/>
      <c r="V39" s="274"/>
      <c r="W39" s="274"/>
    </row>
    <row r="40" spans="2:23" ht="26" customHeight="1" x14ac:dyDescent="0.2">
      <c r="R40" s="274"/>
      <c r="S40" s="274"/>
      <c r="T40" s="274"/>
      <c r="U40" s="274"/>
      <c r="V40" s="274"/>
      <c r="W40" s="274"/>
    </row>
    <row r="41" spans="2:23" ht="26" customHeight="1" x14ac:dyDescent="0.2">
      <c r="R41" s="274"/>
      <c r="S41" s="274"/>
      <c r="T41" s="274"/>
      <c r="U41" s="274"/>
      <c r="V41" s="274"/>
      <c r="W41" s="274"/>
    </row>
    <row r="42" spans="2:23" ht="26" customHeight="1" x14ac:dyDescent="0.2">
      <c r="R42" s="274"/>
      <c r="S42" s="274"/>
      <c r="T42" s="274"/>
      <c r="U42" s="274"/>
      <c r="V42" s="274"/>
      <c r="W42" s="274"/>
    </row>
    <row r="43" spans="2:23" ht="26" customHeight="1" x14ac:dyDescent="0.2">
      <c r="R43" s="274"/>
      <c r="S43" s="274"/>
      <c r="T43" s="274"/>
      <c r="U43" s="274"/>
      <c r="V43" s="274"/>
      <c r="W43" s="274"/>
    </row>
    <row r="44" spans="2:23" x14ac:dyDescent="0.15">
      <c r="B44" s="269"/>
      <c r="C44" s="273"/>
      <c r="D44" s="273"/>
      <c r="E44" s="273"/>
      <c r="F44" s="273"/>
      <c r="G44" s="273"/>
      <c r="H44" s="273"/>
      <c r="I44" s="273"/>
      <c r="J44" s="274"/>
      <c r="K44" s="274"/>
      <c r="L44" s="274"/>
      <c r="M44" s="274"/>
      <c r="N44" s="274"/>
      <c r="O44" s="274"/>
      <c r="P44" s="274"/>
      <c r="Q44" s="274"/>
      <c r="R44" s="274"/>
      <c r="S44" s="274"/>
      <c r="T44" s="274"/>
      <c r="U44" s="274"/>
      <c r="V44" s="274"/>
      <c r="W44" s="274"/>
    </row>
    <row r="45" spans="2:23" x14ac:dyDescent="0.15">
      <c r="B45" s="269"/>
      <c r="C45" s="273"/>
      <c r="D45" s="273"/>
      <c r="E45" s="273"/>
      <c r="F45" s="273"/>
      <c r="G45" s="273"/>
      <c r="H45" s="273"/>
      <c r="I45" s="273"/>
      <c r="J45" s="274"/>
      <c r="K45" s="274"/>
      <c r="L45" s="274"/>
      <c r="M45" s="274"/>
      <c r="N45" s="274"/>
      <c r="O45" s="274"/>
      <c r="P45" s="274"/>
      <c r="Q45" s="274"/>
      <c r="R45" s="274"/>
      <c r="S45" s="274"/>
      <c r="T45" s="274"/>
      <c r="U45" s="274"/>
      <c r="V45" s="274"/>
      <c r="W45" s="274"/>
    </row>
    <row r="46" spans="2:23" x14ac:dyDescent="0.15">
      <c r="B46" s="269"/>
      <c r="C46" s="273"/>
      <c r="D46" s="273"/>
      <c r="E46" s="273"/>
      <c r="F46" s="273"/>
      <c r="G46" s="273"/>
      <c r="H46" s="273"/>
      <c r="I46" s="273"/>
      <c r="J46" s="274"/>
      <c r="K46" s="274"/>
      <c r="L46" s="274"/>
      <c r="M46" s="274"/>
      <c r="N46" s="274"/>
      <c r="O46" s="274"/>
      <c r="P46" s="274"/>
      <c r="Q46" s="274"/>
      <c r="R46" s="274"/>
      <c r="S46" s="274"/>
      <c r="T46" s="274"/>
      <c r="U46" s="274"/>
      <c r="V46" s="274"/>
      <c r="W46" s="274"/>
    </row>
    <row r="47" spans="2:23" x14ac:dyDescent="0.15">
      <c r="B47" s="269"/>
      <c r="C47" s="273"/>
      <c r="D47" s="273"/>
      <c r="E47" s="273"/>
      <c r="F47" s="273"/>
      <c r="G47" s="273"/>
      <c r="H47" s="273"/>
      <c r="I47" s="273"/>
      <c r="J47" s="274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</row>
    <row r="48" spans="2:23" x14ac:dyDescent="0.15">
      <c r="B48" s="269"/>
      <c r="C48" s="273"/>
      <c r="D48" s="273"/>
      <c r="E48" s="273"/>
      <c r="F48" s="273"/>
      <c r="G48" s="273"/>
      <c r="H48" s="273"/>
      <c r="I48" s="273"/>
      <c r="J48" s="274"/>
      <c r="K48" s="274"/>
      <c r="L48" s="274"/>
      <c r="M48" s="274"/>
      <c r="N48" s="274"/>
      <c r="O48" s="274"/>
      <c r="P48" s="274"/>
      <c r="Q48" s="274"/>
      <c r="R48" s="274"/>
      <c r="S48" s="274"/>
      <c r="T48" s="274"/>
      <c r="U48" s="274"/>
      <c r="V48" s="274"/>
      <c r="W48" s="274"/>
    </row>
    <row r="49" spans="2:23" x14ac:dyDescent="0.15">
      <c r="B49" s="269"/>
      <c r="C49" s="273"/>
      <c r="D49" s="273"/>
      <c r="E49" s="273"/>
      <c r="F49" s="273"/>
      <c r="G49" s="273"/>
      <c r="H49" s="273"/>
      <c r="I49" s="273"/>
      <c r="J49" s="274"/>
      <c r="K49" s="274"/>
      <c r="L49" s="274"/>
      <c r="M49" s="274"/>
      <c r="N49" s="274"/>
      <c r="O49" s="274"/>
      <c r="P49" s="274"/>
      <c r="Q49" s="274"/>
      <c r="R49" s="274"/>
      <c r="S49" s="274"/>
      <c r="T49" s="274"/>
      <c r="U49" s="274"/>
      <c r="V49" s="274"/>
      <c r="W49" s="274"/>
    </row>
    <row r="50" spans="2:23" x14ac:dyDescent="0.15">
      <c r="B50" s="269"/>
      <c r="C50" s="273"/>
      <c r="D50" s="273"/>
      <c r="E50" s="273"/>
      <c r="F50" s="273"/>
      <c r="G50" s="273"/>
      <c r="H50" s="273"/>
      <c r="I50" s="273"/>
      <c r="J50" s="274"/>
      <c r="K50" s="274"/>
      <c r="L50" s="274"/>
      <c r="M50" s="274"/>
      <c r="N50" s="274"/>
      <c r="O50" s="274"/>
      <c r="P50" s="274"/>
      <c r="Q50" s="274"/>
      <c r="R50" s="274"/>
      <c r="S50" s="274"/>
      <c r="T50" s="274"/>
      <c r="U50" s="274"/>
      <c r="V50" s="274"/>
      <c r="W50" s="274"/>
    </row>
    <row r="51" spans="2:23" x14ac:dyDescent="0.15">
      <c r="B51" s="269"/>
      <c r="C51" s="273"/>
      <c r="D51" s="273"/>
      <c r="E51" s="273"/>
      <c r="F51" s="273"/>
      <c r="G51" s="273"/>
      <c r="H51" s="273"/>
      <c r="I51" s="273"/>
      <c r="J51" s="274"/>
      <c r="K51" s="274"/>
      <c r="L51" s="274"/>
      <c r="M51" s="274"/>
      <c r="N51" s="274"/>
      <c r="O51" s="274"/>
      <c r="P51" s="274"/>
      <c r="Q51" s="274"/>
      <c r="R51" s="274"/>
      <c r="S51" s="274"/>
      <c r="T51" s="274"/>
      <c r="U51" s="274"/>
      <c r="V51" s="274"/>
      <c r="W51" s="274"/>
    </row>
    <row r="52" spans="2:23" x14ac:dyDescent="0.15">
      <c r="B52" s="269"/>
      <c r="C52" s="273"/>
      <c r="D52" s="273"/>
      <c r="E52" s="273"/>
      <c r="F52" s="273"/>
      <c r="G52" s="273"/>
      <c r="H52" s="273"/>
      <c r="I52" s="273"/>
      <c r="J52" s="274"/>
      <c r="K52" s="274"/>
      <c r="L52" s="274"/>
      <c r="M52" s="274"/>
      <c r="N52" s="274"/>
      <c r="O52" s="274"/>
      <c r="P52" s="274"/>
      <c r="Q52" s="274"/>
      <c r="R52" s="274"/>
      <c r="S52" s="274"/>
      <c r="T52" s="274"/>
      <c r="U52" s="274"/>
      <c r="V52" s="274"/>
      <c r="W52" s="274"/>
    </row>
    <row r="53" spans="2:23" x14ac:dyDescent="0.15">
      <c r="B53" s="269"/>
      <c r="C53" s="273"/>
      <c r="D53" s="273"/>
      <c r="E53" s="273"/>
      <c r="F53" s="273"/>
      <c r="G53" s="273"/>
      <c r="H53" s="273"/>
      <c r="I53" s="273"/>
      <c r="J53" s="274"/>
      <c r="K53" s="274"/>
      <c r="L53" s="274"/>
      <c r="M53" s="274"/>
      <c r="N53" s="274"/>
      <c r="O53" s="274"/>
      <c r="P53" s="274"/>
      <c r="Q53" s="274"/>
      <c r="R53" s="274"/>
      <c r="S53" s="274"/>
      <c r="T53" s="274"/>
      <c r="U53" s="274"/>
      <c r="V53" s="274"/>
      <c r="W53" s="274"/>
    </row>
    <row r="54" spans="2:23" x14ac:dyDescent="0.15">
      <c r="B54" s="269"/>
      <c r="C54" s="273"/>
      <c r="D54" s="273"/>
      <c r="E54" s="274"/>
      <c r="F54" s="274"/>
      <c r="G54" s="274"/>
      <c r="H54" s="274"/>
      <c r="I54" s="274"/>
      <c r="J54" s="274"/>
      <c r="K54" s="274"/>
      <c r="L54" s="274"/>
      <c r="M54" s="274"/>
      <c r="N54" s="274"/>
      <c r="O54" s="274"/>
      <c r="P54" s="274"/>
      <c r="Q54" s="274"/>
      <c r="R54" s="274"/>
      <c r="S54" s="274"/>
      <c r="T54" s="274"/>
      <c r="U54" s="274"/>
      <c r="V54" s="274"/>
      <c r="W54" s="274"/>
    </row>
    <row r="55" spans="2:23" x14ac:dyDescent="0.15">
      <c r="B55" s="269"/>
      <c r="C55" s="273"/>
      <c r="D55" s="273"/>
      <c r="E55" s="274"/>
      <c r="F55" s="274"/>
      <c r="G55" s="274"/>
      <c r="H55" s="274"/>
      <c r="I55" s="274"/>
      <c r="J55" s="274"/>
      <c r="K55" s="274"/>
      <c r="L55" s="274"/>
      <c r="M55" s="274"/>
      <c r="N55" s="274"/>
      <c r="O55" s="274"/>
      <c r="P55" s="274"/>
      <c r="Q55" s="274"/>
      <c r="R55" s="274"/>
      <c r="S55" s="274"/>
      <c r="T55" s="274"/>
      <c r="U55" s="274"/>
      <c r="V55" s="274"/>
      <c r="W55" s="274"/>
    </row>
    <row r="56" spans="2:23" x14ac:dyDescent="0.15">
      <c r="B56" s="138"/>
      <c r="C56" s="273"/>
      <c r="D56" s="273"/>
      <c r="E56" s="274"/>
      <c r="F56" s="274"/>
      <c r="G56" s="274"/>
      <c r="H56" s="274"/>
      <c r="I56" s="274"/>
      <c r="J56" s="274"/>
      <c r="K56" s="274"/>
      <c r="L56" s="274"/>
      <c r="M56" s="274"/>
      <c r="N56" s="274"/>
      <c r="O56" s="274"/>
      <c r="P56" s="274"/>
      <c r="Q56" s="274"/>
      <c r="R56" s="274"/>
      <c r="S56" s="274"/>
      <c r="T56" s="274"/>
      <c r="U56" s="274"/>
      <c r="V56" s="274"/>
      <c r="W56" s="274"/>
    </row>
    <row r="57" spans="2:23" x14ac:dyDescent="0.2">
      <c r="C57" s="273"/>
      <c r="D57" s="273"/>
    </row>
    <row r="58" spans="2:23" x14ac:dyDescent="0.2">
      <c r="C58" s="273"/>
      <c r="D58" s="273"/>
    </row>
    <row r="59" spans="2:23" x14ac:dyDescent="0.2">
      <c r="C59" s="273"/>
      <c r="D59" s="273"/>
    </row>
    <row r="60" spans="2:23" x14ac:dyDescent="0.2">
      <c r="C60" s="273"/>
      <c r="D60" s="273"/>
    </row>
    <row r="61" spans="2:23" x14ac:dyDescent="0.2">
      <c r="C61" s="273"/>
      <c r="D61" s="273"/>
    </row>
    <row r="62" spans="2:23" x14ac:dyDescent="0.2">
      <c r="C62" s="273"/>
      <c r="D62" s="273"/>
    </row>
    <row r="63" spans="2:23" x14ac:dyDescent="0.2">
      <c r="C63" s="273"/>
      <c r="D63" s="273"/>
    </row>
    <row r="64" spans="2:23" x14ac:dyDescent="0.2">
      <c r="C64" s="273"/>
      <c r="D64" s="273"/>
    </row>
    <row r="65" spans="3:4" x14ac:dyDescent="0.2">
      <c r="C65" s="273"/>
      <c r="D65" s="273"/>
    </row>
  </sheetData>
  <mergeCells count="82">
    <mergeCell ref="O36:W36"/>
    <mergeCell ref="O37:W37"/>
    <mergeCell ref="D14:I15"/>
    <mergeCell ref="D17:I18"/>
    <mergeCell ref="D19:I21"/>
    <mergeCell ref="D24:I25"/>
    <mergeCell ref="D33:I34"/>
    <mergeCell ref="O31:W31"/>
    <mergeCell ref="O32:W32"/>
    <mergeCell ref="O33:W33"/>
    <mergeCell ref="O34:W34"/>
    <mergeCell ref="O35:W35"/>
    <mergeCell ref="J36:N36"/>
    <mergeCell ref="J37:N37"/>
    <mergeCell ref="O14:W14"/>
    <mergeCell ref="O15:W15"/>
    <mergeCell ref="J31:N31"/>
    <mergeCell ref="J32:N32"/>
    <mergeCell ref="J33:N33"/>
    <mergeCell ref="AB3:AO3"/>
    <mergeCell ref="AP3:AU3"/>
    <mergeCell ref="R9:W9"/>
    <mergeCell ref="O11:W11"/>
    <mergeCell ref="O12:W12"/>
    <mergeCell ref="O13:W13"/>
    <mergeCell ref="O16:W16"/>
    <mergeCell ref="O17:W17"/>
    <mergeCell ref="D3:Q3"/>
    <mergeCell ref="O30:W30"/>
    <mergeCell ref="D11:I11"/>
    <mergeCell ref="D12:I12"/>
    <mergeCell ref="J16:N16"/>
    <mergeCell ref="J34:N34"/>
    <mergeCell ref="J35:N35"/>
    <mergeCell ref="J11:N11"/>
    <mergeCell ref="J12:N12"/>
    <mergeCell ref="J13:N13"/>
    <mergeCell ref="J14:N14"/>
    <mergeCell ref="J15:N15"/>
    <mergeCell ref="J28:N28"/>
    <mergeCell ref="J29:N29"/>
    <mergeCell ref="J30:N30"/>
    <mergeCell ref="J20:N20"/>
    <mergeCell ref="J21:N21"/>
    <mergeCell ref="J22:N22"/>
    <mergeCell ref="J23:N23"/>
    <mergeCell ref="J24:N24"/>
    <mergeCell ref="J25:N25"/>
    <mergeCell ref="D35:I35"/>
    <mergeCell ref="D36:I36"/>
    <mergeCell ref="D37:I37"/>
    <mergeCell ref="D16:I16"/>
    <mergeCell ref="D22:I22"/>
    <mergeCell ref="D23:I23"/>
    <mergeCell ref="D31:I31"/>
    <mergeCell ref="D32:I32"/>
    <mergeCell ref="D28:I28"/>
    <mergeCell ref="D29:I29"/>
    <mergeCell ref="D30:I30"/>
    <mergeCell ref="D27:I27"/>
    <mergeCell ref="J27:N27"/>
    <mergeCell ref="D13:I13"/>
    <mergeCell ref="O22:W22"/>
    <mergeCell ref="O23:W23"/>
    <mergeCell ref="O24:W24"/>
    <mergeCell ref="J17:N17"/>
    <mergeCell ref="O18:W18"/>
    <mergeCell ref="J18:N18"/>
    <mergeCell ref="J19:N19"/>
    <mergeCell ref="D26:I26"/>
    <mergeCell ref="J26:N26"/>
    <mergeCell ref="O28:W28"/>
    <mergeCell ref="O29:W29"/>
    <mergeCell ref="O25:W25"/>
    <mergeCell ref="O26:W26"/>
    <mergeCell ref="O27:W27"/>
    <mergeCell ref="C1:AA1"/>
    <mergeCell ref="R3:W3"/>
    <mergeCell ref="O19:W19"/>
    <mergeCell ref="O20:W20"/>
    <mergeCell ref="O21:W21"/>
    <mergeCell ref="D9:Q9"/>
  </mergeCells>
  <conditionalFormatting sqref="D5:W5">
    <cfRule type="cellIs" dxfId="227" priority="1" operator="lessThan">
      <formula>4</formula>
    </cfRule>
    <cfRule type="cellIs" dxfId="226" priority="2" operator="between">
      <formula>4</formula>
      <formula>9</formula>
    </cfRule>
    <cfRule type="cellIs" dxfId="225" priority="3" operator="greaterThan">
      <formula>9</formula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 enableFormatConditionsCalculation="0"/>
  <dimension ref="B1:CI149"/>
  <sheetViews>
    <sheetView topLeftCell="Z3" workbookViewId="0">
      <selection activeCell="AE4" sqref="AE4"/>
    </sheetView>
  </sheetViews>
  <sheetFormatPr baseColWidth="10" defaultRowHeight="16" x14ac:dyDescent="0.2"/>
  <cols>
    <col min="2" max="2" width="8.33203125" bestFit="1" customWidth="1"/>
    <col min="5" max="6" width="22.6640625" bestFit="1" customWidth="1"/>
    <col min="7" max="7" width="10.83203125" style="101" bestFit="1" customWidth="1"/>
    <col min="8" max="8" width="7.5" style="101" bestFit="1" customWidth="1"/>
    <col min="9" max="9" width="4.5" style="101" bestFit="1" customWidth="1"/>
    <col min="10" max="10" width="5" style="101" bestFit="1" customWidth="1"/>
    <col min="11" max="11" width="4.83203125" style="101" bestFit="1" customWidth="1"/>
    <col min="12" max="12" width="5.1640625" bestFit="1" customWidth="1"/>
    <col min="13" max="13" width="7" customWidth="1"/>
    <col min="14" max="14" width="6.5" bestFit="1" customWidth="1"/>
    <col min="15" max="15" width="15" style="101" bestFit="1" customWidth="1"/>
    <col min="16" max="16" width="15" style="101" customWidth="1"/>
    <col min="17" max="17" width="6.6640625" style="101" bestFit="1" customWidth="1"/>
    <col min="18" max="18" width="30.6640625" bestFit="1" customWidth="1"/>
    <col min="19" max="19" width="32.5" style="101" bestFit="1" customWidth="1"/>
    <col min="20" max="20" width="28.33203125" style="101" customWidth="1"/>
    <col min="21" max="21" width="25.6640625" bestFit="1" customWidth="1"/>
    <col min="22" max="22" width="29.5" style="101" bestFit="1" customWidth="1"/>
    <col min="23" max="23" width="10.5" bestFit="1" customWidth="1"/>
    <col min="24" max="24" width="13" bestFit="1" customWidth="1"/>
    <col min="25" max="25" width="15.83203125" bestFit="1" customWidth="1"/>
    <col min="26" max="26" width="22.6640625" bestFit="1" customWidth="1"/>
    <col min="27" max="27" width="8.83203125" bestFit="1" customWidth="1"/>
    <col min="28" max="28" width="8.83203125" customWidth="1"/>
    <col min="29" max="29" width="8.1640625" customWidth="1"/>
    <col min="30" max="30" width="22.5" bestFit="1" customWidth="1"/>
    <col min="31" max="31" width="15.5" bestFit="1" customWidth="1"/>
    <col min="32" max="32" width="30.6640625" bestFit="1" customWidth="1"/>
    <col min="33" max="33" width="30.6640625" customWidth="1"/>
    <col min="34" max="34" width="42.33203125" bestFit="1" customWidth="1"/>
    <col min="36" max="37" width="10.83203125" style="101"/>
    <col min="38" max="38" width="22.6640625" style="101" bestFit="1" customWidth="1"/>
    <col min="39" max="39" width="15.33203125" bestFit="1" customWidth="1"/>
    <col min="40" max="40" width="9.1640625" bestFit="1" customWidth="1"/>
    <col min="45" max="45" width="30.6640625" bestFit="1" customWidth="1"/>
    <col min="46" max="46" width="31.5" style="101" bestFit="1" customWidth="1"/>
    <col min="47" max="47" width="2.1640625" style="201" bestFit="1" customWidth="1"/>
    <col min="48" max="48" width="29.83203125" bestFit="1" customWidth="1"/>
    <col min="49" max="49" width="29.83203125" style="101" bestFit="1" customWidth="1"/>
    <col min="50" max="50" width="3.1640625" style="201" bestFit="1" customWidth="1"/>
    <col min="51" max="51" width="22.1640625" style="201" customWidth="1"/>
    <col min="52" max="52" width="20.83203125" style="101" bestFit="1" customWidth="1"/>
    <col min="53" max="53" width="2.1640625" bestFit="1" customWidth="1"/>
    <col min="54" max="54" width="22.5" customWidth="1"/>
    <col min="55" max="55" width="25.6640625" style="101" bestFit="1" customWidth="1"/>
    <col min="56" max="56" width="2.1640625" bestFit="1" customWidth="1"/>
    <col min="57" max="57" width="18.6640625" style="207" bestFit="1" customWidth="1"/>
    <col min="58" max="58" width="18.6640625" style="101" bestFit="1" customWidth="1"/>
    <col min="59" max="59" width="2.1640625" style="201" bestFit="1" customWidth="1"/>
    <col min="61" max="61" width="30.6640625" style="101" bestFit="1" customWidth="1"/>
    <col min="62" max="62" width="12.6640625" bestFit="1" customWidth="1"/>
    <col min="63" max="63" width="26.6640625" bestFit="1" customWidth="1"/>
    <col min="64" max="64" width="15.5" bestFit="1" customWidth="1"/>
    <col min="65" max="65" width="8.6640625" bestFit="1" customWidth="1"/>
    <col min="66" max="66" width="11.33203125" bestFit="1" customWidth="1"/>
    <col min="67" max="67" width="15.83203125" bestFit="1" customWidth="1"/>
    <col min="68" max="68" width="5" style="101" bestFit="1" customWidth="1"/>
    <col min="69" max="69" width="5.5" style="101" bestFit="1" customWidth="1"/>
    <col min="70" max="70" width="5.33203125" style="101" bestFit="1" customWidth="1"/>
    <col min="71" max="71" width="6.5" style="101" customWidth="1"/>
    <col min="72" max="72" width="6.5" style="101" bestFit="1" customWidth="1"/>
    <col min="73" max="73" width="7.83203125" style="101" bestFit="1" customWidth="1"/>
    <col min="74" max="74" width="6" style="101" bestFit="1" customWidth="1"/>
  </cols>
  <sheetData>
    <row r="1" spans="2:87" x14ac:dyDescent="0.2">
      <c r="AL1" s="123"/>
      <c r="AM1" s="124"/>
      <c r="AN1" s="8"/>
      <c r="AO1" s="8"/>
    </row>
    <row r="2" spans="2:87" x14ac:dyDescent="0.2">
      <c r="AL2" s="125"/>
      <c r="AM2" s="8"/>
      <c r="AN2" s="8"/>
      <c r="AO2" s="8"/>
    </row>
    <row r="3" spans="2:87" ht="32" x14ac:dyDescent="0.2">
      <c r="M3" s="226" t="s">
        <v>705</v>
      </c>
      <c r="N3" s="277" t="s">
        <v>706</v>
      </c>
      <c r="AL3" s="123"/>
      <c r="AM3" s="8"/>
      <c r="AN3" s="8"/>
      <c r="AO3" s="8"/>
    </row>
    <row r="4" spans="2:87" ht="48" x14ac:dyDescent="0.2">
      <c r="B4" s="11" t="s">
        <v>61</v>
      </c>
      <c r="C4" s="11" t="s">
        <v>22</v>
      </c>
      <c r="D4" s="11" t="s">
        <v>23</v>
      </c>
      <c r="E4" s="277" t="s">
        <v>708</v>
      </c>
      <c r="F4" s="11" t="s">
        <v>709</v>
      </c>
      <c r="G4" s="222" t="s">
        <v>672</v>
      </c>
      <c r="H4" s="222" t="s">
        <v>673</v>
      </c>
      <c r="I4" s="115" t="s">
        <v>34</v>
      </c>
      <c r="J4" s="115" t="s">
        <v>35</v>
      </c>
      <c r="K4" s="115" t="s">
        <v>36</v>
      </c>
      <c r="L4" s="11" t="s">
        <v>123</v>
      </c>
      <c r="M4" s="117">
        <f>SUM(M5:M70)/COUNTIF(B:B,"&gt;0")</f>
        <v>3.5853658536585367</v>
      </c>
      <c r="N4">
        <f>SUM(N5:N70)/COUNTIF(B:B,"&gt;0")</f>
        <v>2.0975609756097562</v>
      </c>
      <c r="O4" s="110" t="s">
        <v>417</v>
      </c>
      <c r="P4" s="110" t="s">
        <v>418</v>
      </c>
      <c r="Q4" s="110" t="s">
        <v>139</v>
      </c>
      <c r="R4" s="113" t="s">
        <v>30</v>
      </c>
      <c r="S4" s="111" t="s">
        <v>413</v>
      </c>
      <c r="T4" s="109" t="s">
        <v>459</v>
      </c>
      <c r="U4" s="113" t="s">
        <v>415</v>
      </c>
      <c r="V4" s="120" t="s">
        <v>413</v>
      </c>
      <c r="W4" s="92" t="s">
        <v>414</v>
      </c>
      <c r="X4" s="13" t="s">
        <v>31</v>
      </c>
      <c r="Y4" s="13" t="s">
        <v>416</v>
      </c>
      <c r="Z4" s="13" t="s">
        <v>662</v>
      </c>
      <c r="AA4" s="13" t="s">
        <v>412</v>
      </c>
      <c r="AB4" s="195" t="s">
        <v>411</v>
      </c>
      <c r="AC4" s="113"/>
      <c r="AD4" s="356" t="s">
        <v>707</v>
      </c>
      <c r="AE4" s="354" t="str">
        <f>'(Codierung)'!D3</f>
        <v>Kompatibilität</v>
      </c>
      <c r="AF4" s="352" t="str">
        <f>'(Codierung)'!D2</f>
        <v>Portierbarkeit</v>
      </c>
      <c r="AG4" s="352" t="str">
        <f>'(Codierung)'!D4</f>
        <v>SLA Vereinbarung</v>
      </c>
      <c r="AH4" s="353" t="str">
        <f>'(Codierung)'!D5</f>
        <v>Anbieter- &amp; Serviceauswahl</v>
      </c>
      <c r="AI4" s="113" t="s">
        <v>419</v>
      </c>
      <c r="AJ4" s="111" t="s">
        <v>413</v>
      </c>
      <c r="AK4" s="110" t="s">
        <v>430</v>
      </c>
      <c r="AL4" s="116" t="s">
        <v>413</v>
      </c>
      <c r="AM4" s="112" t="s">
        <v>458</v>
      </c>
      <c r="AN4" s="113" t="s">
        <v>33</v>
      </c>
      <c r="AO4" s="126" t="s">
        <v>457</v>
      </c>
      <c r="AP4" s="126"/>
      <c r="AQ4" s="126"/>
      <c r="AR4" s="11"/>
      <c r="AS4" s="13" t="s">
        <v>643</v>
      </c>
      <c r="AT4" s="111"/>
      <c r="AU4" s="12"/>
      <c r="AV4" s="13"/>
      <c r="BI4" s="111" t="s">
        <v>670</v>
      </c>
      <c r="BJ4" s="94" t="s">
        <v>671</v>
      </c>
      <c r="BK4" s="495" t="s">
        <v>674</v>
      </c>
      <c r="BL4" s="496"/>
      <c r="BM4" s="495" t="s">
        <v>675</v>
      </c>
      <c r="BN4" s="496"/>
      <c r="BO4" s="8"/>
      <c r="BP4" s="276" t="s">
        <v>734</v>
      </c>
      <c r="BQ4" s="276" t="s">
        <v>735</v>
      </c>
      <c r="BR4" s="276" t="s">
        <v>736</v>
      </c>
      <c r="BS4" s="276" t="s">
        <v>124</v>
      </c>
      <c r="BT4" s="276" t="s">
        <v>738</v>
      </c>
      <c r="BU4" s="276" t="s">
        <v>739</v>
      </c>
      <c r="BV4" s="370" t="s">
        <v>737</v>
      </c>
      <c r="BW4" s="275"/>
      <c r="BX4" s="275"/>
      <c r="BY4" s="275"/>
      <c r="BZ4" s="275"/>
      <c r="CA4" s="275"/>
      <c r="CB4" s="275"/>
      <c r="CC4" s="275"/>
      <c r="CD4" s="275"/>
      <c r="CE4" s="275"/>
      <c r="CF4" s="275"/>
      <c r="CG4" s="275"/>
      <c r="CH4" s="275"/>
      <c r="CI4" s="275"/>
    </row>
    <row r="5" spans="2:87" x14ac:dyDescent="0.2">
      <c r="B5" s="127">
        <f>IF('1.4 Analyse &amp; Synthese'!B7&lt;&gt;0,'1.4 Analyse &amp; Synthese'!B7,"")</f>
        <v>1</v>
      </c>
      <c r="C5" t="str">
        <f>_xlfn.IFNA(IF(B5&lt;&gt;0,VLOOKUP($B5,Tabelle3[[1]:[3]],2)),"")</f>
        <v>Abdeladim</v>
      </c>
      <c r="D5">
        <f>_xlfn.IFNA(IF(B5&lt;&gt;0,VLOOKUP($B5,Tabelle3[[1]:[3]],3)),"")</f>
        <v>2014</v>
      </c>
      <c r="E5" t="str">
        <f>_xlfn.IFNA(IF(B5&lt;&gt;0,VLOOKUP($B5,Tabelle3[[1]:[4]],4)),"")</f>
        <v>SLA regulation (A)</v>
      </c>
      <c r="F5" t="str">
        <f>_xlfn.IFNA(IF(B5&lt;&gt;0,VLOOKUP($B5,Tabelle3[[1]:[5]],5)),"")</f>
        <v>Empfehlung</v>
      </c>
      <c r="G5" s="101" t="str">
        <f>_xlfn.IFNA(IF(B5&lt;&gt;0,VLOOKUP($B5,Tabelle3[[1]:[Aggregator/Integrator]],10)),"")</f>
        <v>x</v>
      </c>
      <c r="H5" s="101">
        <f>_xlfn.IFNA(IF(B5&lt;&gt;0,VLOOKUP($B5,Tabelle3[[1]:[ITSVN Akteure]],11)),"")</f>
        <v>0</v>
      </c>
      <c r="I5" s="101" t="str">
        <f>_xlfn.IFNA(IF(B5&lt;&gt;0,VLOOKUP($B5,Tabelle3[[1]:[IaaS]],12)),"")</f>
        <v>x</v>
      </c>
      <c r="J5" s="101">
        <f>_xlfn.IFNA(IF(B5&lt;&gt;0,VLOOKUP($B5,Tabelle3[[1]:[PaaS]],13)),"")</f>
        <v>0</v>
      </c>
      <c r="K5" s="101">
        <f>_xlfn.IFNA(IF(B5&lt;&gt;0,VLOOKUP($B5,Tabelle3[[1]:[SaaS]],14)),"")</f>
        <v>0</v>
      </c>
      <c r="L5" s="101">
        <f>_xlfn.IFNA(IF(B5&lt;&gt;0,VLOOKUP($B5,Tabelle3[[1]:[DaaS]],15)),"")</f>
        <v>0</v>
      </c>
      <c r="M5" s="117">
        <f>IF(B5&lt;&gt;0,COUNTIF('1.4 Analyse &amp; Synthese'!Q7:AJ7,1))</f>
        <v>3</v>
      </c>
      <c r="N5" s="101">
        <f>IF(B5&lt;&gt;0,COUNTIF('1.4 Analyse &amp; Synthese'!Q7:AJ7,3))</f>
        <v>2</v>
      </c>
      <c r="O5" s="101">
        <f t="array" ref="O5">_xlfn.IFNA(INDEX($D$5:$D$49,MATCH(0,COUNTIF($O$4:O4,$D$5:$D$49),0),1),"")</f>
        <v>2014</v>
      </c>
      <c r="P5" s="101">
        <f t="shared" ref="P5:P49" si="0">IF(O5&lt;&gt;"",LARGE($O$5:$O$42,B5),"")</f>
        <v>2016</v>
      </c>
      <c r="Q5" s="101">
        <f t="shared" ref="Q5:Q49" si="1">IF($P5&lt;&gt;"",COUNTIF($D:$D,$P5),"")</f>
        <v>2</v>
      </c>
      <c r="R5" s="128" t="str">
        <f>_xlfn.IFNA(IF(VLOOKUP(B5,Tabelle4[#All],2,FALSE)="x",VLOOKUP(B5,'1.4 Analyse &amp; Synthese'!$B$7:$G$47,6,FALSE),""),"")</f>
        <v>Anbieter- &amp; Serviceauswahl</v>
      </c>
      <c r="S5" s="101" t="str">
        <f t="array" ref="S5">_xlfn.IFNA(INDEX($R$5:$R$49,MATCH(0,COUNTIF($S$4:S4,$R$5:$R$49),0),1),"")</f>
        <v>Anbieter- &amp; Serviceauswahl</v>
      </c>
      <c r="T5" s="272">
        <f t="shared" ref="T5:T49" si="2">IF(S5&lt;&gt;"",COUNTIF(R:R,S5),"")</f>
        <v>6</v>
      </c>
      <c r="U5" s="9" t="str">
        <f>_xlfn.IFNA(IF(VLOOKUP(B5,Tabelle4[#All],2,FALSE)="x",VLOOKUP(B5,'1.4 Analyse &amp; Synthese'!$B$7:$I$47,8,FALSE),""),"")</f>
        <v>Cloud Metrik Evaluierung</v>
      </c>
      <c r="V5" s="121" t="s">
        <v>411</v>
      </c>
      <c r="W5" s="95">
        <f>SUM(W6:W42)</f>
        <v>0</v>
      </c>
      <c r="X5" s="95">
        <f>SUM(X6:X42)</f>
        <v>23</v>
      </c>
      <c r="Y5" s="95">
        <f>SUM(Y6:Y42)</f>
        <v>4</v>
      </c>
      <c r="Z5" s="95">
        <f>SUM(Z6:Z42)</f>
        <v>6</v>
      </c>
      <c r="AA5" s="95">
        <f>SUM(AA6:AA42)</f>
        <v>2</v>
      </c>
      <c r="AB5" s="197">
        <f>SUM(W5:AA5)</f>
        <v>35</v>
      </c>
      <c r="AC5" s="9"/>
      <c r="AD5" s="355" t="s">
        <v>438</v>
      </c>
      <c r="AE5" s="9">
        <f>COUNTIFS(Tabelle3[6],'(Codierung)'!D3,Tabelle3[ITSVN Akteure],"x")</f>
        <v>10</v>
      </c>
      <c r="AF5" s="8">
        <f>COUNTIFS(Tabelle3[6],'(Codierung)'!D2,Tabelle3[ITSVN Akteure],"x")</f>
        <v>5</v>
      </c>
      <c r="AG5" s="8">
        <f>COUNTIFS(Tabelle3[6],'(Codierung)'!D4,Tabelle3[ITSVN Akteure],"x")</f>
        <v>4</v>
      </c>
      <c r="AH5" s="264">
        <f>COUNTIFS(Tabelle3[6],'(Codierung)'!D5,Tabelle3[ITSVN Akteure],"x")</f>
        <v>0</v>
      </c>
      <c r="AI5" s="114" t="str">
        <f>_xlfn.IFNA(IF(VLOOKUP(B5,Tabelle4[#All],2,FALSE)="x",VLOOKUP(B5,Tabelle4[#All],6,FALSE),""),"")</f>
        <v>Konferenz</v>
      </c>
      <c r="AJ5" s="101" t="str">
        <f t="array" ref="AJ5">_xlfn.IFNA(INDEX($AI$5:$AI$49,MATCH(0,COUNTIF($AJ$4:AJ4,$AI$5:$AI$49),0),1),"")</f>
        <v>Konferenz</v>
      </c>
      <c r="AK5" s="101">
        <f t="shared" ref="AK5:AK49" si="3">IF(AJ5&lt;&gt;"",COUNTIF(AI:AI,AJ5),"")</f>
        <v>31</v>
      </c>
      <c r="AL5" s="117" t="str">
        <f t="array" ref="AL5">_xlfn.IFNA(INDEX($E$5:$E$49,MATCH(0,COUNTIF($AL$4:AL4,$E$5:$E$49),0),1),"")</f>
        <v>SLA regulation (A)</v>
      </c>
      <c r="AM5">
        <f t="shared" ref="AM5:AM49" si="4">IF(AL5&lt;&gt;"",COUNTIF(E:E,AL5),"")</f>
        <v>7</v>
      </c>
      <c r="AN5" s="119" t="s">
        <v>64</v>
      </c>
      <c r="AO5" t="s">
        <v>29</v>
      </c>
      <c r="AP5" t="s">
        <v>27</v>
      </c>
      <c r="AQ5" t="s">
        <v>28</v>
      </c>
      <c r="AR5" s="9" t="s">
        <v>411</v>
      </c>
      <c r="AS5" t="str">
        <f t="shared" ref="AS5:AS42" si="5">IF($AT$5=R5,U5,"")</f>
        <v>Cloud Metrik Evaluierung</v>
      </c>
      <c r="AT5" s="364" t="str">
        <f>'(Codierung)'!D5</f>
        <v>Anbieter- &amp; Serviceauswahl</v>
      </c>
      <c r="AU5" s="361"/>
      <c r="AV5" s="200" t="str">
        <f t="shared" ref="AV5:AV49" si="6">IF($AW$5=R5,U5,"")</f>
        <v/>
      </c>
      <c r="AW5" s="227" t="str">
        <f>'(Codierung)'!D3</f>
        <v>Kompatibilität</v>
      </c>
      <c r="AX5" s="358" t="s">
        <v>61</v>
      </c>
      <c r="AY5" s="204" t="str">
        <f t="shared" ref="AY5:AY49" si="7">IF($AZ$5=R5,U5,"")</f>
        <v/>
      </c>
      <c r="AZ5" s="227" t="str">
        <f>'(Codierung)'!D2</f>
        <v>Portierbarkeit</v>
      </c>
      <c r="BA5" s="366" t="s">
        <v>61</v>
      </c>
      <c r="BB5" s="3"/>
      <c r="BC5" s="368" t="str">
        <f>'(Codierung)'!D4</f>
        <v>SLA Vereinbarung</v>
      </c>
      <c r="BD5" s="367" t="s">
        <v>61</v>
      </c>
      <c r="BE5" s="208"/>
      <c r="BF5" s="368" t="str">
        <f>'(Codierung)'!D6</f>
        <v>Sonstiges</v>
      </c>
      <c r="BG5" s="369" t="s">
        <v>61</v>
      </c>
      <c r="BI5" s="199" t="s">
        <v>411</v>
      </c>
      <c r="BJ5" s="199">
        <f>SUM(BJ6:BJ49)</f>
        <v>41</v>
      </c>
      <c r="BK5" s="227" t="s">
        <v>732</v>
      </c>
      <c r="BL5" s="220" t="s">
        <v>438</v>
      </c>
      <c r="BM5" s="224" t="s">
        <v>62</v>
      </c>
      <c r="BN5" s="16" t="s">
        <v>38</v>
      </c>
      <c r="BO5" s="374" t="s">
        <v>733</v>
      </c>
      <c r="BP5" s="322">
        <f t="shared" ref="BP5:BU5" si="8">SUM(BP6:BP60)</f>
        <v>17</v>
      </c>
      <c r="BQ5" s="322">
        <f t="shared" si="8"/>
        <v>2</v>
      </c>
      <c r="BR5" s="322">
        <f t="shared" si="8"/>
        <v>5</v>
      </c>
      <c r="BS5" s="322">
        <f t="shared" si="8"/>
        <v>11</v>
      </c>
      <c r="BT5" s="322">
        <f t="shared" si="8"/>
        <v>3</v>
      </c>
      <c r="BU5" s="322">
        <f t="shared" si="8"/>
        <v>3</v>
      </c>
      <c r="BV5" s="371">
        <f>SUM(BV6:BV60)</f>
        <v>2</v>
      </c>
    </row>
    <row r="6" spans="2:87" x14ac:dyDescent="0.2">
      <c r="B6" s="127">
        <f>IF('1.4 Analyse &amp; Synthese'!B8&lt;&gt;0,'1.4 Analyse &amp; Synthese'!B8,"")</f>
        <v>2</v>
      </c>
      <c r="C6" t="str">
        <f>_xlfn.IFNA(IF(B6&lt;&gt;0,VLOOKUP($B6,Tabelle3[[1]:[3]],2)),"")</f>
        <v>Abosi</v>
      </c>
      <c r="D6">
        <f>_xlfn.IFNA(IF(B6&lt;&gt;0,VLOOKUP($B6,Tabelle3[[1]:[3]],3)),"")</f>
        <v>2011</v>
      </c>
      <c r="E6" t="str">
        <f>_xlfn.IFNA(IF(B6&lt;&gt;0,VLOOKUP($B6,Tabelle3[[1]:[4]],4)),"")</f>
        <v>Communication (I)</v>
      </c>
      <c r="F6" t="str">
        <f>_xlfn.IFNA(IF(B6&lt;&gt;0,VLOOKUP($B6,Tabelle3[[1]:[5]],5)),"")</f>
        <v>Empfehlung</v>
      </c>
      <c r="G6" s="101" t="str">
        <f>_xlfn.IFNA(IF(B6&lt;&gt;0,VLOOKUP($B6,Tabelle3[[1]:[Aggregator/Integrator]],10)),"")</f>
        <v>x</v>
      </c>
      <c r="H6" s="101">
        <f>_xlfn.IFNA(IF(B6&lt;&gt;0,VLOOKUP($B6,Tabelle3[[1]:[ITSVN Akteure]],11)),"")</f>
        <v>0</v>
      </c>
      <c r="I6" s="101" t="str">
        <f>_xlfn.IFNA(IF(B6&lt;&gt;0,VLOOKUP($B6,Tabelle3[[1]:[IaaS]],12)),"")</f>
        <v>x</v>
      </c>
      <c r="J6" s="101">
        <f>_xlfn.IFNA(IF(B6&lt;&gt;0,VLOOKUP($B6,Tabelle3[[1]:[PaaS]],13)),"")</f>
        <v>0</v>
      </c>
      <c r="K6" s="101">
        <f>_xlfn.IFNA(IF(B6&lt;&gt;0,VLOOKUP($B6,Tabelle3[[1]:[SaaS]],14)),"")</f>
        <v>0</v>
      </c>
      <c r="L6" s="101">
        <f>_xlfn.IFNA(IF(B6&lt;&gt;0,VLOOKUP($B6,Tabelle3[[1]:[DaaS]],15)),"")</f>
        <v>0</v>
      </c>
      <c r="M6" s="117">
        <f>IF(B6&lt;&gt;0,COUNTIF('1.4 Analyse &amp; Synthese'!Q8:AJ8,1))</f>
        <v>3</v>
      </c>
      <c r="N6" s="101">
        <f>IF(B6&lt;&gt;0,COUNTIF('1.4 Analyse &amp; Synthese'!Q8:AJ8,3))</f>
        <v>0</v>
      </c>
      <c r="O6" s="101">
        <f t="array" ref="O6">_xlfn.IFNA(INDEX($D$5:$D$49,MATCH(0,COUNTIF($O$4:O5,$D$5:$D$49),0),1),"")</f>
        <v>2011</v>
      </c>
      <c r="P6" s="101">
        <f t="shared" si="0"/>
        <v>2015</v>
      </c>
      <c r="Q6" s="101">
        <f t="shared" si="1"/>
        <v>12</v>
      </c>
      <c r="R6" s="128" t="str">
        <f>_xlfn.IFNA(IF(VLOOKUP(B6,Tabelle4[#All],2,FALSE)="x",VLOOKUP(B6,'1.4 Analyse &amp; Synthese'!$B$7:$G$47,6,FALSE),""),"")</f>
        <v>Sonstiges</v>
      </c>
      <c r="S6" s="101" t="str">
        <f t="array" ref="S6">_xlfn.IFNA(INDEX($R$5:$R$49,MATCH(0,COUNTIF($S$4:S5,$R$5:$R$49),0),1),"")</f>
        <v>Sonstiges</v>
      </c>
      <c r="T6" s="272">
        <f t="shared" si="2"/>
        <v>2</v>
      </c>
      <c r="U6" s="9" t="str">
        <f>_xlfn.IFNA(IF(VLOOKUP(B6,Tabelle4[#All],2,FALSE)="x",VLOOKUP(B6,'1.4 Analyse &amp; Synthese'!$B$7:$I$47,8,FALSE),""),"")</f>
        <v>Ressourcenverteilung</v>
      </c>
      <c r="V6" s="122" t="str">
        <f t="array" ref="V6">_xlfn.IFNA(INDEX($U$5:$U$49,MATCH(0,COUNTIF($V$5:V5,$U$5:$U$49),0),1),"")</f>
        <v>Cloud Metrik Evaluierung</v>
      </c>
      <c r="W6">
        <f t="shared" ref="W6:W49" si="9">IF(AND(ISNUMBER(V6)=FALSE,V6&lt;&gt;""),COUNTIFS(U:U,V6,R:R,"*Portabilität*"),"")</f>
        <v>0</v>
      </c>
      <c r="X6">
        <f t="shared" ref="X6:X49" si="10">IF(AND(ISNUMBER(V6)=FALSE,V6&lt;&gt;""),COUNTIFS(U:U,V6,R:R,"*Kompatibilität*"),"")</f>
        <v>0</v>
      </c>
      <c r="Y6">
        <f t="shared" ref="Y6:Y49" si="11">IF(AND(ISNUMBER(V6)=FALSE,V6&lt;&gt;""),COUNTIFS(U:U,V6,R:R,"*SLA Vereinbarung*"),"")</f>
        <v>0</v>
      </c>
      <c r="Z6">
        <f t="shared" ref="Z6:Z14" si="12">IF(AND(ISNUMBER(V6)=FALSE,V6&lt;&gt;""),COUNTIFS(U:U,V6,R:R,"*Anbieter- &amp; Serviceauswahl*"),"")</f>
        <v>2</v>
      </c>
      <c r="AA6">
        <f t="shared" ref="AA6:AA49" si="13">IF(AND(ISNUMBER(V6)=FALSE,V6&lt;&gt;""),COUNTIFS(U:U,V6,R:R,"*Sonstiges*"),"")</f>
        <v>0</v>
      </c>
      <c r="AB6" s="196">
        <f>SUM(W6:AA6)</f>
        <v>2</v>
      </c>
      <c r="AD6" s="355" t="s">
        <v>731</v>
      </c>
      <c r="AE6" s="9">
        <f>COUNTIFS(Tabelle3[6],'(Codierung)'!D3,Tabelle3[Aggregator/Integrator],"x")</f>
        <v>13</v>
      </c>
      <c r="AF6" s="8">
        <f>COUNTIFS(Tabelle3[6],'(Codierung)'!D2,Tabelle3[Aggregator/Integrator],"x")</f>
        <v>1</v>
      </c>
      <c r="AG6" s="8">
        <f>COUNTIFS(Tabelle3[6],'(Codierung)'!D4,Tabelle3[Aggregator/Integrator],"x")</f>
        <v>0</v>
      </c>
      <c r="AH6" s="264">
        <f>COUNTIFS(Tabelle3[6],'(Codierung)'!D5,Tabelle3[Aggregator/Integrator],"x")</f>
        <v>6</v>
      </c>
      <c r="AI6" s="114" t="str">
        <f>_xlfn.IFNA(IF(VLOOKUP(B6,Tabelle4[#All],2,FALSE)="x",VLOOKUP(B6,Tabelle4[#All],6,FALSE),""),"")</f>
        <v>Konferenz</v>
      </c>
      <c r="AJ6" s="101" t="str">
        <f t="array" ref="AJ6">_xlfn.IFNA(INDEX($AI$5:$AI$49,MATCH(0,COUNTIF($AJ$4:AJ5,$AI$5:$AI$49),0),1),"")</f>
        <v>Journal</v>
      </c>
      <c r="AK6" s="101">
        <f t="shared" si="3"/>
        <v>10</v>
      </c>
      <c r="AL6" s="117" t="str">
        <f t="array" ref="AL6">_xlfn.IFNA(INDEX($E$5:$E$49,MATCH(0,COUNTIF($AL$4:AL5,$E$5:$E$49),0),1),"")</f>
        <v>Communication (I)</v>
      </c>
      <c r="AM6">
        <f t="shared" si="4"/>
        <v>1</v>
      </c>
      <c r="AN6" s="9" t="s">
        <v>34</v>
      </c>
      <c r="AO6">
        <f>IF(AN6&lt;&gt;"",COUNTIFS(I:I,$AN$5,F:F,"*Empfehlung*"),"")</f>
        <v>17</v>
      </c>
      <c r="AP6">
        <f>IF(AN6&lt;&gt;"",COUNTIFS(I:I,$AN$5,F:F,"*Methode*"),"")</f>
        <v>7</v>
      </c>
      <c r="AQ6">
        <f>IF(AN6&lt;&gt;"",COUNTIFS(I:I,$AN$5,F:F,"*Werkzeug*"),"")</f>
        <v>6</v>
      </c>
      <c r="AR6" s="9">
        <f>SUM(AO6:AQ6)</f>
        <v>30</v>
      </c>
      <c r="AS6" t="str">
        <f t="shared" si="5"/>
        <v/>
      </c>
      <c r="AT6" s="357" t="s">
        <v>411</v>
      </c>
      <c r="AU6" s="362">
        <f>SUM(AU7:AU42)</f>
        <v>6</v>
      </c>
      <c r="AV6" s="200" t="str">
        <f t="shared" si="6"/>
        <v/>
      </c>
      <c r="AW6" s="357" t="s">
        <v>411</v>
      </c>
      <c r="AX6" s="359">
        <f>SUM(AX7:AX42)</f>
        <v>23</v>
      </c>
      <c r="AY6" s="204" t="str">
        <f t="shared" si="7"/>
        <v/>
      </c>
      <c r="AZ6" s="357" t="s">
        <v>411</v>
      </c>
      <c r="BA6" s="351">
        <f>SUM(BA7:BA42)</f>
        <v>6</v>
      </c>
      <c r="BB6" s="8" t="str">
        <f t="shared" ref="BB6:BB49" si="14">IF($BC$5=R6,U6,"")</f>
        <v/>
      </c>
      <c r="BC6" s="357" t="s">
        <v>411</v>
      </c>
      <c r="BD6" s="351">
        <f>SUM(BD7:BD42)</f>
        <v>4</v>
      </c>
      <c r="BE6" s="209" t="str">
        <f t="shared" ref="BE6:BE42" si="15">IF($BF$5=R6,U6,"")</f>
        <v>Ressourcenverteilung</v>
      </c>
      <c r="BF6" s="357" t="s">
        <v>411</v>
      </c>
      <c r="BG6" s="359">
        <f>SUM(BG7:BG42)</f>
        <v>2</v>
      </c>
      <c r="BI6" s="101" t="str">
        <f t="array" ref="BI6">_xlfn.IFNA(INDEX($F$5:$F$49,MATCH(0,COUNTIF($BI$4:BI4,$F$5:$F$49),0),1),"")</f>
        <v>Empfehlung</v>
      </c>
      <c r="BJ6" s="206">
        <f t="shared" ref="BJ6:BJ49" si="16">IF(AND(ISNUMBER(BI6)=FALSE,BI6&lt;&gt;""),COUNTIF(F:F,BI6),"")</f>
        <v>24</v>
      </c>
      <c r="BK6" s="284">
        <f>COUNTIF(G5:G48,"x")</f>
        <v>21</v>
      </c>
      <c r="BL6" s="272">
        <f>COUNTIF(H5:H48,"x")</f>
        <v>20</v>
      </c>
      <c r="BM6" s="225">
        <f>COUNTIF('1.4 Analyse &amp; Synthese'!$Q$7:$AD$47,1)</f>
        <v>74</v>
      </c>
      <c r="BN6" s="15">
        <f>COUNTIF('1.4 Analyse &amp; Synthese'!$AE$7:$AJ$47,1)</f>
        <v>73</v>
      </c>
      <c r="BO6" s="270"/>
      <c r="BP6" s="372">
        <f>_xlfn.IFNA(IF(B5&lt;&gt;"",IF(AND(ISBLANK('1.4 Analyse &amp; Synthese'!N7),ISBLANK('1.4 Analyse &amp; Synthese'!O7),ISBLANK('1.4 Analyse &amp; Synthese'!P7)),IF('1.4 Analyse &amp; Synthese'!M7="x",1,0),""),""),"")</f>
        <v>1</v>
      </c>
      <c r="BQ6" s="123" t="str">
        <f>_xlfn.IFNA(IF(B5&lt;&gt;"",IF(AND(ISBLANK('1.4 Analyse &amp; Synthese'!M7),ISBLANK('1.4 Analyse &amp; Synthese'!O7),ISBLANK('1.4 Analyse &amp; Synthese'!P7)),IF('1.4 Analyse &amp; Synthese'!N7="x",1,0),""),""),"")</f>
        <v/>
      </c>
      <c r="BR6" s="123" t="str">
        <f>_xlfn.IFNA(IF(B5&lt;&gt;"",IF(AND(ISBLANK('1.4 Analyse &amp; Synthese'!M7),ISBLANK('1.4 Analyse &amp; Synthese'!N7),ISBLANK('1.4 Analyse &amp; Synthese'!P7)),IF('1.4 Analyse &amp; Synthese'!O7="x",1,0),""),""),"")</f>
        <v/>
      </c>
      <c r="BS6" s="123">
        <f>_xlfn.IFNA(IF(B5&lt;&gt;"",IF(AND('1.4 Analyse &amp; Synthese'!M7="X",'1.4 Analyse &amp; Synthese'!N7="X",'1.4 Analyse &amp; Synthese'!O7="X"),1,0),""),"")</f>
        <v>0</v>
      </c>
      <c r="BT6" s="123">
        <f>_xlfn.IFNA(IF(B5&lt;&gt;"",IF(AND(ISBLANK('1.4 Analyse &amp; Synthese'!M7),ISBLANK('1.4 Analyse &amp; Synthese'!N7),ISBLANK('1.4 Analyse &amp; Synthese'!O7)),1,0),""),"")</f>
        <v>0</v>
      </c>
      <c r="BU6" s="123">
        <f>_xlfn.IFNA(IF(B5&lt;&gt;"",IF(OR(AND('1.4 Analyse &amp; Synthese'!M7="X",'1.4 Analyse &amp; Synthese'!N7="X",'1.4 Analyse &amp; Synthese'!O7=""),AND('1.4 Analyse &amp; Synthese'!M7="X",'1.4 Analyse &amp; Synthese'!N7="",'1.4 Analyse &amp; Synthese'!O7="X"),AND('1.4 Analyse &amp; Synthese'!M7="",'1.4 Analyse &amp; Synthese'!N7="X",'1.4 Analyse &amp; Synthese'!O7="X")),1,0),0),"")</f>
        <v>0</v>
      </c>
      <c r="BV6" s="373" t="str">
        <f>_xlfn.IFNA(IF(B5&lt;&gt;"",IF(AND(ISBLANK('1.4 Analyse &amp; Synthese'!M7),ISBLANK('1.4 Analyse &amp; Synthese'!N7),ISBLANK('1.4 Analyse &amp; Synthese'!O7)),IF('1.4 Analyse &amp; Synthese'!P7="x",1,0),""),""),"")</f>
        <v/>
      </c>
    </row>
    <row r="7" spans="2:87" x14ac:dyDescent="0.2">
      <c r="B7" s="127">
        <f>IF('1.4 Analyse &amp; Synthese'!B9&lt;&gt;0,'1.4 Analyse &amp; Synthese'!B9,"")</f>
        <v>3</v>
      </c>
      <c r="C7" t="str">
        <f>_xlfn.IFNA(IF(B7&lt;&gt;0,VLOOKUP($B7,Tabelle3[[1]:[3]],2)),"")</f>
        <v xml:space="preserve">Al-Hazmi </v>
      </c>
      <c r="D7">
        <f>_xlfn.IFNA(IF(B7&lt;&gt;0,VLOOKUP($B7,Tabelle3[[1]:[3]],3)),"")</f>
        <v>2012</v>
      </c>
      <c r="E7" t="str">
        <f>_xlfn.IFNA(IF(B7&lt;&gt;0,VLOOKUP($B7,Tabelle3[[1]:[4]],4)),"")</f>
        <v>Pricing Policy (A)</v>
      </c>
      <c r="F7" t="str">
        <f>_xlfn.IFNA(IF(B7&lt;&gt;0,VLOOKUP($B7,Tabelle3[[1]:[5]],5)),"")</f>
        <v>Methode</v>
      </c>
      <c r="G7" s="101">
        <f>_xlfn.IFNA(IF(B7&lt;&gt;0,VLOOKUP($B7,Tabelle3[[1]:[Aggregator/Integrator]],10)),"")</f>
        <v>0</v>
      </c>
      <c r="H7" s="101" t="str">
        <f>_xlfn.IFNA(IF(B7&lt;&gt;0,VLOOKUP($B7,Tabelle3[[1]:[ITSVN Akteure]],11)),"")</f>
        <v>x</v>
      </c>
      <c r="I7" s="101" t="str">
        <f>_xlfn.IFNA(IF(B7&lt;&gt;0,VLOOKUP($B7,Tabelle3[[1]:[IaaS]],12)),"")</f>
        <v>x</v>
      </c>
      <c r="J7" s="101">
        <f>_xlfn.IFNA(IF(B7&lt;&gt;0,VLOOKUP($B7,Tabelle3[[1]:[PaaS]],13)),"")</f>
        <v>0</v>
      </c>
      <c r="K7" s="101">
        <f>_xlfn.IFNA(IF(B7&lt;&gt;0,VLOOKUP($B7,Tabelle3[[1]:[SaaS]],14)),"")</f>
        <v>0</v>
      </c>
      <c r="L7" s="101">
        <f>_xlfn.IFNA(IF(B7&lt;&gt;0,VLOOKUP($B7,Tabelle3[[1]:[DaaS]],15)),"")</f>
        <v>0</v>
      </c>
      <c r="M7" s="117">
        <f>IF(B7&lt;&gt;0,COUNTIF('1.4 Analyse &amp; Synthese'!Q9:AJ9,1))</f>
        <v>5</v>
      </c>
      <c r="N7" s="101">
        <f>IF(B7&lt;&gt;0,COUNTIF('1.4 Analyse &amp; Synthese'!Q9:AJ9,3))</f>
        <v>1</v>
      </c>
      <c r="O7" s="101">
        <f t="array" ref="O7">_xlfn.IFNA(INDEX($D$5:$D$49,MATCH(0,COUNTIF($O$4:O6,$D$5:$D$49),0),1),"")</f>
        <v>2012</v>
      </c>
      <c r="P7" s="101">
        <f t="shared" si="0"/>
        <v>2014</v>
      </c>
      <c r="Q7" s="101">
        <f t="shared" si="1"/>
        <v>8</v>
      </c>
      <c r="R7" s="128" t="str">
        <f>_xlfn.IFNA(IF(VLOOKUP(B7,Tabelle4[#All],2,FALSE)="x",VLOOKUP(B7,'1.4 Analyse &amp; Synthese'!$B$7:$G$47,6,FALSE),""),"")</f>
        <v>Kompatibilität</v>
      </c>
      <c r="S7" s="101" t="str">
        <f t="array" ref="S7">_xlfn.IFNA(INDEX($R$5:$R$49,MATCH(0,COUNTIF($S$4:S6,$R$5:$R$49),0),1),"")</f>
        <v>Kompatibilität</v>
      </c>
      <c r="T7" s="272">
        <f t="shared" si="2"/>
        <v>23</v>
      </c>
      <c r="U7" s="9" t="str">
        <f>_xlfn.IFNA(IF(VLOOKUP(B7,Tabelle4[#All],2,FALSE)="x",VLOOKUP(B7,'1.4 Analyse &amp; Synthese'!$B$7:$I$47,8,FALSE),""),"")</f>
        <v>Monitoring System</v>
      </c>
      <c r="V7" s="122" t="str">
        <f t="array" ref="V7">_xlfn.IFNA(INDEX($U$5:$U$49,MATCH(0,COUNTIF($V$5:V6,$U$5:$U$49),0),1),"")</f>
        <v>Ressourcenverteilung</v>
      </c>
      <c r="W7">
        <f t="shared" si="9"/>
        <v>0</v>
      </c>
      <c r="X7">
        <f t="shared" si="10"/>
        <v>0</v>
      </c>
      <c r="Y7">
        <f t="shared" si="11"/>
        <v>0</v>
      </c>
      <c r="Z7">
        <f t="shared" si="12"/>
        <v>0</v>
      </c>
      <c r="AA7">
        <f t="shared" si="13"/>
        <v>1</v>
      </c>
      <c r="AB7" s="196">
        <f>SUM(W7:AA7)</f>
        <v>1</v>
      </c>
      <c r="AD7" s="8"/>
      <c r="AE7" s="8"/>
      <c r="AF7" s="8"/>
      <c r="AG7" s="8"/>
      <c r="AH7" s="264"/>
      <c r="AI7" s="114" t="str">
        <f>_xlfn.IFNA(IF(VLOOKUP(B7,Tabelle4[#All],2,FALSE)="x",VLOOKUP(B7,Tabelle4[#All],6,FALSE),""),"")</f>
        <v>Konferenz</v>
      </c>
      <c r="AJ7" s="101" t="str">
        <f t="array" ref="AJ7">_xlfn.IFNA(INDEX($AI$5:$AI$49,MATCH(0,COUNTIF($AJ$4:AJ6,$AI$5:$AI$49),0),1),"")</f>
        <v/>
      </c>
      <c r="AK7" s="101" t="str">
        <f t="shared" si="3"/>
        <v/>
      </c>
      <c r="AL7" s="117" t="str">
        <f t="array" ref="AL7">_xlfn.IFNA(INDEX($E$5:$E$49,MATCH(0,COUNTIF($AL$4:AL6,$E$5:$E$49),0),1),"")</f>
        <v>Pricing Policy (A)</v>
      </c>
      <c r="AM7">
        <f t="shared" si="4"/>
        <v>3</v>
      </c>
      <c r="AN7" s="9" t="s">
        <v>35</v>
      </c>
      <c r="AO7">
        <f>IF(AN7&lt;&gt;"",COUNTIFS(J:J,$AN$5,F:F,"*Empfehlung*"),"")</f>
        <v>7</v>
      </c>
      <c r="AP7">
        <f>IF(AO7&lt;&gt;"",COUNTIFS(J:J,$AN$5,F:F,"*Methode*"),"")</f>
        <v>4</v>
      </c>
      <c r="AQ7">
        <f>IF(AP7&lt;&gt;"",COUNTIFS(J:J,$AN$5,F:F,"*Werkzeug*"),"")</f>
        <v>5</v>
      </c>
      <c r="AR7" s="9">
        <f>SUM(AO7:AQ7)</f>
        <v>16</v>
      </c>
      <c r="AS7" t="str">
        <f t="shared" si="5"/>
        <v/>
      </c>
      <c r="AT7" s="365" t="str">
        <f t="array" ref="AT7">_xlfn.IFNA(INDEX($AS$5:$AS$49,MATCH(0,COUNTIF($AT$4:AT6,$AS$5:$AS$49),0),1),"")</f>
        <v>Cloud Metrik Evaluierung</v>
      </c>
      <c r="AU7" s="363">
        <f>IF(AND(ISNUMBER(AT7)=FALSE,AT7&lt;&gt;""),COUNTIFS(U:U,AT7,R:R,$AT$5),"")</f>
        <v>2</v>
      </c>
      <c r="AV7" s="200" t="str">
        <f t="shared" si="6"/>
        <v>Monitoring System</v>
      </c>
      <c r="AW7" s="117" t="str">
        <f t="array" ref="AW7">_xlfn.IFNA(INDEX($AV$6:$AV$49,MATCH(0,COUNTIF($AW$4:AW6,$AV$6:$AV$49),0),1),"")</f>
        <v>Monitoring System</v>
      </c>
      <c r="AX7" s="360">
        <f t="shared" ref="AX7:AX49" si="17">IF(AND(ISNUMBER(AW7)=FALSE,AW7&lt;&gt;""),COUNTIFS(U:U,AW7,R:R,$AW$5),"")</f>
        <v>3</v>
      </c>
      <c r="AY7" s="204" t="str">
        <f t="shared" si="7"/>
        <v/>
      </c>
      <c r="AZ7" s="117" t="str">
        <f t="array" ref="AZ7">_xlfn.IFNA(INDEX($AY$5:$AY$49,MATCH(0,COUNTIF($AZ$4:AZ6,$AY$5:$AY$49),0),1),"")</f>
        <v>Open-Source Plattform</v>
      </c>
      <c r="BA7" s="264">
        <f t="shared" ref="BA7:BA49" si="18">IF(AND(ISNUMBER(AZ7)=FALSE,AZ7&lt;&gt;""),COUNTIFS(U:U,AZ7,R:R,$AZ$5),"")</f>
        <v>1</v>
      </c>
      <c r="BB7" s="8" t="str">
        <f t="shared" si="14"/>
        <v/>
      </c>
      <c r="BC7" s="117" t="str">
        <f t="array" ref="BC7">_xlfn.IFNA(INDEX($BB$6:$BB$49,MATCH(0,COUNTIF($BC$4:BC6,$BB$6:$BB$49),0),1),"")</f>
        <v>Datenintegration</v>
      </c>
      <c r="BD7" s="264">
        <f t="shared" ref="BD7:BD49" si="19">IF(AND(ISNUMBER(BC7)=FALSE,BC7&lt;&gt;""),COUNTIFS(U:U,BC7,R:R,$BC$5),"")</f>
        <v>1</v>
      </c>
      <c r="BE7" s="209" t="str">
        <f t="shared" si="15"/>
        <v/>
      </c>
      <c r="BF7" s="117">
        <f t="array" ref="BF7">_xlfn.IFNA(INDEX($BE$5:$BE$49,MATCH(0,COUNTIF($BF$4:BF6,$BE$5:$BE$49),0),1),"")</f>
        <v>0</v>
      </c>
      <c r="BG7" s="360" t="str">
        <f>IF(AND(ISNUMBER(BF7)=FALSE,BF7&lt;&gt;""),COUNTIFS(U:U,BC7,R:R,$BF$5),"")</f>
        <v/>
      </c>
      <c r="BI7" s="101" t="str">
        <f t="array" ref="BI7">_xlfn.IFNA(INDEX($F$5:$F$49,MATCH(0,COUNTIF($BI$4:BI6,$F$5:$F$49),0),1),"")</f>
        <v>Methode</v>
      </c>
      <c r="BJ7" s="206">
        <f t="shared" si="16"/>
        <v>8</v>
      </c>
      <c r="BK7" s="9"/>
      <c r="BL7" s="15"/>
      <c r="BM7" s="225"/>
      <c r="BN7" s="15"/>
      <c r="BO7" s="270"/>
      <c r="BP7" s="372">
        <f>_xlfn.IFNA(IF(B6&lt;&gt;"",IF(AND(ISBLANK('1.4 Analyse &amp; Synthese'!N8),ISBLANK('1.4 Analyse &amp; Synthese'!O8),ISBLANK('1.4 Analyse &amp; Synthese'!P8)),IF('1.4 Analyse &amp; Synthese'!M8="x",1,0),""),""),"")</f>
        <v>1</v>
      </c>
      <c r="BQ7" s="123" t="str">
        <f>_xlfn.IFNA(IF(B6&lt;&gt;"",IF(AND(ISBLANK('1.4 Analyse &amp; Synthese'!M8),ISBLANK('1.4 Analyse &amp; Synthese'!O8),ISBLANK('1.4 Analyse &amp; Synthese'!P8)),IF('1.4 Analyse &amp; Synthese'!N8="x",1,0),""),""),"")</f>
        <v/>
      </c>
      <c r="BR7" s="123" t="str">
        <f>_xlfn.IFNA(IF(B6&lt;&gt;"",IF(AND(ISBLANK('1.4 Analyse &amp; Synthese'!M8),ISBLANK('1.4 Analyse &amp; Synthese'!N8),ISBLANK('1.4 Analyse &amp; Synthese'!P8)),IF('1.4 Analyse &amp; Synthese'!O8="x",1,0),""),""),"")</f>
        <v/>
      </c>
      <c r="BS7" s="123">
        <f>_xlfn.IFNA(IF(B6&lt;&gt;"",IF(AND('1.4 Analyse &amp; Synthese'!M8="X",'1.4 Analyse &amp; Synthese'!N8="X",'1.4 Analyse &amp; Synthese'!O8="X"),1,0),""),"")</f>
        <v>0</v>
      </c>
      <c r="BT7" s="123">
        <f>_xlfn.IFNA(IF(B6&lt;&gt;"",IF(AND(ISBLANK('1.4 Analyse &amp; Synthese'!M8),ISBLANK('1.4 Analyse &amp; Synthese'!N8),ISBLANK('1.4 Analyse &amp; Synthese'!O8)),1,0),""),"")</f>
        <v>0</v>
      </c>
      <c r="BU7" s="123">
        <f>_xlfn.IFNA(IF(B6&lt;&gt;"",IF(OR(AND('1.4 Analyse &amp; Synthese'!M8="X",'1.4 Analyse &amp; Synthese'!N8="X",'1.4 Analyse &amp; Synthese'!O8=""),AND('1.4 Analyse &amp; Synthese'!M8="X",'1.4 Analyse &amp; Synthese'!N8="",'1.4 Analyse &amp; Synthese'!O8="X"),AND('1.4 Analyse &amp; Synthese'!M8="",'1.4 Analyse &amp; Synthese'!N8="X",'1.4 Analyse &amp; Synthese'!O8="X")),1,0),0),"")</f>
        <v>0</v>
      </c>
      <c r="BV7" s="373" t="str">
        <f>_xlfn.IFNA(IF(B6&lt;&gt;"",IF(AND(ISBLANK('1.4 Analyse &amp; Synthese'!M8),ISBLANK('1.4 Analyse &amp; Synthese'!N8),ISBLANK('1.4 Analyse &amp; Synthese'!O8)),IF('1.4 Analyse &amp; Synthese'!P8="x",1,0),""),""),"")</f>
        <v/>
      </c>
    </row>
    <row r="8" spans="2:87" x14ac:dyDescent="0.2">
      <c r="B8" s="127">
        <f>IF('1.4 Analyse &amp; Synthese'!B10&lt;&gt;0,'1.4 Analyse &amp; Synthese'!B10,"")</f>
        <v>4</v>
      </c>
      <c r="C8" t="str">
        <f>_xlfn.IFNA(IF(B8&lt;&gt;0,VLOOKUP($B8,Tabelle3[[1]:[3]],2)),"")</f>
        <v>Allison</v>
      </c>
      <c r="D8">
        <f>_xlfn.IFNA(IF(B8&lt;&gt;0,VLOOKUP($B8,Tabelle3[[1]:[3]],3)),"")</f>
        <v>2015</v>
      </c>
      <c r="E8" t="str">
        <f>_xlfn.IFNA(IF(B8&lt;&gt;0,VLOOKUP($B8,Tabelle3[[1]:[4]],4)),"")</f>
        <v>Standardization (A)</v>
      </c>
      <c r="F8" t="str">
        <f>_xlfn.IFNA(IF(B8&lt;&gt;0,VLOOKUP($B8,Tabelle3[[1]:[5]],5)),"")</f>
        <v>Methode</v>
      </c>
      <c r="G8" s="101" t="str">
        <f>_xlfn.IFNA(IF(B8&lt;&gt;0,VLOOKUP($B8,Tabelle3[[1]:[Aggregator/Integrator]],10)),"")</f>
        <v>x</v>
      </c>
      <c r="H8" s="101">
        <f>_xlfn.IFNA(IF(B8&lt;&gt;0,VLOOKUP($B8,Tabelle3[[1]:[ITSVN Akteure]],11)),"")</f>
        <v>0</v>
      </c>
      <c r="I8" s="101" t="str">
        <f>_xlfn.IFNA(IF(B8&lt;&gt;0,VLOOKUP($B8,Tabelle3[[1]:[IaaS]],12)),"")</f>
        <v>x</v>
      </c>
      <c r="J8" s="101">
        <f>_xlfn.IFNA(IF(B8&lt;&gt;0,VLOOKUP($B8,Tabelle3[[1]:[PaaS]],13)),"")</f>
        <v>0</v>
      </c>
      <c r="K8" s="101">
        <f>_xlfn.IFNA(IF(B8&lt;&gt;0,VLOOKUP($B8,Tabelle3[[1]:[SaaS]],14)),"")</f>
        <v>0</v>
      </c>
      <c r="L8" s="101">
        <f>_xlfn.IFNA(IF(B8&lt;&gt;0,VLOOKUP($B8,Tabelle3[[1]:[DaaS]],15)),"")</f>
        <v>0</v>
      </c>
      <c r="M8" s="117">
        <f>IF(B8&lt;&gt;0,COUNTIF('1.4 Analyse &amp; Synthese'!Q10:AJ10,1))</f>
        <v>4</v>
      </c>
      <c r="N8" s="101">
        <f>IF(B8&lt;&gt;0,COUNTIF('1.4 Analyse &amp; Synthese'!Q10:AJ10,3))</f>
        <v>3</v>
      </c>
      <c r="O8" s="101">
        <f t="array" ref="O8">_xlfn.IFNA(INDEX($D$5:$D$49,MATCH(0,COUNTIF($O$4:O7,$D$5:$D$49),0),1),"")</f>
        <v>2015</v>
      </c>
      <c r="P8" s="101">
        <f t="shared" si="0"/>
        <v>2013</v>
      </c>
      <c r="Q8" s="101">
        <f t="shared" si="1"/>
        <v>8</v>
      </c>
      <c r="R8" s="128" t="str">
        <f>_xlfn.IFNA(IF(VLOOKUP(B8,Tabelle4[#All],2,FALSE)="x",VLOOKUP(B8,'1.4 Analyse &amp; Synthese'!$B$7:$G$47,6,FALSE),""),"")</f>
        <v>Kompatibilität</v>
      </c>
      <c r="S8" s="101" t="str">
        <f t="array" ref="S8">_xlfn.IFNA(INDEX($R$5:$R$49,MATCH(0,COUNTIF($S$4:S7,$R$5:$R$49),0),1),"")</f>
        <v>Portierbarkeit</v>
      </c>
      <c r="T8" s="272">
        <f t="shared" si="2"/>
        <v>6</v>
      </c>
      <c r="U8" s="9" t="str">
        <f>_xlfn.IFNA(IF(VLOOKUP(B8,Tabelle4[#All],2,FALSE)="x",VLOOKUP(B8,'1.4 Analyse &amp; Synthese'!$B$7:$I$47,8,FALSE),""),"")</f>
        <v>Infrastruktur Interpreter</v>
      </c>
      <c r="V8" s="122" t="str">
        <f t="array" ref="V8">_xlfn.IFNA(INDEX($U$5:$U$49,MATCH(0,COUNTIF($V$5:V7,$U$5:$U$49),0),1),"")</f>
        <v>Monitoring System</v>
      </c>
      <c r="W8">
        <f t="shared" si="9"/>
        <v>0</v>
      </c>
      <c r="X8">
        <f t="shared" si="10"/>
        <v>3</v>
      </c>
      <c r="Y8">
        <f t="shared" si="11"/>
        <v>0</v>
      </c>
      <c r="Z8">
        <f t="shared" si="12"/>
        <v>0</v>
      </c>
      <c r="AA8">
        <f t="shared" si="13"/>
        <v>0</v>
      </c>
      <c r="AB8" s="196">
        <f t="shared" ref="AB8:AB25" si="20">SUM(W8:AA8)</f>
        <v>3</v>
      </c>
      <c r="AD8" s="8"/>
      <c r="AE8" s="8"/>
      <c r="AF8" s="8"/>
      <c r="AG8" s="8"/>
      <c r="AH8" s="264"/>
      <c r="AI8" s="114" t="str">
        <f>_xlfn.IFNA(IF(VLOOKUP(B8,Tabelle4[#All],2,FALSE)="x",VLOOKUP(B8,Tabelle4[#All],6,FALSE),""),"")</f>
        <v>Konferenz</v>
      </c>
      <c r="AJ8" s="101" t="str">
        <f t="array" ref="AJ8">_xlfn.IFNA(INDEX($AI$5:$AI$49,MATCH(0,COUNTIF($AJ$4:AJ7,$AI$5:$AI$49),0),1),"")</f>
        <v/>
      </c>
      <c r="AK8" s="101" t="str">
        <f t="shared" si="3"/>
        <v/>
      </c>
      <c r="AL8" s="117" t="str">
        <f t="array" ref="AL8">_xlfn.IFNA(INDEX($E$5:$E$49,MATCH(0,COUNTIF($AL$4:AL7,$E$5:$E$49),0),1),"")</f>
        <v>Standardization (A)</v>
      </c>
      <c r="AM8">
        <f t="shared" si="4"/>
        <v>4</v>
      </c>
      <c r="AN8" s="9" t="s">
        <v>36</v>
      </c>
      <c r="AO8">
        <f>IF(AN8&lt;&gt;"",COUNTIFS(K:K,$AN$5,F:F,"*Empfehlung*"),"")</f>
        <v>11</v>
      </c>
      <c r="AP8">
        <f>IF(AO8&lt;&gt;"",COUNTIFS(K:K,$AN$5,E:E,"*Methode*"),"")</f>
        <v>0</v>
      </c>
      <c r="AQ8">
        <f>IF(AP8&lt;&gt;"",COUNTIFS(K:K,$AN$5,F:F,"*Werkzeug*"),"")</f>
        <v>3</v>
      </c>
      <c r="AR8" s="9">
        <f>SUM(AO8:AQ8)</f>
        <v>14</v>
      </c>
      <c r="AS8" t="str">
        <f t="shared" si="5"/>
        <v/>
      </c>
      <c r="AT8" s="365" t="str">
        <f t="array" ref="AT8">_xlfn.IFNA(INDEX($AS$5:$AS$49,MATCH(0,COUNTIF($AT$4:AT7,$AS$5:$AS$49),0),1),"")</f>
        <v>Vertragsmanagementanwendung</v>
      </c>
      <c r="AU8" s="363">
        <f>IF(AND(ISNUMBER(AT8)=FALSE,AT8&lt;&gt;""),COUNTIFS(U:U,AT8,R:R,$AT$5),"")</f>
        <v>1</v>
      </c>
      <c r="AV8" s="200" t="str">
        <f t="shared" si="6"/>
        <v>Infrastruktur Interpreter</v>
      </c>
      <c r="AW8" s="117" t="str">
        <f t="array" ref="AW8">_xlfn.IFNA(INDEX($AV$6:$AV$49,MATCH(0,COUNTIF($AW$4:AW7,$AV$6:$AV$49),0),1),"")</f>
        <v>Infrastruktur Interpreter</v>
      </c>
      <c r="AX8" s="360">
        <f t="shared" si="17"/>
        <v>1</v>
      </c>
      <c r="AY8" s="204" t="str">
        <f t="shared" si="7"/>
        <v/>
      </c>
      <c r="AZ8" s="117" t="str">
        <f t="array" ref="AZ8">_xlfn.IFNA(INDEX($AY$5:$AY$49,MATCH(0,COUNTIF($AZ$4:AZ7,$AY$5:$AY$49),0),1),"")</f>
        <v>OVF Erweiterung</v>
      </c>
      <c r="BA8" s="264">
        <f t="shared" si="18"/>
        <v>1</v>
      </c>
      <c r="BB8" s="8" t="str">
        <f t="shared" si="14"/>
        <v/>
      </c>
      <c r="BC8" s="117" t="str">
        <f t="array" ref="BC8">_xlfn.IFNA(INDEX($BB$6:$BB$49,MATCH(0,COUNTIF($BC$4:BC7,$BB$6:$BB$49),0),1),"")</f>
        <v>Rechtliche Rahmenbedingung</v>
      </c>
      <c r="BD8" s="264">
        <f t="shared" si="19"/>
        <v>1</v>
      </c>
      <c r="BE8" s="209" t="str">
        <f t="shared" si="15"/>
        <v/>
      </c>
      <c r="BF8" s="117" t="str">
        <f t="array" ref="BF8">_xlfn.IFNA(INDEX($BE$5:$BE$49,MATCH(0,COUNTIF($BF$4:BF7,$BE$5:$BE$49),0),1),"")</f>
        <v>Ressourcenverteilung</v>
      </c>
      <c r="BG8" s="360">
        <f t="shared" ref="BG8:BG49" si="21">IF(AND(ISNUMBER(BF8)=FALSE,BF8&lt;&gt;""),COUNTIFS(U:U,BF8,R:R,$BF$5),"")</f>
        <v>1</v>
      </c>
      <c r="BI8" s="101" t="str">
        <f t="array" ref="BI8">_xlfn.IFNA(INDEX($F$5:$F$49,MATCH(0,COUNTIF($BI$4:BI7,$F$5:$F$49),0),1),"")</f>
        <v>Werkzeug</v>
      </c>
      <c r="BJ8" s="206">
        <f t="shared" si="16"/>
        <v>9</v>
      </c>
      <c r="BK8" s="9"/>
      <c r="BL8" s="15"/>
      <c r="BM8" s="225"/>
      <c r="BN8" s="15"/>
      <c r="BO8" s="270"/>
      <c r="BP8" s="372">
        <f>_xlfn.IFNA(IF(B7&lt;&gt;"",IF(AND(ISBLANK('1.4 Analyse &amp; Synthese'!N9),ISBLANK('1.4 Analyse &amp; Synthese'!O9),ISBLANK('1.4 Analyse &amp; Synthese'!P9)),IF('1.4 Analyse &amp; Synthese'!M9="x",1,0),""),""),"")</f>
        <v>1</v>
      </c>
      <c r="BQ8" s="123" t="str">
        <f>_xlfn.IFNA(IF(B7&lt;&gt;"",IF(AND(ISBLANK('1.4 Analyse &amp; Synthese'!M9),ISBLANK('1.4 Analyse &amp; Synthese'!O9),ISBLANK('1.4 Analyse &amp; Synthese'!P9)),IF('1.4 Analyse &amp; Synthese'!N9="x",1,0),""),""),"")</f>
        <v/>
      </c>
      <c r="BR8" s="123" t="str">
        <f>_xlfn.IFNA(IF(B7&lt;&gt;"",IF(AND(ISBLANK('1.4 Analyse &amp; Synthese'!M9),ISBLANK('1.4 Analyse &amp; Synthese'!N9),ISBLANK('1.4 Analyse &amp; Synthese'!P9)),IF('1.4 Analyse &amp; Synthese'!O9="x",1,0),""),""),"")</f>
        <v/>
      </c>
      <c r="BS8" s="123">
        <f>_xlfn.IFNA(IF(B7&lt;&gt;"",IF(AND('1.4 Analyse &amp; Synthese'!M9="X",'1.4 Analyse &amp; Synthese'!N9="X",'1.4 Analyse &amp; Synthese'!O9="X"),1,0),""),"")</f>
        <v>0</v>
      </c>
      <c r="BT8" s="123">
        <f>_xlfn.IFNA(IF(B7&lt;&gt;"",IF(AND(ISBLANK('1.4 Analyse &amp; Synthese'!M9),ISBLANK('1.4 Analyse &amp; Synthese'!N9),ISBLANK('1.4 Analyse &amp; Synthese'!O9)),1,0),""),"")</f>
        <v>0</v>
      </c>
      <c r="BU8" s="123">
        <f>_xlfn.IFNA(IF(B7&lt;&gt;"",IF(OR(AND('1.4 Analyse &amp; Synthese'!M9="X",'1.4 Analyse &amp; Synthese'!N9="X",'1.4 Analyse &amp; Synthese'!O9=""),AND('1.4 Analyse &amp; Synthese'!M9="X",'1.4 Analyse &amp; Synthese'!N9="",'1.4 Analyse &amp; Synthese'!O9="X"),AND('1.4 Analyse &amp; Synthese'!M9="",'1.4 Analyse &amp; Synthese'!N9="X",'1.4 Analyse &amp; Synthese'!O9="X")),1,0),0),"")</f>
        <v>0</v>
      </c>
      <c r="BV8" s="373" t="str">
        <f>_xlfn.IFNA(IF(B7&lt;&gt;"",IF(AND(ISBLANK('1.4 Analyse &amp; Synthese'!M9),ISBLANK('1.4 Analyse &amp; Synthese'!N9),ISBLANK('1.4 Analyse &amp; Synthese'!O9)),IF('1.4 Analyse &amp; Synthese'!P9="x",1,0),""),""),"")</f>
        <v/>
      </c>
    </row>
    <row r="9" spans="2:87" x14ac:dyDescent="0.2">
      <c r="B9" s="127">
        <f>IF('1.4 Analyse &amp; Synthese'!B11&lt;&gt;0,'1.4 Analyse &amp; Synthese'!B11,"")</f>
        <v>5</v>
      </c>
      <c r="C9" t="str">
        <f>_xlfn.IFNA(IF(B9&lt;&gt;0,VLOOKUP($B9,Tabelle3[[1]:[3]],2)),"")</f>
        <v>Aversa</v>
      </c>
      <c r="D9">
        <f>_xlfn.IFNA(IF(B9&lt;&gt;0,VLOOKUP($B9,Tabelle3[[1]:[3]],3)),"")</f>
        <v>2013</v>
      </c>
      <c r="E9" t="str">
        <f>_xlfn.IFNA(IF(B9&lt;&gt;0,VLOOKUP($B9,Tabelle3[[1]:[4]],4)),"")</f>
        <v>SLA regulation (A)</v>
      </c>
      <c r="F9" t="str">
        <f>_xlfn.IFNA(IF(B9&lt;&gt;0,VLOOKUP($B9,Tabelle3[[1]:[5]],5)),"")</f>
        <v>Methode</v>
      </c>
      <c r="G9" s="101" t="str">
        <f>_xlfn.IFNA(IF(B9&lt;&gt;0,VLOOKUP($B9,Tabelle3[[1]:[Aggregator/Integrator]],10)),"")</f>
        <v>x</v>
      </c>
      <c r="H9" s="101">
        <f>_xlfn.IFNA(IF(B9&lt;&gt;0,VLOOKUP($B9,Tabelle3[[1]:[ITSVN Akteure]],11)),"")</f>
        <v>0</v>
      </c>
      <c r="I9" s="101" t="str">
        <f>_xlfn.IFNA(IF(B9&lt;&gt;0,VLOOKUP($B9,Tabelle3[[1]:[IaaS]],12)),"")</f>
        <v>x</v>
      </c>
      <c r="J9" s="101">
        <f>_xlfn.IFNA(IF(B9&lt;&gt;0,VLOOKUP($B9,Tabelle3[[1]:[PaaS]],13)),"")</f>
        <v>0</v>
      </c>
      <c r="K9" s="101">
        <f>_xlfn.IFNA(IF(B9&lt;&gt;0,VLOOKUP($B9,Tabelle3[[1]:[SaaS]],14)),"")</f>
        <v>0</v>
      </c>
      <c r="L9" s="101">
        <f>_xlfn.IFNA(IF(B9&lt;&gt;0,VLOOKUP($B9,Tabelle3[[1]:[DaaS]],15)),"")</f>
        <v>0</v>
      </c>
      <c r="M9" s="117">
        <f>IF(B9&lt;&gt;0,COUNTIF('1.4 Analyse &amp; Synthese'!Q11:AJ11,1))</f>
        <v>3</v>
      </c>
      <c r="N9" s="101">
        <f>IF(B9&lt;&gt;0,COUNTIF('1.4 Analyse &amp; Synthese'!Q11:AJ11,3))</f>
        <v>3</v>
      </c>
      <c r="O9" s="101">
        <f t="array" ref="O9">_xlfn.IFNA(INDEX($D$5:$D$49,MATCH(0,COUNTIF($O$4:O8,$D$5:$D$49),0),1),"")</f>
        <v>2013</v>
      </c>
      <c r="P9" s="101">
        <f t="shared" si="0"/>
        <v>2012</v>
      </c>
      <c r="Q9" s="101">
        <f t="shared" si="1"/>
        <v>4</v>
      </c>
      <c r="R9" s="128" t="str">
        <f>_xlfn.IFNA(IF(VLOOKUP(B9,Tabelle4[#All],2,FALSE)="x",VLOOKUP(B9,'1.4 Analyse &amp; Synthese'!$B$7:$G$47,6,FALSE),""),"")</f>
        <v>Kompatibilität</v>
      </c>
      <c r="S9" s="101" t="str">
        <f t="array" ref="S9">_xlfn.IFNA(INDEX($R$5:$R$49,MATCH(0,COUNTIF($S$4:S8,$R$5:$R$49),0),1),"")</f>
        <v>SLA Vereinbarung</v>
      </c>
      <c r="T9" s="272">
        <f t="shared" si="2"/>
        <v>4</v>
      </c>
      <c r="U9" s="9" t="str">
        <f>_xlfn.IFNA(IF(VLOOKUP(B9,Tabelle4[#All],2,FALSE)="x",VLOOKUP(B9,'1.4 Analyse &amp; Synthese'!$B$7:$I$47,8,FALSE),""),"")</f>
        <v>Monitoring System</v>
      </c>
      <c r="V9" s="122" t="str">
        <f t="array" ref="V9">_xlfn.IFNA(INDEX($U$5:$U$49,MATCH(0,COUNTIF($V$5:V8,$U$5:$U$49),0),1),"")</f>
        <v>Infrastruktur Interpreter</v>
      </c>
      <c r="W9">
        <f t="shared" si="9"/>
        <v>0</v>
      </c>
      <c r="X9">
        <f t="shared" si="10"/>
        <v>1</v>
      </c>
      <c r="Y9">
        <f t="shared" si="11"/>
        <v>0</v>
      </c>
      <c r="Z9">
        <f t="shared" si="12"/>
        <v>0</v>
      </c>
      <c r="AA9">
        <f t="shared" si="13"/>
        <v>0</v>
      </c>
      <c r="AB9" s="196">
        <f t="shared" si="20"/>
        <v>1</v>
      </c>
      <c r="AD9" s="8"/>
      <c r="AE9" s="8"/>
      <c r="AF9" s="8"/>
      <c r="AG9" s="8"/>
      <c r="AH9" s="264"/>
      <c r="AI9" s="114" t="str">
        <f>_xlfn.IFNA(IF(VLOOKUP(B9,Tabelle4[#All],2,FALSE)="x",VLOOKUP(B9,Tabelle4[#All],6,FALSE),""),"")</f>
        <v>Konferenz</v>
      </c>
      <c r="AJ9" s="101" t="str">
        <f t="array" ref="AJ9">_xlfn.IFNA(INDEX($AI$5:$AI$49,MATCH(0,COUNTIF($AJ$4:AJ8,$AI$5:$AI$49),0),1),"")</f>
        <v/>
      </c>
      <c r="AK9" s="101" t="str">
        <f t="shared" si="3"/>
        <v/>
      </c>
      <c r="AL9" s="117" t="str">
        <f t="array" ref="AL9">_xlfn.IFNA(INDEX($E$5:$E$49,MATCH(0,COUNTIF($AL$4:AL8,$E$5:$E$49),0),1),"")</f>
        <v>User interface (A)</v>
      </c>
      <c r="AM9">
        <f t="shared" si="4"/>
        <v>1</v>
      </c>
      <c r="AN9" s="9" t="s">
        <v>123</v>
      </c>
      <c r="AO9">
        <f>IF(AN9&lt;&gt;"",COUNTIFS($L:$L,$AN$5,$F:$F,"*Empfehlung*"),"")</f>
        <v>2</v>
      </c>
      <c r="AP9">
        <f>IF(AO9&lt;&gt;"",COUNTIFS($L:$L,$AN$5,$E:$E,"*Methode*"),"")</f>
        <v>0</v>
      </c>
      <c r="AQ9">
        <f>IF(AP9&lt;&gt;"",COUNTIFS($L:$L,$AN$5,$E:$E,"*Werkzeug*"),"")</f>
        <v>0</v>
      </c>
      <c r="AR9" s="9">
        <f>SUM(AO9:AQ9)</f>
        <v>2</v>
      </c>
      <c r="AS9" t="str">
        <f t="shared" si="5"/>
        <v/>
      </c>
      <c r="AT9" s="365" t="str">
        <f t="array" ref="AT9">_xlfn.IFNA(INDEX($AS$5:$AS$49,MATCH(0,COUNTIF($AT$4:AT8,$AS$5:$AS$49),0),1),"")</f>
        <v>Atificial Intelligence</v>
      </c>
      <c r="AU9" s="363">
        <f>IF(AND(ISNUMBER(AT9)=FALSE,AT9&lt;&gt;""),COUNTIFS(U:U,AT9,R:R,$AT$5),"")</f>
        <v>1</v>
      </c>
      <c r="AV9" s="200" t="str">
        <f t="shared" si="6"/>
        <v>Monitoring System</v>
      </c>
      <c r="AW9" s="117" t="str">
        <f t="array" ref="AW9">_xlfn.IFNA(INDEX($AV$6:$AV$49,MATCH(0,COUNTIF($AW$4:AW8,$AV$6:$AV$49),0),1),"")</f>
        <v>Virtualisierungsinfrastruktur</v>
      </c>
      <c r="AX9" s="360">
        <f t="shared" si="17"/>
        <v>1</v>
      </c>
      <c r="AY9" s="204" t="str">
        <f t="shared" si="7"/>
        <v/>
      </c>
      <c r="AZ9" s="117" t="str">
        <f t="array" ref="AZ9">_xlfn.IFNA(INDEX($AY$5:$AY$49,MATCH(0,COUNTIF($AZ$4:AZ8,$AY$5:$AY$49),0),1),"")</f>
        <v>Monitoring System</v>
      </c>
      <c r="BA9" s="264">
        <f t="shared" si="18"/>
        <v>2</v>
      </c>
      <c r="BB9" s="8" t="str">
        <f t="shared" si="14"/>
        <v/>
      </c>
      <c r="BC9" s="117" t="str">
        <f t="array" ref="BC9">_xlfn.IFNA(INDEX($BB$6:$BB$49,MATCH(0,COUNTIF($BC$4:BC8,$BB$6:$BB$49),0),1),"")</f>
        <v>SLA Management Aggregation</v>
      </c>
      <c r="BD9" s="264">
        <f t="shared" si="19"/>
        <v>2</v>
      </c>
      <c r="BE9" s="209" t="str">
        <f t="shared" si="15"/>
        <v/>
      </c>
      <c r="BF9" s="117" t="str">
        <f t="array" ref="BF9">_xlfn.IFNA(INDEX($BE$5:$BE$49,MATCH(0,COUNTIF($BF$4:BF8,$BE$5:$BE$49),0),1),"")</f>
        <v>Cultural Frames</v>
      </c>
      <c r="BG9" s="360">
        <f t="shared" si="21"/>
        <v>1</v>
      </c>
      <c r="BI9" s="101" t="str">
        <f t="array" ref="BI9">_xlfn.IFNA(INDEX($F$5:$F$49,MATCH(0,COUNTIF($BI$4:BI8,$F$5:$F$49),0),1),"")</f>
        <v/>
      </c>
      <c r="BJ9" s="206" t="str">
        <f t="shared" si="16"/>
        <v/>
      </c>
      <c r="BK9" s="9"/>
      <c r="BL9" s="15"/>
      <c r="BM9" s="225"/>
      <c r="BN9" s="15"/>
      <c r="BO9" s="270"/>
      <c r="BP9" s="372">
        <f>_xlfn.IFNA(IF(B8&lt;&gt;"",IF(AND(ISBLANK('1.4 Analyse &amp; Synthese'!N10),ISBLANK('1.4 Analyse &amp; Synthese'!O10),ISBLANK('1.4 Analyse &amp; Synthese'!P10)),IF('1.4 Analyse &amp; Synthese'!M10="x",1,0),""),""),"")</f>
        <v>1</v>
      </c>
      <c r="BQ9" s="123" t="str">
        <f>_xlfn.IFNA(IF(B8&lt;&gt;"",IF(AND(ISBLANK('1.4 Analyse &amp; Synthese'!M10),ISBLANK('1.4 Analyse &amp; Synthese'!O10),ISBLANK('1.4 Analyse &amp; Synthese'!P10)),IF('1.4 Analyse &amp; Synthese'!N10="x",1,0),""),""),"")</f>
        <v/>
      </c>
      <c r="BR9" s="123" t="str">
        <f>_xlfn.IFNA(IF(B8&lt;&gt;"",IF(AND(ISBLANK('1.4 Analyse &amp; Synthese'!M10),ISBLANK('1.4 Analyse &amp; Synthese'!N10),ISBLANK('1.4 Analyse &amp; Synthese'!P10)),IF('1.4 Analyse &amp; Synthese'!O10="x",1,0),""),""),"")</f>
        <v/>
      </c>
      <c r="BS9" s="123">
        <f>_xlfn.IFNA(IF(B8&lt;&gt;"",IF(AND('1.4 Analyse &amp; Synthese'!M10="X",'1.4 Analyse &amp; Synthese'!N10="X",'1.4 Analyse &amp; Synthese'!O10="X"),1,0),""),"")</f>
        <v>0</v>
      </c>
      <c r="BT9" s="123">
        <f>_xlfn.IFNA(IF(B8&lt;&gt;"",IF(AND(ISBLANK('1.4 Analyse &amp; Synthese'!M10),ISBLANK('1.4 Analyse &amp; Synthese'!N10),ISBLANK('1.4 Analyse &amp; Synthese'!O10)),1,0),""),"")</f>
        <v>0</v>
      </c>
      <c r="BU9" s="123">
        <f>_xlfn.IFNA(IF(B8&lt;&gt;"",IF(OR(AND('1.4 Analyse &amp; Synthese'!M10="X",'1.4 Analyse &amp; Synthese'!N10="X",'1.4 Analyse &amp; Synthese'!O10=""),AND('1.4 Analyse &amp; Synthese'!M10="X",'1.4 Analyse &amp; Synthese'!N10="",'1.4 Analyse &amp; Synthese'!O10="X"),AND('1.4 Analyse &amp; Synthese'!M10="",'1.4 Analyse &amp; Synthese'!N10="X",'1.4 Analyse &amp; Synthese'!O10="X")),1,0),0),"")</f>
        <v>0</v>
      </c>
      <c r="BV9" s="373" t="str">
        <f>_xlfn.IFNA(IF(B8&lt;&gt;"",IF(AND(ISBLANK('1.4 Analyse &amp; Synthese'!M10),ISBLANK('1.4 Analyse &amp; Synthese'!N10),ISBLANK('1.4 Analyse &amp; Synthese'!O10)),IF('1.4 Analyse &amp; Synthese'!P10="x",1,0),""),""),"")</f>
        <v/>
      </c>
    </row>
    <row r="10" spans="2:87" x14ac:dyDescent="0.2">
      <c r="B10" s="127">
        <f>IF('1.4 Analyse &amp; Synthese'!B12&lt;&gt;0,'1.4 Analyse &amp; Synthese'!B12,"")</f>
        <v>6</v>
      </c>
      <c r="C10" t="str">
        <f>_xlfn.IFNA(IF(B10&lt;&gt;0,VLOOKUP($B10,Tabelle3[[1]:[3]],2)),"")</f>
        <v xml:space="preserve">Bahrami </v>
      </c>
      <c r="D10">
        <f>_xlfn.IFNA(IF(B10&lt;&gt;0,VLOOKUP($B10,Tabelle3[[1]:[3]],3)),"")</f>
        <v>2015</v>
      </c>
      <c r="E10" t="str">
        <f>_xlfn.IFNA(IF(B10&lt;&gt;0,VLOOKUP($B10,Tabelle3[[1]:[4]],4)),"")</f>
        <v>User interface (A)</v>
      </c>
      <c r="F10" t="str">
        <f>_xlfn.IFNA(IF(B10&lt;&gt;0,VLOOKUP($B10,Tabelle3[[1]:[5]],5)),"")</f>
        <v>Empfehlung</v>
      </c>
      <c r="G10" s="101">
        <f>_xlfn.IFNA(IF(B10&lt;&gt;0,VLOOKUP($B10,Tabelle3[[1]:[Aggregator/Integrator]],10)),"")</f>
        <v>0</v>
      </c>
      <c r="H10" s="101" t="str">
        <f>_xlfn.IFNA(IF(B10&lt;&gt;0,VLOOKUP($B10,Tabelle3[[1]:[ITSVN Akteure]],11)),"")</f>
        <v>x</v>
      </c>
      <c r="I10" s="101">
        <f>_xlfn.IFNA(IF(B10&lt;&gt;0,VLOOKUP($B10,Tabelle3[[1]:[IaaS]],12)),"")</f>
        <v>0</v>
      </c>
      <c r="J10" s="101">
        <f>_xlfn.IFNA(IF(B10&lt;&gt;0,VLOOKUP($B10,Tabelle3[[1]:[PaaS]],13)),"")</f>
        <v>0</v>
      </c>
      <c r="K10" s="101" t="str">
        <f>_xlfn.IFNA(IF(B10&lt;&gt;0,VLOOKUP($B10,Tabelle3[[1]:[SaaS]],14)),"")</f>
        <v>x</v>
      </c>
      <c r="L10" s="101">
        <f>_xlfn.IFNA(IF(B10&lt;&gt;0,VLOOKUP($B10,Tabelle3[[1]:[DaaS]],15)),"")</f>
        <v>0</v>
      </c>
      <c r="M10" s="117">
        <f>IF(B10&lt;&gt;0,COUNTIF('1.4 Analyse &amp; Synthese'!Q12:AJ12,1))</f>
        <v>3</v>
      </c>
      <c r="N10" s="101">
        <f>IF(B10&lt;&gt;0,COUNTIF('1.4 Analyse &amp; Synthese'!Q12:AJ12,3))</f>
        <v>2</v>
      </c>
      <c r="O10" s="101">
        <f t="array" ref="O10">_xlfn.IFNA(INDEX($D$5:$D$49,MATCH(0,COUNTIF($O$4:O9,$D$5:$D$49),0),1),"")</f>
        <v>2009</v>
      </c>
      <c r="P10" s="101">
        <f t="shared" si="0"/>
        <v>2011</v>
      </c>
      <c r="Q10" s="101">
        <f t="shared" si="1"/>
        <v>4</v>
      </c>
      <c r="R10" s="128" t="str">
        <f>_xlfn.IFNA(IF(VLOOKUP(B10,Tabelle4[#All],2,FALSE)="x",VLOOKUP(B10,'1.4 Analyse &amp; Synthese'!$B$7:$G$47,6,FALSE),""),"")</f>
        <v>Portierbarkeit</v>
      </c>
      <c r="S10" s="101" t="str">
        <f t="array" ref="S10">_xlfn.IFNA(INDEX($R$5:$R$49,MATCH(0,COUNTIF($S$4:S9,$R$5:$R$49),0),1),"")</f>
        <v/>
      </c>
      <c r="T10" s="101" t="str">
        <f t="shared" si="2"/>
        <v/>
      </c>
      <c r="U10" s="9" t="str">
        <f>_xlfn.IFNA(IF(VLOOKUP(B10,Tabelle4[#All],2,FALSE)="x",VLOOKUP(B10,'1.4 Analyse &amp; Synthese'!$B$7:$I$47,8,FALSE),""),"")</f>
        <v>Open-Source Plattform</v>
      </c>
      <c r="V10" s="122" t="str">
        <f t="array" ref="V10">_xlfn.IFNA(INDEX($U$5:$U$49,MATCH(0,COUNTIF($V$5:V9,$U$5:$U$49),0),1),"")</f>
        <v>Open-Source Plattform</v>
      </c>
      <c r="W10">
        <f t="shared" si="9"/>
        <v>0</v>
      </c>
      <c r="X10">
        <f t="shared" si="10"/>
        <v>6</v>
      </c>
      <c r="Y10">
        <f t="shared" si="11"/>
        <v>0</v>
      </c>
      <c r="Z10">
        <f t="shared" si="12"/>
        <v>0</v>
      </c>
      <c r="AA10">
        <f t="shared" si="13"/>
        <v>0</v>
      </c>
      <c r="AB10" s="196">
        <f t="shared" si="20"/>
        <v>6</v>
      </c>
      <c r="AD10" s="8"/>
      <c r="AE10" s="8"/>
      <c r="AF10" s="8"/>
      <c r="AG10" s="8"/>
      <c r="AH10" s="264"/>
      <c r="AI10" s="114" t="str">
        <f>_xlfn.IFNA(IF(VLOOKUP(B10,Tabelle4[#All],2,FALSE)="x",VLOOKUP(B10,Tabelle4[#All],6,FALSE),""),"")</f>
        <v>Konferenz</v>
      </c>
      <c r="AJ10" s="101" t="str">
        <f t="array" ref="AJ10">_xlfn.IFNA(INDEX($AI$5:$AI$49,MATCH(0,COUNTIF($AJ$4:AJ9,$AI$5:$AI$49),0),1),"")</f>
        <v/>
      </c>
      <c r="AK10" s="101" t="str">
        <f t="shared" si="3"/>
        <v/>
      </c>
      <c r="AL10" s="117" t="str">
        <f t="array" ref="AL10">_xlfn.IFNA(INDEX($E$5:$E$49,MATCH(0,COUNTIF($AL$4:AL9,$E$5:$E$49),0),1),"")</f>
        <v>Data integrity (I)</v>
      </c>
      <c r="AM10">
        <f t="shared" si="4"/>
        <v>2</v>
      </c>
      <c r="AN10" s="10"/>
      <c r="AO10" s="118"/>
      <c r="AP10" s="118"/>
      <c r="AQ10" s="118"/>
      <c r="AR10" s="10"/>
      <c r="AS10" t="str">
        <f t="shared" si="5"/>
        <v/>
      </c>
      <c r="AT10" s="365" t="str">
        <f t="array" ref="AT10">_xlfn.IFNA(INDEX($AS$5:$AS$49,MATCH(0,COUNTIF($AT$4:AT9,$AS$5:$AS$49),0),1),"")</f>
        <v>Einheitl. Servicebeschreibung</v>
      </c>
      <c r="AU10" s="363">
        <f>IF(AND(ISNUMBER(AT10)=FALSE,AT10&lt;&gt;""),COUNTIFS(U:U,AT10,R:R,$AT$5),"")</f>
        <v>2</v>
      </c>
      <c r="AV10" s="200" t="str">
        <f t="shared" si="6"/>
        <v/>
      </c>
      <c r="AW10" s="117" t="str">
        <f t="array" ref="AW10">_xlfn.IFNA(INDEX($AV$6:$AV$49,MATCH(0,COUNTIF($AW$4:AW9,$AV$6:$AV$49),0),1),"")</f>
        <v>Cloud Service Komposition</v>
      </c>
      <c r="AX10" s="360">
        <f t="shared" si="17"/>
        <v>2</v>
      </c>
      <c r="AY10" s="204" t="str">
        <f t="shared" si="7"/>
        <v>Open-Source Plattform</v>
      </c>
      <c r="AZ10" s="117" t="str">
        <f t="array" ref="AZ10">_xlfn.IFNA(INDEX($AY$5:$AY$49,MATCH(0,COUNTIF($AZ$4:AZ9,$AY$5:$AY$49),0),1),"")</f>
        <v>Meta Cloud API</v>
      </c>
      <c r="BA10" s="264">
        <f t="shared" si="18"/>
        <v>1</v>
      </c>
      <c r="BB10" s="8" t="str">
        <f t="shared" si="14"/>
        <v/>
      </c>
      <c r="BC10" s="101" t="str">
        <f t="array" ref="BC10">_xlfn.IFNA(INDEX($BB$6:$BB$49,MATCH(0,COUNTIF($BC$4:BC9,$BB$6:$BB$49),0),1),"")</f>
        <v/>
      </c>
      <c r="BD10" t="str">
        <f t="shared" si="19"/>
        <v/>
      </c>
      <c r="BE10" s="209" t="str">
        <f t="shared" si="15"/>
        <v/>
      </c>
      <c r="BF10" s="101" t="str">
        <f t="array" ref="BF10">_xlfn.IFNA(INDEX($BE$5:$BE$49,MATCH(0,COUNTIF($BF$4:BF9,$BE$5:$BE$49),0),1),"")</f>
        <v/>
      </c>
      <c r="BG10" s="201" t="str">
        <f t="shared" si="21"/>
        <v/>
      </c>
      <c r="BI10" s="101" t="str">
        <f t="array" ref="BI10">_xlfn.IFNA(INDEX($F$5:$F$49,MATCH(0,COUNTIF($BI$4:BI9,$F$5:$F$49),0),1),"")</f>
        <v/>
      </c>
      <c r="BJ10" s="206" t="str">
        <f t="shared" si="16"/>
        <v/>
      </c>
      <c r="BK10" s="9"/>
      <c r="BL10" s="15"/>
      <c r="BM10" s="225"/>
      <c r="BN10" s="15"/>
      <c r="BO10" s="270"/>
      <c r="BP10" s="372">
        <f>_xlfn.IFNA(IF(B9&lt;&gt;"",IF(AND(ISBLANK('1.4 Analyse &amp; Synthese'!N11),ISBLANK('1.4 Analyse &amp; Synthese'!O11),ISBLANK('1.4 Analyse &amp; Synthese'!P11)),IF('1.4 Analyse &amp; Synthese'!M11="x",1,0),""),""),"")</f>
        <v>1</v>
      </c>
      <c r="BQ10" s="123" t="str">
        <f>_xlfn.IFNA(IF(B9&lt;&gt;"",IF(AND(ISBLANK('1.4 Analyse &amp; Synthese'!M11),ISBLANK('1.4 Analyse &amp; Synthese'!O11),ISBLANK('1.4 Analyse &amp; Synthese'!P11)),IF('1.4 Analyse &amp; Synthese'!N11="x",1,0),""),""),"")</f>
        <v/>
      </c>
      <c r="BR10" s="123" t="str">
        <f>_xlfn.IFNA(IF(B9&lt;&gt;"",IF(AND(ISBLANK('1.4 Analyse &amp; Synthese'!M11),ISBLANK('1.4 Analyse &amp; Synthese'!N11),ISBLANK('1.4 Analyse &amp; Synthese'!P11)),IF('1.4 Analyse &amp; Synthese'!O11="x",1,0),""),""),"")</f>
        <v/>
      </c>
      <c r="BS10" s="123">
        <f>_xlfn.IFNA(IF(B9&lt;&gt;"",IF(AND('1.4 Analyse &amp; Synthese'!M11="X",'1.4 Analyse &amp; Synthese'!N11="X",'1.4 Analyse &amp; Synthese'!O11="X"),1,0),""),"")</f>
        <v>0</v>
      </c>
      <c r="BT10" s="123">
        <f>_xlfn.IFNA(IF(B9&lt;&gt;"",IF(AND(ISBLANK('1.4 Analyse &amp; Synthese'!M11),ISBLANK('1.4 Analyse &amp; Synthese'!N11),ISBLANK('1.4 Analyse &amp; Synthese'!O11)),1,0),""),"")</f>
        <v>0</v>
      </c>
      <c r="BU10" s="123">
        <f>_xlfn.IFNA(IF(B9&lt;&gt;"",IF(OR(AND('1.4 Analyse &amp; Synthese'!M11="X",'1.4 Analyse &amp; Synthese'!N11="X",'1.4 Analyse &amp; Synthese'!O11=""),AND('1.4 Analyse &amp; Synthese'!M11="X",'1.4 Analyse &amp; Synthese'!N11="",'1.4 Analyse &amp; Synthese'!O11="X"),AND('1.4 Analyse &amp; Synthese'!M11="",'1.4 Analyse &amp; Synthese'!N11="X",'1.4 Analyse &amp; Synthese'!O11="X")),1,0),0),"")</f>
        <v>0</v>
      </c>
      <c r="BV10" s="373" t="str">
        <f>_xlfn.IFNA(IF(B9&lt;&gt;"",IF(AND(ISBLANK('1.4 Analyse &amp; Synthese'!M11),ISBLANK('1.4 Analyse &amp; Synthese'!N11),ISBLANK('1.4 Analyse &amp; Synthese'!O11)),IF('1.4 Analyse &amp; Synthese'!P11="x",1,0),""),""),"")</f>
        <v/>
      </c>
    </row>
    <row r="11" spans="2:87" x14ac:dyDescent="0.2">
      <c r="B11" s="127">
        <f>IF('1.4 Analyse &amp; Synthese'!B13&lt;&gt;0,'1.4 Analyse &amp; Synthese'!B13,"")</f>
        <v>7</v>
      </c>
      <c r="C11" t="str">
        <f>_xlfn.IFNA(IF(B11&lt;&gt;0,VLOOKUP($B11,Tabelle3[[1]:[3]],2)),"")</f>
        <v xml:space="preserve">Bennani </v>
      </c>
      <c r="D11">
        <f>_xlfn.IFNA(IF(B11&lt;&gt;0,VLOOKUP($B11,Tabelle3[[1]:[3]],3)),"")</f>
        <v>2015</v>
      </c>
      <c r="E11" t="str">
        <f>_xlfn.IFNA(IF(B11&lt;&gt;0,VLOOKUP($B11,Tabelle3[[1]:[4]],4)),"")</f>
        <v>Data integrity (I)</v>
      </c>
      <c r="F11" t="str">
        <f>_xlfn.IFNA(IF(B11&lt;&gt;0,VLOOKUP($B11,Tabelle3[[1]:[5]],5)),"")</f>
        <v>Empfehlung</v>
      </c>
      <c r="G11" s="101">
        <f>_xlfn.IFNA(IF(B11&lt;&gt;0,VLOOKUP($B11,Tabelle3[[1]:[Aggregator/Integrator]],10)),"")</f>
        <v>0</v>
      </c>
      <c r="H11" s="101" t="str">
        <f>_xlfn.IFNA(IF(B11&lt;&gt;0,VLOOKUP($B11,Tabelle3[[1]:[ITSVN Akteure]],11)),"")</f>
        <v>x</v>
      </c>
      <c r="I11" s="101">
        <f>_xlfn.IFNA(IF(B11&lt;&gt;0,VLOOKUP($B11,Tabelle3[[1]:[IaaS]],12)),"")</f>
        <v>0</v>
      </c>
      <c r="J11" s="101">
        <f>_xlfn.IFNA(IF(B11&lt;&gt;0,VLOOKUP($B11,Tabelle3[[1]:[PaaS]],13)),"")</f>
        <v>0</v>
      </c>
      <c r="K11" s="101">
        <f>_xlfn.IFNA(IF(B11&lt;&gt;0,VLOOKUP($B11,Tabelle3[[1]:[SaaS]],14)),"")</f>
        <v>0</v>
      </c>
      <c r="L11" s="101" t="str">
        <f>_xlfn.IFNA(IF(B11&lt;&gt;0,VLOOKUP($B11,Tabelle3[[1]:[DaaS]],15)),"")</f>
        <v>x</v>
      </c>
      <c r="M11" s="117">
        <f>IF(B11&lt;&gt;0,COUNTIF('1.4 Analyse &amp; Synthese'!Q13:AJ13,1))</f>
        <v>4</v>
      </c>
      <c r="N11" s="101">
        <f>IF(B11&lt;&gt;0,COUNTIF('1.4 Analyse &amp; Synthese'!Q13:AJ13,3))</f>
        <v>1</v>
      </c>
      <c r="O11" s="101">
        <f t="array" ref="O11">_xlfn.IFNA(INDEX($D$5:$D$49,MATCH(0,COUNTIF($O$4:O10,$D$5:$D$49),0),1),"")</f>
        <v>2010</v>
      </c>
      <c r="P11" s="101">
        <f t="shared" si="0"/>
        <v>2010</v>
      </c>
      <c r="Q11" s="101">
        <f t="shared" si="1"/>
        <v>1</v>
      </c>
      <c r="R11" s="128" t="str">
        <f>_xlfn.IFNA(IF(VLOOKUP(B11,Tabelle4[#All],2,FALSE)="x",VLOOKUP(B11,'1.4 Analyse &amp; Synthese'!$B$7:$G$47,6,FALSE),""),"")</f>
        <v>SLA Vereinbarung</v>
      </c>
      <c r="S11" s="101" t="str">
        <f t="array" ref="S11">_xlfn.IFNA(INDEX($R$5:$R$49,MATCH(0,COUNTIF($S$4:S10,$R$5:$R$49),0),1),"")</f>
        <v/>
      </c>
      <c r="T11" s="101" t="str">
        <f t="shared" si="2"/>
        <v/>
      </c>
      <c r="U11" s="9" t="str">
        <f>_xlfn.IFNA(IF(VLOOKUP(B11,Tabelle4[#All],2,FALSE)="x",VLOOKUP(B11,'1.4 Analyse &amp; Synthese'!$B$7:$I$47,8,FALSE),""),"")</f>
        <v>Datenintegration</v>
      </c>
      <c r="V11" s="122" t="str">
        <f t="array" ref="V11">_xlfn.IFNA(INDEX($U$5:$U$49,MATCH(0,COUNTIF($V$5:V10,$U$5:$U$49),0),1),"")</f>
        <v>Datenintegration</v>
      </c>
      <c r="W11">
        <f t="shared" si="9"/>
        <v>0</v>
      </c>
      <c r="X11">
        <f t="shared" si="10"/>
        <v>2</v>
      </c>
      <c r="Y11">
        <f t="shared" si="11"/>
        <v>1</v>
      </c>
      <c r="Z11">
        <f t="shared" si="12"/>
        <v>0</v>
      </c>
      <c r="AA11">
        <f t="shared" si="13"/>
        <v>0</v>
      </c>
      <c r="AB11" s="196">
        <f t="shared" si="20"/>
        <v>3</v>
      </c>
      <c r="AD11" s="8"/>
      <c r="AE11" s="8"/>
      <c r="AF11" s="8"/>
      <c r="AG11" s="8"/>
      <c r="AH11" s="264"/>
      <c r="AI11" s="114" t="str">
        <f>_xlfn.IFNA(IF(VLOOKUP(B11,Tabelle4[#All],2,FALSE)="x",VLOOKUP(B11,Tabelle4[#All],6,FALSE),""),"")</f>
        <v>Konferenz</v>
      </c>
      <c r="AJ11" s="101" t="str">
        <f t="array" ref="AJ11">_xlfn.IFNA(INDEX($AI$5:$AI$49,MATCH(0,COUNTIF($AJ$4:AJ10,$AI$5:$AI$49),0),1),"")</f>
        <v/>
      </c>
      <c r="AK11" s="101" t="str">
        <f t="shared" si="3"/>
        <v/>
      </c>
      <c r="AL11" s="117" t="str">
        <f t="array" ref="AL11">_xlfn.IFNA(INDEX($E$5:$E$49,MATCH(0,COUNTIF($AL$4:AL10,$E$5:$E$49),0),1),"")</f>
        <v>HelpRequirements (A)</v>
      </c>
      <c r="AM11">
        <f t="shared" si="4"/>
        <v>1</v>
      </c>
      <c r="AN11" s="9"/>
      <c r="AS11" t="str">
        <f t="shared" si="5"/>
        <v/>
      </c>
      <c r="AT11" s="198" t="str">
        <f t="array" ref="AT11">_xlfn.IFNA(INDEX($AS$5:$AS$49,MATCH(0,COUNTIF($AT$4:AT10,$AS$5:$AS$49),0),1),"")</f>
        <v/>
      </c>
      <c r="AU11" s="202"/>
      <c r="AV11" s="200" t="str">
        <f t="shared" si="6"/>
        <v/>
      </c>
      <c r="AW11" s="117" t="str">
        <f t="array" ref="AW11">_xlfn.IFNA(INDEX($AV$6:$AV$49,MATCH(0,COUNTIF($AW$4:AW10,$AV$6:$AV$49),0),1),"")</f>
        <v>Application Programming Interface</v>
      </c>
      <c r="AX11" s="360">
        <f t="shared" si="17"/>
        <v>3</v>
      </c>
      <c r="AY11" s="204" t="str">
        <f t="shared" si="7"/>
        <v/>
      </c>
      <c r="AZ11" s="117" t="str">
        <f t="array" ref="AZ11">_xlfn.IFNA(INDEX($AY$5:$AY$49,MATCH(0,COUNTIF($AZ$4:AZ10,$AY$5:$AY$49),0),1),"")</f>
        <v>Datenintegration</v>
      </c>
      <c r="BA11" s="264">
        <f t="shared" si="18"/>
        <v>1</v>
      </c>
      <c r="BB11" s="8" t="str">
        <f t="shared" si="14"/>
        <v>Datenintegration</v>
      </c>
      <c r="BC11" s="101" t="str">
        <f t="array" ref="BC11">_xlfn.IFNA(INDEX($BB$6:$BB$49,MATCH(0,COUNTIF($BC$4:BC10,$BB$6:$BB$49),0),1),"")</f>
        <v/>
      </c>
      <c r="BD11" t="str">
        <f t="shared" si="19"/>
        <v/>
      </c>
      <c r="BE11" s="209" t="str">
        <f t="shared" si="15"/>
        <v/>
      </c>
      <c r="BF11" s="101" t="str">
        <f t="array" ref="BF11">_xlfn.IFNA(INDEX($BE$5:$BE$49,MATCH(0,COUNTIF($BF$4:BF10,$BE$5:$BE$49),0),1),"")</f>
        <v/>
      </c>
      <c r="BG11" s="201" t="str">
        <f t="shared" si="21"/>
        <v/>
      </c>
      <c r="BI11" s="101" t="str">
        <f t="array" ref="BI11">_xlfn.IFNA(INDEX($F$5:$F$49,MATCH(0,COUNTIF($BI$4:BI10,$F$5:$F$49),0),1),"")</f>
        <v/>
      </c>
      <c r="BJ11" s="206" t="str">
        <f t="shared" si="16"/>
        <v/>
      </c>
      <c r="BK11" s="9"/>
      <c r="BL11" s="15"/>
      <c r="BM11" s="225"/>
      <c r="BN11" s="15"/>
      <c r="BO11" s="270"/>
      <c r="BP11" s="372" t="str">
        <f>_xlfn.IFNA(IF(B10&lt;&gt;"",IF(AND(ISBLANK('1.4 Analyse &amp; Synthese'!N12),ISBLANK('1.4 Analyse &amp; Synthese'!O12),ISBLANK('1.4 Analyse &amp; Synthese'!P12)),IF('1.4 Analyse &amp; Synthese'!M12="x",1,0),""),""),"")</f>
        <v/>
      </c>
      <c r="BQ11" s="123" t="str">
        <f>_xlfn.IFNA(IF(B10&lt;&gt;"",IF(AND(ISBLANK('1.4 Analyse &amp; Synthese'!M12),ISBLANK('1.4 Analyse &amp; Synthese'!O12),ISBLANK('1.4 Analyse &amp; Synthese'!P12)),IF('1.4 Analyse &amp; Synthese'!N12="x",1,0),""),""),"")</f>
        <v/>
      </c>
      <c r="BR11" s="123">
        <f>_xlfn.IFNA(IF(B10&lt;&gt;"",IF(AND(ISBLANK('1.4 Analyse &amp; Synthese'!M12),ISBLANK('1.4 Analyse &amp; Synthese'!N12),ISBLANK('1.4 Analyse &amp; Synthese'!P12)),IF('1.4 Analyse &amp; Synthese'!O12="x",1,0),""),""),"")</f>
        <v>1</v>
      </c>
      <c r="BS11" s="123">
        <f>_xlfn.IFNA(IF(B10&lt;&gt;"",IF(AND('1.4 Analyse &amp; Synthese'!M12="X",'1.4 Analyse &amp; Synthese'!N12="X",'1.4 Analyse &amp; Synthese'!O12="X"),1,0),""),"")</f>
        <v>0</v>
      </c>
      <c r="BT11" s="123">
        <f>_xlfn.IFNA(IF(B10&lt;&gt;"",IF(AND(ISBLANK('1.4 Analyse &amp; Synthese'!M12),ISBLANK('1.4 Analyse &amp; Synthese'!N12),ISBLANK('1.4 Analyse &amp; Synthese'!O12)),1,0),""),"")</f>
        <v>0</v>
      </c>
      <c r="BU11" s="123">
        <f>_xlfn.IFNA(IF(B10&lt;&gt;"",IF(OR(AND('1.4 Analyse &amp; Synthese'!M12="X",'1.4 Analyse &amp; Synthese'!N12="X",'1.4 Analyse &amp; Synthese'!O12=""),AND('1.4 Analyse &amp; Synthese'!M12="X",'1.4 Analyse &amp; Synthese'!N12="",'1.4 Analyse &amp; Synthese'!O12="X"),AND('1.4 Analyse &amp; Synthese'!M12="",'1.4 Analyse &amp; Synthese'!N12="X",'1.4 Analyse &amp; Synthese'!O12="X")),1,0),0),"")</f>
        <v>0</v>
      </c>
      <c r="BV11" s="373" t="str">
        <f>_xlfn.IFNA(IF(B10&lt;&gt;"",IF(AND(ISBLANK('1.4 Analyse &amp; Synthese'!M12),ISBLANK('1.4 Analyse &amp; Synthese'!N12),ISBLANK('1.4 Analyse &amp; Synthese'!O12)),IF('1.4 Analyse &amp; Synthese'!P12="x",1,0),""),""),"")</f>
        <v/>
      </c>
    </row>
    <row r="12" spans="2:87" x14ac:dyDescent="0.2">
      <c r="B12" s="127">
        <f>IF('1.4 Analyse &amp; Synthese'!B14&lt;&gt;0,'1.4 Analyse &amp; Synthese'!B14,"")</f>
        <v>8</v>
      </c>
      <c r="C12" t="str">
        <f>_xlfn.IFNA(IF(B12&lt;&gt;0,VLOOKUP($B12,Tabelle3[[1]:[3]],2)),"")</f>
        <v>Bochicchio</v>
      </c>
      <c r="D12">
        <f>_xlfn.IFNA(IF(B12&lt;&gt;0,VLOOKUP($B12,Tabelle3[[1]:[3]],3)),"")</f>
        <v>2011</v>
      </c>
      <c r="E12" t="str">
        <f>_xlfn.IFNA(IF(B12&lt;&gt;0,VLOOKUP($B12,Tabelle3[[1]:[4]],4)),"")</f>
        <v>HelpRequirements (A)</v>
      </c>
      <c r="F12" t="str">
        <f>_xlfn.IFNA(IF(B12&lt;&gt;0,VLOOKUP($B12,Tabelle3[[1]:[5]],5)),"")</f>
        <v>Empfehlung</v>
      </c>
      <c r="G12" s="101" t="str">
        <f>_xlfn.IFNA(IF(B12&lt;&gt;0,VLOOKUP($B12,Tabelle3[[1]:[Aggregator/Integrator]],10)),"")</f>
        <v>x</v>
      </c>
      <c r="H12" s="101">
        <f>_xlfn.IFNA(IF(B12&lt;&gt;0,VLOOKUP($B12,Tabelle3[[1]:[ITSVN Akteure]],11)),"")</f>
        <v>0</v>
      </c>
      <c r="I12" s="101" t="str">
        <f>_xlfn.IFNA(IF(B12&lt;&gt;0,VLOOKUP($B12,Tabelle3[[1]:[IaaS]],12)),"")</f>
        <v>x</v>
      </c>
      <c r="J12" s="101" t="str">
        <f>_xlfn.IFNA(IF(B12&lt;&gt;0,VLOOKUP($B12,Tabelle3[[1]:[PaaS]],13)),"")</f>
        <v>x</v>
      </c>
      <c r="K12" s="101" t="str">
        <f>_xlfn.IFNA(IF(B12&lt;&gt;0,VLOOKUP($B12,Tabelle3[[1]:[SaaS]],14)),"")</f>
        <v>x</v>
      </c>
      <c r="L12" s="101">
        <f>_xlfn.IFNA(IF(B12&lt;&gt;0,VLOOKUP($B12,Tabelle3[[1]:[DaaS]],15)),"")</f>
        <v>0</v>
      </c>
      <c r="M12" s="117">
        <f>IF(B12&lt;&gt;0,COUNTIF('1.4 Analyse &amp; Synthese'!Q14:AJ14,1))</f>
        <v>5</v>
      </c>
      <c r="N12" s="101">
        <f>IF(B12&lt;&gt;0,COUNTIF('1.4 Analyse &amp; Synthese'!Q14:AJ14,3))</f>
        <v>1</v>
      </c>
      <c r="O12" s="101">
        <f t="array" ref="O12">_xlfn.IFNA(INDEX($D$5:$D$49,MATCH(0,COUNTIF($O$4:O11,$D$5:$D$49),0),1),"")</f>
        <v>2016</v>
      </c>
      <c r="P12" s="101">
        <f t="shared" si="0"/>
        <v>2009</v>
      </c>
      <c r="Q12" s="101">
        <f t="shared" si="1"/>
        <v>2</v>
      </c>
      <c r="R12" s="128" t="str">
        <f>_xlfn.IFNA(IF(VLOOKUP(B12,Tabelle4[#All],2,FALSE)="x",VLOOKUP(B12,'1.4 Analyse &amp; Synthese'!$B$7:$G$47,6,FALSE),""),"")</f>
        <v>Anbieter- &amp; Serviceauswahl</v>
      </c>
      <c r="S12" s="101" t="str">
        <f t="array" ref="S12">_xlfn.IFNA(INDEX($R$5:$R$49,MATCH(0,COUNTIF($S$4:S11,$R$5:$R$49),0),1),"")</f>
        <v/>
      </c>
      <c r="T12" s="101" t="str">
        <f t="shared" si="2"/>
        <v/>
      </c>
      <c r="U12" s="9" t="str">
        <f>_xlfn.IFNA(IF(VLOOKUP(B12,Tabelle4[#All],2,FALSE)="x",VLOOKUP(B12,'1.4 Analyse &amp; Synthese'!$B$7:$I$47,8,FALSE),""),"")</f>
        <v>Vertragsmanagementanwendung</v>
      </c>
      <c r="V12" s="122" t="str">
        <f t="array" ref="V12">_xlfn.IFNA(INDEX($U$5:$U$49,MATCH(0,COUNTIF($V$5:V11,$U$5:$U$49),0),1),"")</f>
        <v>Vertragsmanagementanwendung</v>
      </c>
      <c r="W12">
        <f t="shared" si="9"/>
        <v>0</v>
      </c>
      <c r="X12">
        <f t="shared" si="10"/>
        <v>0</v>
      </c>
      <c r="Y12">
        <f t="shared" si="11"/>
        <v>0</v>
      </c>
      <c r="Z12">
        <f t="shared" si="12"/>
        <v>1</v>
      </c>
      <c r="AA12">
        <f t="shared" si="13"/>
        <v>0</v>
      </c>
      <c r="AB12" s="196">
        <f t="shared" si="20"/>
        <v>1</v>
      </c>
      <c r="AD12" s="8"/>
      <c r="AE12" s="8"/>
      <c r="AF12" s="8"/>
      <c r="AG12" s="8"/>
      <c r="AH12" s="264"/>
      <c r="AI12" s="114" t="str">
        <f>_xlfn.IFNA(IF(VLOOKUP(B12,Tabelle4[#All],2,FALSE)="x",VLOOKUP(B12,Tabelle4[#All],6,FALSE),""),"")</f>
        <v>Konferenz</v>
      </c>
      <c r="AJ12" s="101" t="str">
        <f t="array" ref="AJ12">_xlfn.IFNA(INDEX($AI$5:$AI$49,MATCH(0,COUNTIF($AJ$4:AJ11,$AI$5:$AI$49),0),1),"")</f>
        <v/>
      </c>
      <c r="AK12" s="101" t="str">
        <f t="shared" si="3"/>
        <v/>
      </c>
      <c r="AL12" s="117" t="str">
        <f t="array" ref="AL12">_xlfn.IFNA(INDEX($E$5:$E$49,MATCH(0,COUNTIF($AL$4:AL11,$E$5:$E$49),0),1),"")</f>
        <v>Ecosystem (A)</v>
      </c>
      <c r="AM12">
        <f t="shared" si="4"/>
        <v>4</v>
      </c>
      <c r="AN12" s="9"/>
      <c r="AS12" t="str">
        <f t="shared" si="5"/>
        <v>Vertragsmanagementanwendung</v>
      </c>
      <c r="AT12" s="198" t="str">
        <f t="array" ref="AT12">_xlfn.IFNA(INDEX($AS$5:$AS$49,MATCH(0,COUNTIF($AT$4:AT11,$AS$5:$AS$49),0),1),"")</f>
        <v/>
      </c>
      <c r="AU12" s="202"/>
      <c r="AV12" s="200" t="str">
        <f t="shared" si="6"/>
        <v/>
      </c>
      <c r="AW12" s="117" t="str">
        <f t="array" ref="AW12">_xlfn.IFNA(INDEX($AV$6:$AV$49,MATCH(0,COUNTIF($AW$4:AW11,$AV$6:$AV$49),0),1),"")</f>
        <v>Open-Source Plattform</v>
      </c>
      <c r="AX12" s="360">
        <f t="shared" si="17"/>
        <v>6</v>
      </c>
      <c r="AY12" s="204" t="str">
        <f t="shared" si="7"/>
        <v/>
      </c>
      <c r="AZ12" s="101" t="str">
        <f t="array" ref="AZ12">_xlfn.IFNA(INDEX($AY$5:$AY$49,MATCH(0,COUNTIF($AZ$4:AZ11,$AY$5:$AY$49),0),1),"")</f>
        <v/>
      </c>
      <c r="BA12" t="str">
        <f t="shared" si="18"/>
        <v/>
      </c>
      <c r="BB12" s="8" t="str">
        <f t="shared" si="14"/>
        <v/>
      </c>
      <c r="BC12" s="101" t="str">
        <f t="array" ref="BC12">_xlfn.IFNA(INDEX($BB$6:$BB$49,MATCH(0,COUNTIF($BC$4:BC11,$BB$6:$BB$49),0),1),"")</f>
        <v/>
      </c>
      <c r="BD12" t="str">
        <f t="shared" si="19"/>
        <v/>
      </c>
      <c r="BE12" s="209" t="str">
        <f t="shared" si="15"/>
        <v/>
      </c>
      <c r="BF12" s="101" t="str">
        <f t="array" ref="BF12">_xlfn.IFNA(INDEX($BE$5:$BE$49,MATCH(0,COUNTIF($BF$4:BF11,$BE$5:$BE$49),0),1),"")</f>
        <v/>
      </c>
      <c r="BG12" s="201" t="str">
        <f t="shared" si="21"/>
        <v/>
      </c>
      <c r="BI12" s="101" t="str">
        <f t="array" ref="BI12">_xlfn.IFNA(INDEX($F$5:$F$49,MATCH(0,COUNTIF($BI$4:BI11,$F$5:$F$49),0),1),"")</f>
        <v/>
      </c>
      <c r="BJ12" s="206" t="str">
        <f t="shared" si="16"/>
        <v/>
      </c>
      <c r="BK12" s="9"/>
      <c r="BL12" s="15"/>
      <c r="BM12" s="225"/>
      <c r="BN12" s="15"/>
      <c r="BO12" s="270"/>
      <c r="BP12" s="372" t="str">
        <f>_xlfn.IFNA(IF(B11&lt;&gt;"",IF(AND(ISBLANK('1.4 Analyse &amp; Synthese'!N13),ISBLANK('1.4 Analyse &amp; Synthese'!O13),ISBLANK('1.4 Analyse &amp; Synthese'!P13)),IF('1.4 Analyse &amp; Synthese'!M13="x",1,0),""),""),"")</f>
        <v/>
      </c>
      <c r="BQ12" s="123" t="str">
        <f>_xlfn.IFNA(IF(B11&lt;&gt;"",IF(AND(ISBLANK('1.4 Analyse &amp; Synthese'!M13),ISBLANK('1.4 Analyse &amp; Synthese'!O13),ISBLANK('1.4 Analyse &amp; Synthese'!P13)),IF('1.4 Analyse &amp; Synthese'!N13="x",1,0),""),""),"")</f>
        <v/>
      </c>
      <c r="BR12" s="123" t="str">
        <f>_xlfn.IFNA(IF(B11&lt;&gt;"",IF(AND(ISBLANK('1.4 Analyse &amp; Synthese'!M13),ISBLANK('1.4 Analyse &amp; Synthese'!N13),ISBLANK('1.4 Analyse &amp; Synthese'!P13)),IF('1.4 Analyse &amp; Synthese'!O13="x",1,0),""),""),"")</f>
        <v/>
      </c>
      <c r="BS12" s="123">
        <f>_xlfn.IFNA(IF(B11&lt;&gt;"",IF(AND('1.4 Analyse &amp; Synthese'!M13="X",'1.4 Analyse &amp; Synthese'!N13="X",'1.4 Analyse &amp; Synthese'!O13="X"),1,0),""),"")</f>
        <v>0</v>
      </c>
      <c r="BT12" s="123">
        <f>_xlfn.IFNA(IF(B11&lt;&gt;"",IF(AND(ISBLANK('1.4 Analyse &amp; Synthese'!M13),ISBLANK('1.4 Analyse &amp; Synthese'!N13),ISBLANK('1.4 Analyse &amp; Synthese'!O13)),1,0),""),"")</f>
        <v>1</v>
      </c>
      <c r="BU12" s="123">
        <f>_xlfn.IFNA(IF(B11&lt;&gt;"",IF(OR(AND('1.4 Analyse &amp; Synthese'!M13="X",'1.4 Analyse &amp; Synthese'!N13="X",'1.4 Analyse &amp; Synthese'!O13=""),AND('1.4 Analyse &amp; Synthese'!M13="X",'1.4 Analyse &amp; Synthese'!N13="",'1.4 Analyse &amp; Synthese'!O13="X"),AND('1.4 Analyse &amp; Synthese'!M13="",'1.4 Analyse &amp; Synthese'!N13="X",'1.4 Analyse &amp; Synthese'!O13="X")),1,0),0),"")</f>
        <v>0</v>
      </c>
      <c r="BV12" s="373">
        <f>_xlfn.IFNA(IF(B11&lt;&gt;"",IF(AND(ISBLANK('1.4 Analyse &amp; Synthese'!M13),ISBLANK('1.4 Analyse &amp; Synthese'!N13),ISBLANK('1.4 Analyse &amp; Synthese'!O13)),IF('1.4 Analyse &amp; Synthese'!P13="x",1,0),""),""),"")</f>
        <v>1</v>
      </c>
    </row>
    <row r="13" spans="2:87" x14ac:dyDescent="0.2">
      <c r="B13" s="127">
        <f>IF('1.4 Analyse &amp; Synthese'!B15&lt;&gt;0,'1.4 Analyse &amp; Synthese'!B15,"")</f>
        <v>9</v>
      </c>
      <c r="C13" t="str">
        <f>_xlfn.IFNA(IF(B13&lt;&gt;0,VLOOKUP($B13,Tabelle3[[1]:[3]],2)),"")</f>
        <v xml:space="preserve">Celesti </v>
      </c>
      <c r="D13">
        <f>_xlfn.IFNA(IF(B13&lt;&gt;0,VLOOKUP($B13,Tabelle3[[1]:[3]],3)),"")</f>
        <v>2011</v>
      </c>
      <c r="E13" t="str">
        <f>_xlfn.IFNA(IF(B13&lt;&gt;0,VLOOKUP($B13,Tabelle3[[1]:[4]],4)),"")</f>
        <v>Ecosystem (A)</v>
      </c>
      <c r="F13" t="str">
        <f>_xlfn.IFNA(IF(B13&lt;&gt;0,VLOOKUP($B13,Tabelle3[[1]:[5]],5)),"")</f>
        <v>Empfehlung</v>
      </c>
      <c r="G13" s="101">
        <f>_xlfn.IFNA(IF(B13&lt;&gt;0,VLOOKUP($B13,Tabelle3[[1]:[Aggregator/Integrator]],10)),"")</f>
        <v>0</v>
      </c>
      <c r="H13" s="101" t="str">
        <f>_xlfn.IFNA(IF(B13&lt;&gt;0,VLOOKUP($B13,Tabelle3[[1]:[ITSVN Akteure]],11)),"")</f>
        <v>x</v>
      </c>
      <c r="I13" s="101" t="str">
        <f>_xlfn.IFNA(IF(B13&lt;&gt;0,VLOOKUP($B13,Tabelle3[[1]:[IaaS]],12)),"")</f>
        <v>x</v>
      </c>
      <c r="J13" s="101">
        <f>_xlfn.IFNA(IF(B13&lt;&gt;0,VLOOKUP($B13,Tabelle3[[1]:[PaaS]],13)),"")</f>
        <v>0</v>
      </c>
      <c r="K13" s="101">
        <f>_xlfn.IFNA(IF(B13&lt;&gt;0,VLOOKUP($B13,Tabelle3[[1]:[SaaS]],14)),"")</f>
        <v>0</v>
      </c>
      <c r="L13" s="101">
        <f>_xlfn.IFNA(IF(B13&lt;&gt;0,VLOOKUP($B13,Tabelle3[[1]:[DaaS]],15)),"")</f>
        <v>0</v>
      </c>
      <c r="M13" s="117">
        <f>IF(B13&lt;&gt;0,COUNTIF('1.4 Analyse &amp; Synthese'!Q15:AJ15,1))</f>
        <v>3</v>
      </c>
      <c r="N13" s="101">
        <f>IF(B13&lt;&gt;0,COUNTIF('1.4 Analyse &amp; Synthese'!Q15:AJ15,3))</f>
        <v>2</v>
      </c>
      <c r="O13" s="101" t="str">
        <f t="array" ref="O13">_xlfn.IFNA(INDEX($D$5:$D$49,MATCH(0,COUNTIF($O$4:O12,$D$5:$D$49),0),1),"")</f>
        <v/>
      </c>
      <c r="P13" s="101" t="str">
        <f t="shared" si="0"/>
        <v/>
      </c>
      <c r="Q13" s="101" t="str">
        <f t="shared" si="1"/>
        <v/>
      </c>
      <c r="R13" s="128" t="str">
        <f>_xlfn.IFNA(IF(VLOOKUP(B13,Tabelle4[#All],2,FALSE)="x",VLOOKUP(B13,'1.4 Analyse &amp; Synthese'!$B$7:$G$47,6,FALSE),""),"")</f>
        <v>Kompatibilität</v>
      </c>
      <c r="S13" s="101" t="str">
        <f t="array" ref="S13">_xlfn.IFNA(INDEX($R$5:$R$49,MATCH(0,COUNTIF($S$4:S12,$R$5:$R$49),0),1),"")</f>
        <v/>
      </c>
      <c r="T13" s="101" t="str">
        <f t="shared" si="2"/>
        <v/>
      </c>
      <c r="U13" s="9" t="str">
        <f>_xlfn.IFNA(IF(VLOOKUP(B13,Tabelle4[#All],2,FALSE)="x",VLOOKUP(B13,'1.4 Analyse &amp; Synthese'!$B$7:$I$47,8,FALSE),""),"")</f>
        <v>Virtualisierungsinfrastruktur</v>
      </c>
      <c r="V13" s="122" t="str">
        <f t="array" ref="V13">_xlfn.IFNA(INDEX($U$5:$U$49,MATCH(0,COUNTIF($V$5:V12,$U$5:$U$49),0),1),"")</f>
        <v>Virtualisierungsinfrastruktur</v>
      </c>
      <c r="W13">
        <f t="shared" si="9"/>
        <v>0</v>
      </c>
      <c r="X13">
        <f t="shared" si="10"/>
        <v>1</v>
      </c>
      <c r="Y13">
        <f t="shared" si="11"/>
        <v>0</v>
      </c>
      <c r="Z13">
        <f t="shared" si="12"/>
        <v>0</v>
      </c>
      <c r="AA13">
        <f t="shared" si="13"/>
        <v>0</v>
      </c>
      <c r="AB13" s="196">
        <f t="shared" si="20"/>
        <v>1</v>
      </c>
      <c r="AD13" s="8"/>
      <c r="AE13" s="8"/>
      <c r="AF13" s="8"/>
      <c r="AG13" s="8"/>
      <c r="AH13" s="264"/>
      <c r="AI13" s="114" t="str">
        <f>_xlfn.IFNA(IF(VLOOKUP(B13,Tabelle4[#All],2,FALSE)="x",VLOOKUP(B13,Tabelle4[#All],6,FALSE),""),"")</f>
        <v>Konferenz</v>
      </c>
      <c r="AJ13" s="101" t="str">
        <f t="array" ref="AJ13">_xlfn.IFNA(INDEX($AI$5:$AI$49,MATCH(0,COUNTIF($AJ$4:AJ12,$AI$5:$AI$49),0),1),"")</f>
        <v/>
      </c>
      <c r="AK13" s="101" t="str">
        <f t="shared" si="3"/>
        <v/>
      </c>
      <c r="AL13" s="117" t="str">
        <f t="array" ref="AL13">_xlfn.IFNA(INDEX($E$5:$E$49,MATCH(0,COUNTIF($AL$4:AL12,$E$5:$E$49),0),1),"")</f>
        <v>Legal conditions (A)</v>
      </c>
      <c r="AM13">
        <f t="shared" si="4"/>
        <v>3</v>
      </c>
      <c r="AN13" s="9"/>
      <c r="AS13" t="str">
        <f t="shared" si="5"/>
        <v/>
      </c>
      <c r="AT13" s="198" t="str">
        <f t="array" ref="AT13">_xlfn.IFNA(INDEX($AS$5:$AS$49,MATCH(0,COUNTIF($AT$4:AT12,$AS$5:$AS$49),0),1),"")</f>
        <v/>
      </c>
      <c r="AU13" s="202"/>
      <c r="AV13" s="200" t="str">
        <f t="shared" si="6"/>
        <v>Virtualisierungsinfrastruktur</v>
      </c>
      <c r="AW13" s="117" t="str">
        <f t="array" ref="AW13">_xlfn.IFNA(INDEX($AV$6:$AV$49,MATCH(0,COUNTIF($AW$4:AW12,$AV$6:$AV$49),0),1),"")</f>
        <v>Datenintegration</v>
      </c>
      <c r="AX13" s="360">
        <f t="shared" si="17"/>
        <v>2</v>
      </c>
      <c r="AY13" s="204" t="str">
        <f t="shared" si="7"/>
        <v/>
      </c>
      <c r="AZ13" s="101" t="str">
        <f t="array" ref="AZ13">_xlfn.IFNA(INDEX($AY$5:$AY$49,MATCH(0,COUNTIF($AZ$4:AZ12,$AY$5:$AY$49),0),1),"")</f>
        <v/>
      </c>
      <c r="BA13" t="str">
        <f t="shared" si="18"/>
        <v/>
      </c>
      <c r="BB13" s="8" t="str">
        <f t="shared" si="14"/>
        <v/>
      </c>
      <c r="BC13" s="101" t="str">
        <f t="array" ref="BC13">_xlfn.IFNA(INDEX($BB$6:$BB$49,MATCH(0,COUNTIF($BC$4:BC12,$BB$6:$BB$49),0),1),"")</f>
        <v/>
      </c>
      <c r="BD13" t="str">
        <f t="shared" si="19"/>
        <v/>
      </c>
      <c r="BE13" s="209" t="str">
        <f t="shared" si="15"/>
        <v/>
      </c>
      <c r="BF13" s="101" t="str">
        <f t="array" ref="BF13">_xlfn.IFNA(INDEX($BE$5:$BE$49,MATCH(0,COUNTIF($BF$4:BF12,$BE$5:$BE$49),0),1),"")</f>
        <v/>
      </c>
      <c r="BG13" s="201" t="str">
        <f t="shared" si="21"/>
        <v/>
      </c>
      <c r="BI13" s="101" t="str">
        <f t="array" ref="BI13">_xlfn.IFNA(INDEX($F$5:$F$49,MATCH(0,COUNTIF($BI$4:BI12,$F$5:$F$49),0),1),"")</f>
        <v/>
      </c>
      <c r="BJ13" s="206" t="str">
        <f t="shared" si="16"/>
        <v/>
      </c>
      <c r="BK13" s="9"/>
      <c r="BL13" s="15"/>
      <c r="BM13" s="225"/>
      <c r="BN13" s="15"/>
      <c r="BO13" s="270"/>
      <c r="BP13" s="372" t="str">
        <f>_xlfn.IFNA(IF(B12&lt;&gt;"",IF(AND(ISBLANK('1.4 Analyse &amp; Synthese'!N14),ISBLANK('1.4 Analyse &amp; Synthese'!O14),ISBLANK('1.4 Analyse &amp; Synthese'!P14)),IF('1.4 Analyse &amp; Synthese'!M14="x",1,0),""),""),"")</f>
        <v/>
      </c>
      <c r="BQ13" s="123" t="str">
        <f>_xlfn.IFNA(IF(B12&lt;&gt;"",IF(AND(ISBLANK('1.4 Analyse &amp; Synthese'!M14),ISBLANK('1.4 Analyse &amp; Synthese'!O14),ISBLANK('1.4 Analyse &amp; Synthese'!P14)),IF('1.4 Analyse &amp; Synthese'!N14="x",1,0),""),""),"")</f>
        <v/>
      </c>
      <c r="BR13" s="123" t="str">
        <f>_xlfn.IFNA(IF(B12&lt;&gt;"",IF(AND(ISBLANK('1.4 Analyse &amp; Synthese'!M14),ISBLANK('1.4 Analyse &amp; Synthese'!N14),ISBLANK('1.4 Analyse &amp; Synthese'!P14)),IF('1.4 Analyse &amp; Synthese'!O14="x",1,0),""),""),"")</f>
        <v/>
      </c>
      <c r="BS13" s="123">
        <f>_xlfn.IFNA(IF(B12&lt;&gt;"",IF(AND('1.4 Analyse &amp; Synthese'!M14="X",'1.4 Analyse &amp; Synthese'!N14="X",'1.4 Analyse &amp; Synthese'!O14="X"),1,0),""),"")</f>
        <v>1</v>
      </c>
      <c r="BT13" s="123">
        <f>_xlfn.IFNA(IF(B12&lt;&gt;"",IF(AND(ISBLANK('1.4 Analyse &amp; Synthese'!M14),ISBLANK('1.4 Analyse &amp; Synthese'!N14),ISBLANK('1.4 Analyse &amp; Synthese'!O14)),1,0),""),"")</f>
        <v>0</v>
      </c>
      <c r="BU13" s="123">
        <f>_xlfn.IFNA(IF(B12&lt;&gt;"",IF(OR(AND('1.4 Analyse &amp; Synthese'!M14="X",'1.4 Analyse &amp; Synthese'!N14="X",'1.4 Analyse &amp; Synthese'!O14=""),AND('1.4 Analyse &amp; Synthese'!M14="X",'1.4 Analyse &amp; Synthese'!N14="",'1.4 Analyse &amp; Synthese'!O14="X"),AND('1.4 Analyse &amp; Synthese'!M14="",'1.4 Analyse &amp; Synthese'!N14="X",'1.4 Analyse &amp; Synthese'!O14="X")),1,0),0),"")</f>
        <v>0</v>
      </c>
      <c r="BV13" s="373" t="str">
        <f>_xlfn.IFNA(IF(B12&lt;&gt;"",IF(AND(ISBLANK('1.4 Analyse &amp; Synthese'!M14),ISBLANK('1.4 Analyse &amp; Synthese'!N14),ISBLANK('1.4 Analyse &amp; Synthese'!O14)),IF('1.4 Analyse &amp; Synthese'!P14="x",1,0),""),""),"")</f>
        <v/>
      </c>
    </row>
    <row r="14" spans="2:87" x14ac:dyDescent="0.2">
      <c r="B14" s="127">
        <f>IF('1.4 Analyse &amp; Synthese'!B16&lt;&gt;0,'1.4 Analyse &amp; Synthese'!B16,"")</f>
        <v>10</v>
      </c>
      <c r="C14" t="str">
        <f>_xlfn.IFNA(IF(B14&lt;&gt;0,VLOOKUP($B14,Tabelle3[[1]:[3]],2)),"")</f>
        <v>Chhetri</v>
      </c>
      <c r="D14">
        <f>_xlfn.IFNA(IF(B14&lt;&gt;0,VLOOKUP($B14,Tabelle3[[1]:[3]],3)),"")</f>
        <v>2015</v>
      </c>
      <c r="E14" t="str">
        <f>_xlfn.IFNA(IF(B14&lt;&gt;0,VLOOKUP($B14,Tabelle3[[1]:[4]],4)),"")</f>
        <v>Pricing Policy (A)</v>
      </c>
      <c r="F14" t="str">
        <f>_xlfn.IFNA(IF(B14&lt;&gt;0,VLOOKUP($B14,Tabelle3[[1]:[5]],5)),"")</f>
        <v>Werkzeug</v>
      </c>
      <c r="G14" s="101" t="str">
        <f>_xlfn.IFNA(IF(B14&lt;&gt;0,VLOOKUP($B14,Tabelle3[[1]:[Aggregator/Integrator]],10)),"")</f>
        <v>x</v>
      </c>
      <c r="H14" s="101">
        <f>_xlfn.IFNA(IF(B14&lt;&gt;0,VLOOKUP($B14,Tabelle3[[1]:[ITSVN Akteure]],11)),"")</f>
        <v>0</v>
      </c>
      <c r="I14" s="101" t="str">
        <f>_xlfn.IFNA(IF(B14&lt;&gt;0,VLOOKUP($B14,Tabelle3[[1]:[IaaS]],12)),"")</f>
        <v>x</v>
      </c>
      <c r="J14" s="101">
        <f>_xlfn.IFNA(IF(B14&lt;&gt;0,VLOOKUP($B14,Tabelle3[[1]:[PaaS]],13)),"")</f>
        <v>0</v>
      </c>
      <c r="K14" s="101">
        <f>_xlfn.IFNA(IF(B14&lt;&gt;0,VLOOKUP($B14,Tabelle3[[1]:[SaaS]],14)),"")</f>
        <v>0</v>
      </c>
      <c r="L14" s="101">
        <f>_xlfn.IFNA(IF(B14&lt;&gt;0,VLOOKUP($B14,Tabelle3[[1]:[DaaS]],15)),"")</f>
        <v>0</v>
      </c>
      <c r="M14" s="117">
        <f>IF(B14&lt;&gt;0,COUNTIF('1.4 Analyse &amp; Synthese'!Q16:AJ16,1))</f>
        <v>2</v>
      </c>
      <c r="N14" s="101">
        <f>IF(B14&lt;&gt;0,COUNTIF('1.4 Analyse &amp; Synthese'!Q16:AJ16,3))</f>
        <v>6</v>
      </c>
      <c r="O14" s="101" t="str">
        <f t="array" ref="O14">_xlfn.IFNA(INDEX($D$5:$D$49,MATCH(0,COUNTIF($O$4:O13,$D$5:$D$49),0),1),"")</f>
        <v/>
      </c>
      <c r="P14" s="101" t="str">
        <f t="shared" si="0"/>
        <v/>
      </c>
      <c r="Q14" s="101" t="str">
        <f t="shared" si="1"/>
        <v/>
      </c>
      <c r="R14" s="128" t="str">
        <f>_xlfn.IFNA(IF(VLOOKUP(B14,Tabelle4[#All],2,FALSE)="x",VLOOKUP(B14,'1.4 Analyse &amp; Synthese'!$B$7:$G$47,6,FALSE),""),"")</f>
        <v>Anbieter- &amp; Serviceauswahl</v>
      </c>
      <c r="S14" s="101" t="str">
        <f t="array" ref="S14">_xlfn.IFNA(INDEX($R$5:$R$49,MATCH(0,COUNTIF($S$4:S13,$R$5:$R$49),0),1),"")</f>
        <v/>
      </c>
      <c r="T14" s="101" t="str">
        <f t="shared" si="2"/>
        <v/>
      </c>
      <c r="U14" s="9" t="str">
        <f>_xlfn.IFNA(IF(VLOOKUP(B14,Tabelle4[#All],2,FALSE)="x",VLOOKUP(B14,'1.4 Analyse &amp; Synthese'!$B$7:$I$47,8,FALSE),""),"")</f>
        <v>Atificial Intelligence</v>
      </c>
      <c r="V14" s="122" t="str">
        <f t="array" ref="V14">_xlfn.IFNA(INDEX($U$5:$U$49,MATCH(0,COUNTIF($V$5:V13,$U$5:$U$49),0),1),"")</f>
        <v>Atificial Intelligence</v>
      </c>
      <c r="W14">
        <f t="shared" si="9"/>
        <v>0</v>
      </c>
      <c r="X14">
        <f t="shared" si="10"/>
        <v>1</v>
      </c>
      <c r="Y14">
        <f t="shared" si="11"/>
        <v>0</v>
      </c>
      <c r="Z14">
        <f t="shared" si="12"/>
        <v>1</v>
      </c>
      <c r="AA14">
        <f t="shared" si="13"/>
        <v>0</v>
      </c>
      <c r="AB14" s="196">
        <f t="shared" si="20"/>
        <v>2</v>
      </c>
      <c r="AD14" s="8"/>
      <c r="AE14" s="8"/>
      <c r="AF14" s="8"/>
      <c r="AG14" s="8"/>
      <c r="AH14" s="264"/>
      <c r="AI14" s="114" t="str">
        <f>_xlfn.IFNA(IF(VLOOKUP(B14,Tabelle4[#All],2,FALSE)="x",VLOOKUP(B14,Tabelle4[#All],6,FALSE),""),"")</f>
        <v>Journal</v>
      </c>
      <c r="AJ14" s="101" t="str">
        <f t="array" ref="AJ14">_xlfn.IFNA(INDEX($AI$5:$AI$49,MATCH(0,COUNTIF($AJ$4:AJ13,$AI$5:$AI$49),0),1),"")</f>
        <v/>
      </c>
      <c r="AK14" s="101" t="str">
        <f t="shared" si="3"/>
        <v/>
      </c>
      <c r="AL14" s="117" t="str">
        <f t="array" ref="AL14">_xlfn.IFNA(INDEX($E$5:$E$49,MATCH(0,COUNTIF($AL$4:AL13,$E$5:$E$49),0),1),"")</f>
        <v>Service Interface (I)</v>
      </c>
      <c r="AM14">
        <f t="shared" si="4"/>
        <v>3</v>
      </c>
      <c r="AN14" s="9"/>
      <c r="AS14" t="str">
        <f t="shared" si="5"/>
        <v>Atificial Intelligence</v>
      </c>
      <c r="AT14" s="198" t="str">
        <f t="array" ref="AT14">_xlfn.IFNA(INDEX($AS$5:$AS$49,MATCH(0,COUNTIF($AT$4:AT13,$AS$5:$AS$49),0),1),"")</f>
        <v/>
      </c>
      <c r="AU14" s="202"/>
      <c r="AV14" s="200" t="str">
        <f t="shared" si="6"/>
        <v/>
      </c>
      <c r="AW14" s="117" t="str">
        <f t="array" ref="AW14">_xlfn.IFNA(INDEX($AV$6:$AV$49,MATCH(0,COUNTIF($AW$4:AW13,$AV$6:$AV$49),0),1),"")</f>
        <v>Cloud Service Broker</v>
      </c>
      <c r="AX14" s="360">
        <f t="shared" si="17"/>
        <v>1</v>
      </c>
      <c r="AY14" s="204" t="str">
        <f t="shared" si="7"/>
        <v/>
      </c>
      <c r="AZ14" s="101" t="str">
        <f t="array" ref="AZ14">_xlfn.IFNA(INDEX($AY$5:$AY$49,MATCH(0,COUNTIF($AZ$4:AZ13,$AY$5:$AY$49),0),1),"")</f>
        <v/>
      </c>
      <c r="BA14" t="str">
        <f t="shared" si="18"/>
        <v/>
      </c>
      <c r="BB14" s="8" t="str">
        <f t="shared" si="14"/>
        <v/>
      </c>
      <c r="BC14" s="101" t="str">
        <f t="array" ref="BC14">_xlfn.IFNA(INDEX($BB$6:$BB$49,MATCH(0,COUNTIF($BC$4:BC13,$BB$6:$BB$49),0),1),"")</f>
        <v/>
      </c>
      <c r="BD14" t="str">
        <f t="shared" si="19"/>
        <v/>
      </c>
      <c r="BE14" s="209" t="str">
        <f t="shared" si="15"/>
        <v/>
      </c>
      <c r="BF14" s="101" t="str">
        <f t="array" ref="BF14">_xlfn.IFNA(INDEX($BE$5:$BE$49,MATCH(0,COUNTIF($BF$4:BF13,$BE$5:$BE$49),0),1),"")</f>
        <v/>
      </c>
      <c r="BG14" s="201" t="str">
        <f t="shared" si="21"/>
        <v/>
      </c>
      <c r="BI14" s="101" t="str">
        <f t="array" ref="BI14">_xlfn.IFNA(INDEX($F$5:$F$49,MATCH(0,COUNTIF($BI$4:BI13,$F$5:$F$49),0),1),"")</f>
        <v/>
      </c>
      <c r="BJ14" s="206" t="str">
        <f t="shared" si="16"/>
        <v/>
      </c>
      <c r="BK14" s="9"/>
      <c r="BL14" s="15"/>
      <c r="BM14" s="225"/>
      <c r="BN14" s="15"/>
      <c r="BO14" s="270"/>
      <c r="BP14" s="372">
        <f>_xlfn.IFNA(IF(B13&lt;&gt;"",IF(AND(ISBLANK('1.4 Analyse &amp; Synthese'!N15),ISBLANK('1.4 Analyse &amp; Synthese'!O15),ISBLANK('1.4 Analyse &amp; Synthese'!P15)),IF('1.4 Analyse &amp; Synthese'!M15="x",1,0),""),""),"")</f>
        <v>1</v>
      </c>
      <c r="BQ14" s="123" t="str">
        <f>_xlfn.IFNA(IF(B13&lt;&gt;"",IF(AND(ISBLANK('1.4 Analyse &amp; Synthese'!M15),ISBLANK('1.4 Analyse &amp; Synthese'!O15),ISBLANK('1.4 Analyse &amp; Synthese'!P15)),IF('1.4 Analyse &amp; Synthese'!N15="x",1,0),""),""),"")</f>
        <v/>
      </c>
      <c r="BR14" s="123" t="str">
        <f>_xlfn.IFNA(IF(B13&lt;&gt;"",IF(AND(ISBLANK('1.4 Analyse &amp; Synthese'!M15),ISBLANK('1.4 Analyse &amp; Synthese'!N15),ISBLANK('1.4 Analyse &amp; Synthese'!P15)),IF('1.4 Analyse &amp; Synthese'!O15="x",1,0),""),""),"")</f>
        <v/>
      </c>
      <c r="BS14" s="123">
        <f>_xlfn.IFNA(IF(B13&lt;&gt;"",IF(AND('1.4 Analyse &amp; Synthese'!M15="X",'1.4 Analyse &amp; Synthese'!N15="X",'1.4 Analyse &amp; Synthese'!O15="X"),1,0),""),"")</f>
        <v>0</v>
      </c>
      <c r="BT14" s="123">
        <f>_xlfn.IFNA(IF(B13&lt;&gt;"",IF(AND(ISBLANK('1.4 Analyse &amp; Synthese'!M15),ISBLANK('1.4 Analyse &amp; Synthese'!N15),ISBLANK('1.4 Analyse &amp; Synthese'!O15)),1,0),""),"")</f>
        <v>0</v>
      </c>
      <c r="BU14" s="123">
        <f>_xlfn.IFNA(IF(B13&lt;&gt;"",IF(OR(AND('1.4 Analyse &amp; Synthese'!M15="X",'1.4 Analyse &amp; Synthese'!N15="X",'1.4 Analyse &amp; Synthese'!O15=""),AND('1.4 Analyse &amp; Synthese'!M15="X",'1.4 Analyse &amp; Synthese'!N15="",'1.4 Analyse &amp; Synthese'!O15="X"),AND('1.4 Analyse &amp; Synthese'!M15="",'1.4 Analyse &amp; Synthese'!N15="X",'1.4 Analyse &amp; Synthese'!O15="X")),1,0),0),"")</f>
        <v>0</v>
      </c>
      <c r="BV14" s="373" t="str">
        <f>_xlfn.IFNA(IF(B13&lt;&gt;"",IF(AND(ISBLANK('1.4 Analyse &amp; Synthese'!M15),ISBLANK('1.4 Analyse &amp; Synthese'!N15),ISBLANK('1.4 Analyse &amp; Synthese'!O15)),IF('1.4 Analyse &amp; Synthese'!P15="x",1,0),""),""),"")</f>
        <v/>
      </c>
    </row>
    <row r="15" spans="2:87" x14ac:dyDescent="0.2">
      <c r="B15" s="127">
        <f>IF('1.4 Analyse &amp; Synthese'!B17&lt;&gt;0,'1.4 Analyse &amp; Synthese'!B17,"")</f>
        <v>11</v>
      </c>
      <c r="C15" t="str">
        <f>_xlfn.IFNA(IF(B15&lt;&gt;0,VLOOKUP($B15,Tabelle3[[1]:[3]],2)),"")</f>
        <v xml:space="preserve">Dastjerdi </v>
      </c>
      <c r="D15">
        <f>_xlfn.IFNA(IF(B15&lt;&gt;0,VLOOKUP($B15,Tabelle3[[1]:[3]],3)),"")</f>
        <v>2014</v>
      </c>
      <c r="E15" t="str">
        <f>_xlfn.IFNA(IF(B15&lt;&gt;0,VLOOKUP($B15,Tabelle3[[1]:[4]],4)),"")</f>
        <v>Legal conditions (A)</v>
      </c>
      <c r="F15" t="str">
        <f>_xlfn.IFNA(IF(B15&lt;&gt;0,VLOOKUP($B15,Tabelle3[[1]:[5]],5)),"")</f>
        <v>Werkzeug</v>
      </c>
      <c r="G15" s="101" t="str">
        <f>_xlfn.IFNA(IF(B15&lt;&gt;0,VLOOKUP($B15,Tabelle3[[1]:[Aggregator/Integrator]],10)),"")</f>
        <v>x</v>
      </c>
      <c r="H15" s="101">
        <f>_xlfn.IFNA(IF(B15&lt;&gt;0,VLOOKUP($B15,Tabelle3[[1]:[ITSVN Akteure]],11)),"")</f>
        <v>0</v>
      </c>
      <c r="I15" s="101" t="str">
        <f>_xlfn.IFNA(IF(B15&lt;&gt;0,VLOOKUP($B15,Tabelle3[[1]:[IaaS]],12)),"")</f>
        <v>x</v>
      </c>
      <c r="J15" s="101">
        <f>_xlfn.IFNA(IF(B15&lt;&gt;0,VLOOKUP($B15,Tabelle3[[1]:[PaaS]],13)),"")</f>
        <v>0</v>
      </c>
      <c r="K15" s="101">
        <f>_xlfn.IFNA(IF(B15&lt;&gt;0,VLOOKUP($B15,Tabelle3[[1]:[SaaS]],14)),"")</f>
        <v>0</v>
      </c>
      <c r="L15" s="101">
        <f>_xlfn.IFNA(IF(B15&lt;&gt;0,VLOOKUP($B15,Tabelle3[[1]:[DaaS]],15)),"")</f>
        <v>0</v>
      </c>
      <c r="M15" s="117">
        <f>IF(B15&lt;&gt;0,COUNTIF('1.4 Analyse &amp; Synthese'!Q17:AJ17,1))</f>
        <v>3</v>
      </c>
      <c r="N15" s="101">
        <f>IF(B15&lt;&gt;0,COUNTIF('1.4 Analyse &amp; Synthese'!Q17:AJ17,3))</f>
        <v>4</v>
      </c>
      <c r="O15" s="101" t="str">
        <f t="array" ref="O15">_xlfn.IFNA(INDEX($D$5:$D$49,MATCH(0,COUNTIF($O$4:O14,$D$5:$D$49),0),1),"")</f>
        <v/>
      </c>
      <c r="P15" s="101" t="str">
        <f t="shared" si="0"/>
        <v/>
      </c>
      <c r="Q15" s="101" t="str">
        <f t="shared" si="1"/>
        <v/>
      </c>
      <c r="R15" s="128" t="str">
        <f>_xlfn.IFNA(IF(VLOOKUP(B15,Tabelle4[#All],2,FALSE)="x",VLOOKUP(B15,'1.4 Analyse &amp; Synthese'!$B$7:$G$47,6,FALSE),""),"")</f>
        <v>Kompatibilität</v>
      </c>
      <c r="S15" s="101" t="str">
        <f t="array" ref="S15">_xlfn.IFNA(INDEX($R$5:$R$49,MATCH(0,COUNTIF($S$4:S14,$R$5:$R$49),0),1),"")</f>
        <v/>
      </c>
      <c r="T15" s="101" t="str">
        <f t="shared" si="2"/>
        <v/>
      </c>
      <c r="U15" s="9" t="str">
        <f>_xlfn.IFNA(IF(VLOOKUP(B15,Tabelle4[#All],2,FALSE)="x",VLOOKUP(B15,'1.4 Analyse &amp; Synthese'!$B$7:$I$47,8,FALSE),""),"")</f>
        <v>Cloud Service Komposition</v>
      </c>
      <c r="V15" s="122" t="str">
        <f t="array" ref="V15">_xlfn.IFNA(INDEX($U$5:$U$49,MATCH(0,COUNTIF($V$5:V14,$U$5:$U$49),0),1),"")</f>
        <v>Cloud Service Komposition</v>
      </c>
      <c r="W15">
        <f t="shared" si="9"/>
        <v>0</v>
      </c>
      <c r="X15">
        <f t="shared" si="10"/>
        <v>2</v>
      </c>
      <c r="Y15">
        <f t="shared" si="11"/>
        <v>0</v>
      </c>
      <c r="Z15">
        <f t="shared" ref="Z15:Z25" si="22">IF(AND(ISNUMBER(V15)=FALSE,V15&lt;&gt;""),COUNTIFS(U:U,V15,R:R,"*Anbieter- &amp; Serviceauswahl*"),"")</f>
        <v>0</v>
      </c>
      <c r="AA15">
        <f t="shared" si="13"/>
        <v>0</v>
      </c>
      <c r="AB15" s="196">
        <f t="shared" si="20"/>
        <v>2</v>
      </c>
      <c r="AD15" s="8"/>
      <c r="AE15" s="8"/>
      <c r="AF15" s="8"/>
      <c r="AG15" s="8"/>
      <c r="AH15" s="264"/>
      <c r="AI15" s="114" t="str">
        <f>_xlfn.IFNA(IF(VLOOKUP(B15,Tabelle4[#All],2,FALSE)="x",VLOOKUP(B15,Tabelle4[#All],6,FALSE),""),"")</f>
        <v>Konferenz</v>
      </c>
      <c r="AJ15" s="101" t="str">
        <f t="array" ref="AJ15">_xlfn.IFNA(INDEX($AI$5:$AI$49,MATCH(0,COUNTIF($AJ$4:AJ14,$AI$5:$AI$49),0),1),"")</f>
        <v/>
      </c>
      <c r="AK15" s="101" t="str">
        <f t="shared" si="3"/>
        <v/>
      </c>
      <c r="AL15" s="117" t="str">
        <f t="array" ref="AL15">_xlfn.IFNA(INDEX($E$5:$E$49,MATCH(0,COUNTIF($AL$4:AL14,$E$5:$E$49),0),1),"")</f>
        <v>Rückwärtssuche</v>
      </c>
      <c r="AM15">
        <f t="shared" si="4"/>
        <v>6</v>
      </c>
      <c r="AN15" s="9"/>
      <c r="AS15" t="str">
        <f t="shared" si="5"/>
        <v/>
      </c>
      <c r="AT15" s="198" t="str">
        <f t="array" ref="AT15">_xlfn.IFNA(INDEX($AS$5:$AS$49,MATCH(0,COUNTIF($AT$4:AT14,$AS$5:$AS$49),0),1),"")</f>
        <v/>
      </c>
      <c r="AU15" s="202"/>
      <c r="AV15" s="200" t="str">
        <f t="shared" si="6"/>
        <v>Cloud Service Komposition</v>
      </c>
      <c r="AW15" s="117" t="str">
        <f t="array" ref="AW15">_xlfn.IFNA(INDEX($AV$6:$AV$49,MATCH(0,COUNTIF($AW$4:AW14,$AV$6:$AV$49),0),1),"")</f>
        <v>Protokolltransmitter</v>
      </c>
      <c r="AX15" s="360">
        <f t="shared" si="17"/>
        <v>1</v>
      </c>
      <c r="AY15" s="204" t="str">
        <f t="shared" si="7"/>
        <v/>
      </c>
      <c r="AZ15" s="101" t="str">
        <f t="array" ref="AZ15">_xlfn.IFNA(INDEX($AY$5:$AY$49,MATCH(0,COUNTIF($AZ$4:AZ14,$AY$5:$AY$49),0),1),"")</f>
        <v/>
      </c>
      <c r="BA15" t="str">
        <f t="shared" si="18"/>
        <v/>
      </c>
      <c r="BB15" s="8" t="str">
        <f t="shared" si="14"/>
        <v/>
      </c>
      <c r="BC15" s="101" t="str">
        <f t="array" ref="BC15">_xlfn.IFNA(INDEX($BB$6:$BB$49,MATCH(0,COUNTIF($BC$4:BC14,$BB$6:$BB$49),0),1),"")</f>
        <v/>
      </c>
      <c r="BD15" t="str">
        <f t="shared" si="19"/>
        <v/>
      </c>
      <c r="BE15" s="209" t="str">
        <f t="shared" si="15"/>
        <v/>
      </c>
      <c r="BF15" s="101" t="str">
        <f t="array" ref="BF15">_xlfn.IFNA(INDEX($BE$5:$BE$49,MATCH(0,COUNTIF($BF$4:BF14,$BE$5:$BE$49),0),1),"")</f>
        <v/>
      </c>
      <c r="BG15" s="201" t="str">
        <f t="shared" si="21"/>
        <v/>
      </c>
      <c r="BI15" s="101" t="str">
        <f t="array" ref="BI15">_xlfn.IFNA(INDEX($F$5:$F$49,MATCH(0,COUNTIF($BI$4:BI14,$F$5:$F$49),0),1),"")</f>
        <v/>
      </c>
      <c r="BJ15" s="206" t="str">
        <f t="shared" si="16"/>
        <v/>
      </c>
      <c r="BK15" s="9"/>
      <c r="BL15" s="15"/>
      <c r="BM15" s="225"/>
      <c r="BN15" s="15"/>
      <c r="BO15" s="270"/>
      <c r="BP15" s="372">
        <f>_xlfn.IFNA(IF(B14&lt;&gt;"",IF(AND(ISBLANK('1.4 Analyse &amp; Synthese'!N16),ISBLANK('1.4 Analyse &amp; Synthese'!O16),ISBLANK('1.4 Analyse &amp; Synthese'!P16)),IF('1.4 Analyse &amp; Synthese'!M16="x",1,0),""),""),"")</f>
        <v>1</v>
      </c>
      <c r="BQ15" s="123" t="str">
        <f>_xlfn.IFNA(IF(B14&lt;&gt;"",IF(AND(ISBLANK('1.4 Analyse &amp; Synthese'!M16),ISBLANK('1.4 Analyse &amp; Synthese'!O16),ISBLANK('1.4 Analyse &amp; Synthese'!P16)),IF('1.4 Analyse &amp; Synthese'!N16="x",1,0),""),""),"")</f>
        <v/>
      </c>
      <c r="BR15" s="123" t="str">
        <f>_xlfn.IFNA(IF(B14&lt;&gt;"",IF(AND(ISBLANK('1.4 Analyse &amp; Synthese'!M16),ISBLANK('1.4 Analyse &amp; Synthese'!N16),ISBLANK('1.4 Analyse &amp; Synthese'!P16)),IF('1.4 Analyse &amp; Synthese'!O16="x",1,0),""),""),"")</f>
        <v/>
      </c>
      <c r="BS15" s="123">
        <f>_xlfn.IFNA(IF(B14&lt;&gt;"",IF(AND('1.4 Analyse &amp; Synthese'!M16="X",'1.4 Analyse &amp; Synthese'!N16="X",'1.4 Analyse &amp; Synthese'!O16="X"),1,0),""),"")</f>
        <v>0</v>
      </c>
      <c r="BT15" s="123">
        <f>_xlfn.IFNA(IF(B14&lt;&gt;"",IF(AND(ISBLANK('1.4 Analyse &amp; Synthese'!M16),ISBLANK('1.4 Analyse &amp; Synthese'!N16),ISBLANK('1.4 Analyse &amp; Synthese'!O16)),1,0),""),"")</f>
        <v>0</v>
      </c>
      <c r="BU15" s="123">
        <f>_xlfn.IFNA(IF(B14&lt;&gt;"",IF(OR(AND('1.4 Analyse &amp; Synthese'!M16="X",'1.4 Analyse &amp; Synthese'!N16="X",'1.4 Analyse &amp; Synthese'!O16=""),AND('1.4 Analyse &amp; Synthese'!M16="X",'1.4 Analyse &amp; Synthese'!N16="",'1.4 Analyse &amp; Synthese'!O16="X"),AND('1.4 Analyse &amp; Synthese'!M16="",'1.4 Analyse &amp; Synthese'!N16="X",'1.4 Analyse &amp; Synthese'!O16="X")),1,0),0),"")</f>
        <v>0</v>
      </c>
      <c r="BV15" s="373" t="str">
        <f>_xlfn.IFNA(IF(B14&lt;&gt;"",IF(AND(ISBLANK('1.4 Analyse &amp; Synthese'!M16),ISBLANK('1.4 Analyse &amp; Synthese'!N16),ISBLANK('1.4 Analyse &amp; Synthese'!O16)),IF('1.4 Analyse &amp; Synthese'!P16="x",1,0),""),""),"")</f>
        <v/>
      </c>
    </row>
    <row r="16" spans="2:87" x14ac:dyDescent="0.2">
      <c r="B16" s="127">
        <f>IF('1.4 Analyse &amp; Synthese'!B18&lt;&gt;0,'1.4 Analyse &amp; Synthese'!B18,"")</f>
        <v>12</v>
      </c>
      <c r="C16" t="str">
        <f>_xlfn.IFNA(IF(B16&lt;&gt;0,VLOOKUP($B16,Tabelle3[[1]:[3]],2)),"")</f>
        <v>Demchenko</v>
      </c>
      <c r="D16">
        <f>_xlfn.IFNA(IF(B16&lt;&gt;0,VLOOKUP($B16,Tabelle3[[1]:[3]],3)),"")</f>
        <v>2012</v>
      </c>
      <c r="E16" t="str">
        <f>_xlfn.IFNA(IF(B16&lt;&gt;0,VLOOKUP($B16,Tabelle3[[1]:[4]],4)),"")</f>
        <v>Service Interface (I)</v>
      </c>
      <c r="F16" t="str">
        <f>_xlfn.IFNA(IF(B16&lt;&gt;0,VLOOKUP($B16,Tabelle3[[1]:[5]],5)),"")</f>
        <v>Empfehlung</v>
      </c>
      <c r="G16" s="101">
        <f>_xlfn.IFNA(IF(B16&lt;&gt;0,VLOOKUP($B16,Tabelle3[[1]:[Aggregator/Integrator]],10)),"")</f>
        <v>0</v>
      </c>
      <c r="H16" s="101" t="str">
        <f>_xlfn.IFNA(IF(B16&lt;&gt;0,VLOOKUP($B16,Tabelle3[[1]:[ITSVN Akteure]],11)),"")</f>
        <v>x</v>
      </c>
      <c r="I16" s="101" t="str">
        <f>_xlfn.IFNA(IF(B16&lt;&gt;0,VLOOKUP($B16,Tabelle3[[1]:[IaaS]],12)),"")</f>
        <v>x</v>
      </c>
      <c r="J16" s="101" t="str">
        <f>_xlfn.IFNA(IF(B16&lt;&gt;0,VLOOKUP($B16,Tabelle3[[1]:[PaaS]],13)),"")</f>
        <v>x</v>
      </c>
      <c r="K16" s="101" t="str">
        <f>_xlfn.IFNA(IF(B16&lt;&gt;0,VLOOKUP($B16,Tabelle3[[1]:[SaaS]],14)),"")</f>
        <v>x</v>
      </c>
      <c r="L16" s="101">
        <f>_xlfn.IFNA(IF(B16&lt;&gt;0,VLOOKUP($B16,Tabelle3[[1]:[DaaS]],15)),"")</f>
        <v>0</v>
      </c>
      <c r="M16" s="117">
        <f>IF(B16&lt;&gt;0,COUNTIF('1.4 Analyse &amp; Synthese'!Q18:AJ18,1))</f>
        <v>4</v>
      </c>
      <c r="N16" s="101">
        <f>IF(B16&lt;&gt;0,COUNTIF('1.4 Analyse &amp; Synthese'!Q18:AJ18,3))</f>
        <v>2</v>
      </c>
      <c r="O16" s="101" t="str">
        <f t="array" ref="O16">_xlfn.IFNA(INDEX($D$5:$D$49,MATCH(0,COUNTIF($O$4:O15,$D$5:$D$49),0),1),"")</f>
        <v/>
      </c>
      <c r="P16" s="101" t="str">
        <f t="shared" si="0"/>
        <v/>
      </c>
      <c r="Q16" s="101" t="str">
        <f t="shared" si="1"/>
        <v/>
      </c>
      <c r="R16" s="128" t="str">
        <f>_xlfn.IFNA(IF(VLOOKUP(B16,Tabelle4[#All],2,FALSE)="x",VLOOKUP(B16,'1.4 Analyse &amp; Synthese'!$B$7:$G$47,6,FALSE),""),"")</f>
        <v>Kompatibilität</v>
      </c>
      <c r="S16" s="101" t="str">
        <f t="array" ref="S16">_xlfn.IFNA(INDEX($R$5:$R$49,MATCH(0,COUNTIF($S$4:S15,$R$5:$R$49),0),1),"")</f>
        <v/>
      </c>
      <c r="T16" s="101" t="str">
        <f t="shared" si="2"/>
        <v/>
      </c>
      <c r="U16" s="9" t="str">
        <f>_xlfn.IFNA(IF(VLOOKUP(B16,Tabelle4[#All],2,FALSE)="x",VLOOKUP(B16,'1.4 Analyse &amp; Synthese'!$B$7:$I$47,8,FALSE),""),"")</f>
        <v>Application Programming Interface</v>
      </c>
      <c r="V16" s="122" t="str">
        <f t="array" ref="V16">_xlfn.IFNA(INDEX($U$5:$U$49,MATCH(0,COUNTIF($V$5:V15,$U$5:$U$49),0),1),"")</f>
        <v>Application Programming Interface</v>
      </c>
      <c r="W16">
        <f t="shared" si="9"/>
        <v>0</v>
      </c>
      <c r="X16">
        <f t="shared" si="10"/>
        <v>3</v>
      </c>
      <c r="Y16">
        <f t="shared" si="11"/>
        <v>0</v>
      </c>
      <c r="Z16">
        <f t="shared" si="22"/>
        <v>0</v>
      </c>
      <c r="AA16">
        <f t="shared" si="13"/>
        <v>0</v>
      </c>
      <c r="AB16" s="196">
        <f t="shared" si="20"/>
        <v>3</v>
      </c>
      <c r="AD16" s="8"/>
      <c r="AE16" s="8"/>
      <c r="AF16" s="8"/>
      <c r="AG16" s="8"/>
      <c r="AH16" s="264"/>
      <c r="AI16" s="114" t="str">
        <f>_xlfn.IFNA(IF(VLOOKUP(B16,Tabelle4[#All],2,FALSE)="x",VLOOKUP(B16,Tabelle4[#All],6,FALSE),""),"")</f>
        <v>Journal</v>
      </c>
      <c r="AJ16" s="101" t="str">
        <f t="array" ref="AJ16">_xlfn.IFNA(INDEX($AI$5:$AI$49,MATCH(0,COUNTIF($AJ$4:AJ15,$AI$5:$AI$49),0),1),"")</f>
        <v/>
      </c>
      <c r="AK16" s="101" t="str">
        <f t="shared" si="3"/>
        <v/>
      </c>
      <c r="AL16" s="117" t="str">
        <f t="array" ref="AL16">_xlfn.IFNA(INDEX($E$5:$E$49,MATCH(0,COUNTIF($AL$4:AL15,$E$5:$E$49),0),1),"")</f>
        <v>Interfacing Mechanisms (I)</v>
      </c>
      <c r="AM16">
        <f t="shared" si="4"/>
        <v>2</v>
      </c>
      <c r="AN16" s="9"/>
      <c r="AS16" t="str">
        <f t="shared" si="5"/>
        <v/>
      </c>
      <c r="AT16" s="198" t="str">
        <f t="array" ref="AT16">_xlfn.IFNA(INDEX($AS$5:$AS$49,MATCH(0,COUNTIF($AT$4:AT15,$AS$5:$AS$49),0),1),"")</f>
        <v/>
      </c>
      <c r="AU16" s="202"/>
      <c r="AV16" s="200" t="str">
        <f t="shared" si="6"/>
        <v>Application Programming Interface</v>
      </c>
      <c r="AW16" s="117" t="str">
        <f t="array" ref="AW16">_xlfn.IFNA(INDEX($AV$6:$AV$49,MATCH(0,COUNTIF($AW$4:AW15,$AV$6:$AV$49),0),1),"")</f>
        <v>SLA Management Aggregation</v>
      </c>
      <c r="AX16" s="360">
        <f t="shared" si="17"/>
        <v>1</v>
      </c>
      <c r="AY16" s="204" t="str">
        <f t="shared" si="7"/>
        <v/>
      </c>
      <c r="AZ16" s="101" t="str">
        <f t="array" ref="AZ16">_xlfn.IFNA(INDEX($AY$5:$AY$49,MATCH(0,COUNTIF($AZ$4:AZ15,$AY$5:$AY$49),0),1),"")</f>
        <v/>
      </c>
      <c r="BA16" t="str">
        <f t="shared" si="18"/>
        <v/>
      </c>
      <c r="BB16" s="8" t="str">
        <f t="shared" si="14"/>
        <v/>
      </c>
      <c r="BC16" s="101" t="str">
        <f t="array" ref="BC16">_xlfn.IFNA(INDEX($BB$6:$BB$49,MATCH(0,COUNTIF($BC$4:BC15,$BB$6:$BB$49),0),1),"")</f>
        <v/>
      </c>
      <c r="BD16" t="str">
        <f t="shared" si="19"/>
        <v/>
      </c>
      <c r="BE16" s="209" t="str">
        <f t="shared" si="15"/>
        <v/>
      </c>
      <c r="BF16" s="101" t="str">
        <f t="array" ref="BF16">_xlfn.IFNA(INDEX($BE$5:$BE$49,MATCH(0,COUNTIF($BF$4:BF15,$BE$5:$BE$49),0),1),"")</f>
        <v/>
      </c>
      <c r="BG16" s="201" t="str">
        <f t="shared" si="21"/>
        <v/>
      </c>
      <c r="BI16" s="101" t="str">
        <f t="array" ref="BI16">_xlfn.IFNA(INDEX($F$5:$F$49,MATCH(0,COUNTIF($BI$4:BI15,$F$5:$F$49),0),1),"")</f>
        <v/>
      </c>
      <c r="BJ16" s="206" t="str">
        <f t="shared" si="16"/>
        <v/>
      </c>
      <c r="BK16" s="9"/>
      <c r="BL16" s="15"/>
      <c r="BM16" s="225"/>
      <c r="BN16" s="15"/>
      <c r="BO16" s="270"/>
      <c r="BP16" s="372">
        <f>_xlfn.IFNA(IF(B15&lt;&gt;"",IF(AND(ISBLANK('1.4 Analyse &amp; Synthese'!N17),ISBLANK('1.4 Analyse &amp; Synthese'!O17),ISBLANK('1.4 Analyse &amp; Synthese'!P17)),IF('1.4 Analyse &amp; Synthese'!M17="x",1,0),""),""),"")</f>
        <v>1</v>
      </c>
      <c r="BQ16" s="123" t="str">
        <f>_xlfn.IFNA(IF(B15&lt;&gt;"",IF(AND(ISBLANK('1.4 Analyse &amp; Synthese'!M17),ISBLANK('1.4 Analyse &amp; Synthese'!O17),ISBLANK('1.4 Analyse &amp; Synthese'!P17)),IF('1.4 Analyse &amp; Synthese'!N17="x",1,0),""),""),"")</f>
        <v/>
      </c>
      <c r="BR16" s="123" t="str">
        <f>_xlfn.IFNA(IF(B15&lt;&gt;"",IF(AND(ISBLANK('1.4 Analyse &amp; Synthese'!M17),ISBLANK('1.4 Analyse &amp; Synthese'!N17),ISBLANK('1.4 Analyse &amp; Synthese'!P17)),IF('1.4 Analyse &amp; Synthese'!O17="x",1,0),""),""),"")</f>
        <v/>
      </c>
      <c r="BS16" s="123">
        <f>_xlfn.IFNA(IF(B15&lt;&gt;"",IF(AND('1.4 Analyse &amp; Synthese'!M17="X",'1.4 Analyse &amp; Synthese'!N17="X",'1.4 Analyse &amp; Synthese'!O17="X"),1,0),""),"")</f>
        <v>0</v>
      </c>
      <c r="BT16" s="123">
        <f>_xlfn.IFNA(IF(B15&lt;&gt;"",IF(AND(ISBLANK('1.4 Analyse &amp; Synthese'!M17),ISBLANK('1.4 Analyse &amp; Synthese'!N17),ISBLANK('1.4 Analyse &amp; Synthese'!O17)),1,0),""),"")</f>
        <v>0</v>
      </c>
      <c r="BU16" s="123">
        <f>_xlfn.IFNA(IF(B15&lt;&gt;"",IF(OR(AND('1.4 Analyse &amp; Synthese'!M17="X",'1.4 Analyse &amp; Synthese'!N17="X",'1.4 Analyse &amp; Synthese'!O17=""),AND('1.4 Analyse &amp; Synthese'!M17="X",'1.4 Analyse &amp; Synthese'!N17="",'1.4 Analyse &amp; Synthese'!O17="X"),AND('1.4 Analyse &amp; Synthese'!M17="",'1.4 Analyse &amp; Synthese'!N17="X",'1.4 Analyse &amp; Synthese'!O17="X")),1,0),0),"")</f>
        <v>0</v>
      </c>
      <c r="BV16" s="373" t="str">
        <f>_xlfn.IFNA(IF(B15&lt;&gt;"",IF(AND(ISBLANK('1.4 Analyse &amp; Synthese'!M17),ISBLANK('1.4 Analyse &amp; Synthese'!N17),ISBLANK('1.4 Analyse &amp; Synthese'!O17)),IF('1.4 Analyse &amp; Synthese'!P17="x",1,0),""),""),"")</f>
        <v/>
      </c>
    </row>
    <row r="17" spans="2:74" x14ac:dyDescent="0.2">
      <c r="B17" s="127">
        <f>IF('1.4 Analyse &amp; Synthese'!B19&lt;&gt;0,'1.4 Analyse &amp; Synthese'!B19,"")</f>
        <v>13</v>
      </c>
      <c r="C17" t="str">
        <f>_xlfn.IFNA(IF(B17&lt;&gt;0,VLOOKUP($B17,Tabelle3[[1]:[3]],2)),"")</f>
        <v>Demchenko</v>
      </c>
      <c r="D17">
        <f>_xlfn.IFNA(IF(B17&lt;&gt;0,VLOOKUP($B17,Tabelle3[[1]:[3]],3)),"")</f>
        <v>2013</v>
      </c>
      <c r="E17" t="str">
        <f>_xlfn.IFNA(IF(B17&lt;&gt;0,VLOOKUP($B17,Tabelle3[[1]:[4]],4)),"")</f>
        <v>Service Interface (I)</v>
      </c>
      <c r="F17" t="str">
        <f>_xlfn.IFNA(IF(B17&lt;&gt;0,VLOOKUP($B17,Tabelle3[[1]:[5]],5)),"")</f>
        <v>Empfehlung</v>
      </c>
      <c r="G17" s="101">
        <f>_xlfn.IFNA(IF(B17&lt;&gt;0,VLOOKUP($B17,Tabelle3[[1]:[Aggregator/Integrator]],10)),"")</f>
        <v>0</v>
      </c>
      <c r="H17" s="101" t="str">
        <f>_xlfn.IFNA(IF(B17&lt;&gt;0,VLOOKUP($B17,Tabelle3[[1]:[ITSVN Akteure]],11)),"")</f>
        <v>x</v>
      </c>
      <c r="I17" s="101" t="str">
        <f>_xlfn.IFNA(IF(B17&lt;&gt;0,VLOOKUP($B17,Tabelle3[[1]:[IaaS]],12)),"")</f>
        <v>x</v>
      </c>
      <c r="J17" s="101" t="str">
        <f>_xlfn.IFNA(IF(B17&lt;&gt;0,VLOOKUP($B17,Tabelle3[[1]:[PaaS]],13)),"")</f>
        <v>x</v>
      </c>
      <c r="K17" s="101" t="str">
        <f>_xlfn.IFNA(IF(B17&lt;&gt;0,VLOOKUP($B17,Tabelle3[[1]:[SaaS]],14)),"")</f>
        <v>x</v>
      </c>
      <c r="L17" s="101">
        <f>_xlfn.IFNA(IF(B17&lt;&gt;0,VLOOKUP($B17,Tabelle3[[1]:[DaaS]],15)),"")</f>
        <v>0</v>
      </c>
      <c r="M17" s="117">
        <f>IF(B17&lt;&gt;0,COUNTIF('1.4 Analyse &amp; Synthese'!Q19:AJ19,1))</f>
        <v>4</v>
      </c>
      <c r="N17" s="101">
        <f>IF(B17&lt;&gt;0,COUNTIF('1.4 Analyse &amp; Synthese'!Q19:AJ19,3))</f>
        <v>2</v>
      </c>
      <c r="O17" s="101" t="str">
        <f t="array" ref="O17">_xlfn.IFNA(INDEX($D$5:$D$49,MATCH(0,COUNTIF($O$4:O16,$D$5:$D$49),0),1),"")</f>
        <v/>
      </c>
      <c r="P17" s="101" t="str">
        <f t="shared" si="0"/>
        <v/>
      </c>
      <c r="Q17" s="101" t="str">
        <f t="shared" si="1"/>
        <v/>
      </c>
      <c r="R17" s="128" t="str">
        <f>_xlfn.IFNA(IF(VLOOKUP(B17,Tabelle4[#All],2,FALSE)="x",VLOOKUP(B17,'1.4 Analyse &amp; Synthese'!$B$7:$G$47,6,FALSE),""),"")</f>
        <v>Kompatibilität</v>
      </c>
      <c r="S17" s="101" t="str">
        <f t="array" ref="S17">_xlfn.IFNA(INDEX($R$5:$R$49,MATCH(0,COUNTIF($S$4:S16,$R$5:$R$49),0),1),"")</f>
        <v/>
      </c>
      <c r="T17" s="101" t="str">
        <f t="shared" si="2"/>
        <v/>
      </c>
      <c r="U17" s="9" t="str">
        <f>_xlfn.IFNA(IF(VLOOKUP(B17,Tabelle4[#All],2,FALSE)="x",VLOOKUP(B17,'1.4 Analyse &amp; Synthese'!$B$7:$I$47,8,FALSE),""),"")</f>
        <v>Application Programming Interface</v>
      </c>
      <c r="V17" s="122" t="str">
        <f t="array" ref="V17">_xlfn.IFNA(INDEX($U$5:$U$49,MATCH(0,COUNTIF($V$5:V16,$U$5:$U$49),0),1),"")</f>
        <v>Einheitl. Servicebeschreibung</v>
      </c>
      <c r="W17">
        <f t="shared" si="9"/>
        <v>0</v>
      </c>
      <c r="X17">
        <f t="shared" si="10"/>
        <v>0</v>
      </c>
      <c r="Y17">
        <f t="shared" si="11"/>
        <v>0</v>
      </c>
      <c r="Z17">
        <f t="shared" si="22"/>
        <v>2</v>
      </c>
      <c r="AA17">
        <f t="shared" si="13"/>
        <v>0</v>
      </c>
      <c r="AB17" s="196">
        <f t="shared" si="20"/>
        <v>2</v>
      </c>
      <c r="AD17" s="8"/>
      <c r="AE17" s="8"/>
      <c r="AF17" s="8"/>
      <c r="AG17" s="8"/>
      <c r="AH17" s="264"/>
      <c r="AI17" s="114" t="str">
        <f>_xlfn.IFNA(IF(VLOOKUP(B17,Tabelle4[#All],2,FALSE)="x",VLOOKUP(B17,Tabelle4[#All],6,FALSE),""),"")</f>
        <v>Journal</v>
      </c>
      <c r="AJ17" s="101" t="str">
        <f t="array" ref="AJ17">_xlfn.IFNA(INDEX($AI$5:$AI$49,MATCH(0,COUNTIF($AJ$4:AJ16,$AI$5:$AI$49),0),1),"")</f>
        <v/>
      </c>
      <c r="AK17" s="101" t="str">
        <f t="shared" si="3"/>
        <v/>
      </c>
      <c r="AL17" s="117" t="str">
        <f t="array" ref="AL17">_xlfn.IFNA(INDEX($E$5:$E$49,MATCH(0,COUNTIF($AL$4:AL16,$E$5:$E$49),0),1),"")</f>
        <v>Terminology (A)</v>
      </c>
      <c r="AM17">
        <f t="shared" si="4"/>
        <v>1</v>
      </c>
      <c r="AN17" s="9"/>
      <c r="AS17" t="str">
        <f t="shared" si="5"/>
        <v/>
      </c>
      <c r="AT17" s="198" t="str">
        <f t="array" ref="AT17">_xlfn.IFNA(INDEX($AS$5:$AS$49,MATCH(0,COUNTIF($AT$4:AT16,$AS$5:$AS$49),0),1),"")</f>
        <v/>
      </c>
      <c r="AU17" s="202"/>
      <c r="AV17" s="200" t="str">
        <f t="shared" si="6"/>
        <v>Application Programming Interface</v>
      </c>
      <c r="AW17" s="117" t="str">
        <f t="array" ref="AW17">_xlfn.IFNA(INDEX($AV$6:$AV$49,MATCH(0,COUNTIF($AW$4:AW16,$AV$6:$AV$49),0),1),"")</f>
        <v>Atificial Intelligence</v>
      </c>
      <c r="AX17" s="360">
        <f t="shared" si="17"/>
        <v>1</v>
      </c>
      <c r="AY17" s="204" t="str">
        <f t="shared" si="7"/>
        <v/>
      </c>
      <c r="AZ17" s="101" t="str">
        <f t="array" ref="AZ17">_xlfn.IFNA(INDEX($AY$5:$AY$49,MATCH(0,COUNTIF($AZ$4:AZ16,$AY$5:$AY$49),0),1),"")</f>
        <v/>
      </c>
      <c r="BA17" t="str">
        <f t="shared" si="18"/>
        <v/>
      </c>
      <c r="BB17" s="8" t="str">
        <f t="shared" si="14"/>
        <v/>
      </c>
      <c r="BC17" s="101" t="str">
        <f t="array" ref="BC17">_xlfn.IFNA(INDEX($BB$6:$BB$49,MATCH(0,COUNTIF($BC$4:BC16,$BB$6:$BB$49),0),1),"")</f>
        <v/>
      </c>
      <c r="BD17" t="str">
        <f t="shared" si="19"/>
        <v/>
      </c>
      <c r="BE17" s="209" t="str">
        <f t="shared" si="15"/>
        <v/>
      </c>
      <c r="BF17" s="101" t="str">
        <f t="array" ref="BF17">_xlfn.IFNA(INDEX($BE$5:$BE$49,MATCH(0,COUNTIF($BF$4:BF16,$BE$5:$BE$49),0),1),"")</f>
        <v/>
      </c>
      <c r="BG17" s="201" t="str">
        <f t="shared" si="21"/>
        <v/>
      </c>
      <c r="BI17" s="101" t="str">
        <f t="array" ref="BI17">_xlfn.IFNA(INDEX($F$5:$F$49,MATCH(0,COUNTIF($BI$4:BI16,$F$5:$F$49),0),1),"")</f>
        <v/>
      </c>
      <c r="BJ17" s="206" t="str">
        <f t="shared" si="16"/>
        <v/>
      </c>
      <c r="BK17" s="9"/>
      <c r="BL17" s="15"/>
      <c r="BM17" s="225"/>
      <c r="BN17" s="15"/>
      <c r="BO17" s="270"/>
      <c r="BP17" s="372" t="str">
        <f>_xlfn.IFNA(IF(B16&lt;&gt;"",IF(AND(ISBLANK('1.4 Analyse &amp; Synthese'!N18),ISBLANK('1.4 Analyse &amp; Synthese'!O18),ISBLANK('1.4 Analyse &amp; Synthese'!P18)),IF('1.4 Analyse &amp; Synthese'!M18="x",1,0),""),""),"")</f>
        <v/>
      </c>
      <c r="BQ17" s="123" t="str">
        <f>_xlfn.IFNA(IF(B16&lt;&gt;"",IF(AND(ISBLANK('1.4 Analyse &amp; Synthese'!M18),ISBLANK('1.4 Analyse &amp; Synthese'!O18),ISBLANK('1.4 Analyse &amp; Synthese'!P18)),IF('1.4 Analyse &amp; Synthese'!N18="x",1,0),""),""),"")</f>
        <v/>
      </c>
      <c r="BR17" s="123" t="str">
        <f>_xlfn.IFNA(IF(B16&lt;&gt;"",IF(AND(ISBLANK('1.4 Analyse &amp; Synthese'!M18),ISBLANK('1.4 Analyse &amp; Synthese'!N18),ISBLANK('1.4 Analyse &amp; Synthese'!P18)),IF('1.4 Analyse &amp; Synthese'!O18="x",1,0),""),""),"")</f>
        <v/>
      </c>
      <c r="BS17" s="123">
        <f>_xlfn.IFNA(IF(B16&lt;&gt;"",IF(AND('1.4 Analyse &amp; Synthese'!M18="X",'1.4 Analyse &amp; Synthese'!N18="X",'1.4 Analyse &amp; Synthese'!O18="X"),1,0),""),"")</f>
        <v>1</v>
      </c>
      <c r="BT17" s="123">
        <f>_xlfn.IFNA(IF(B16&lt;&gt;"",IF(AND(ISBLANK('1.4 Analyse &amp; Synthese'!M18),ISBLANK('1.4 Analyse &amp; Synthese'!N18),ISBLANK('1.4 Analyse &amp; Synthese'!O18)),1,0),""),"")</f>
        <v>0</v>
      </c>
      <c r="BU17" s="123">
        <f>_xlfn.IFNA(IF(B16&lt;&gt;"",IF(OR(AND('1.4 Analyse &amp; Synthese'!M18="X",'1.4 Analyse &amp; Synthese'!N18="X",'1.4 Analyse &amp; Synthese'!O18=""),AND('1.4 Analyse &amp; Synthese'!M18="X",'1.4 Analyse &amp; Synthese'!N18="",'1.4 Analyse &amp; Synthese'!O18="X"),AND('1.4 Analyse &amp; Synthese'!M18="",'1.4 Analyse &amp; Synthese'!N18="X",'1.4 Analyse &amp; Synthese'!O18="X")),1,0),0),"")</f>
        <v>0</v>
      </c>
      <c r="BV17" s="373" t="str">
        <f>_xlfn.IFNA(IF(B16&lt;&gt;"",IF(AND(ISBLANK('1.4 Analyse &amp; Synthese'!M18),ISBLANK('1.4 Analyse &amp; Synthese'!N18),ISBLANK('1.4 Analyse &amp; Synthese'!O18)),IF('1.4 Analyse &amp; Synthese'!P18="x",1,0),""),""),"")</f>
        <v/>
      </c>
    </row>
    <row r="18" spans="2:74" x14ac:dyDescent="0.2">
      <c r="B18" s="127">
        <f>IF('1.4 Analyse &amp; Synthese'!B20&lt;&gt;0,'1.4 Analyse &amp; Synthese'!B20,"")</f>
        <v>14</v>
      </c>
      <c r="C18" t="str">
        <f>_xlfn.IFNA(IF(B18&lt;&gt;0,VLOOKUP($B18,Tabelle3[[1]:[3]],2)),"")</f>
        <v>El-Awadi</v>
      </c>
      <c r="D18">
        <f>_xlfn.IFNA(IF(B18&lt;&gt;0,VLOOKUP($B18,Tabelle3[[1]:[3]],3)),"")</f>
        <v>2015</v>
      </c>
      <c r="E18" t="str">
        <f>_xlfn.IFNA(IF(B18&lt;&gt;0,VLOOKUP($B18,Tabelle3[[1]:[4]],4)),"")</f>
        <v>Legal conditions (A)</v>
      </c>
      <c r="F18" t="str">
        <f>_xlfn.IFNA(IF(B18&lt;&gt;0,VLOOKUP($B18,Tabelle3[[1]:[5]],5)),"")</f>
        <v>Werkzeug</v>
      </c>
      <c r="G18" s="101" t="str">
        <f>_xlfn.IFNA(IF(B18&lt;&gt;0,VLOOKUP($B18,Tabelle3[[1]:[Aggregator/Integrator]],10)),"")</f>
        <v>x</v>
      </c>
      <c r="H18" s="101">
        <f>_xlfn.IFNA(IF(B18&lt;&gt;0,VLOOKUP($B18,Tabelle3[[1]:[ITSVN Akteure]],11)),"")</f>
        <v>0</v>
      </c>
      <c r="I18" s="101" t="str">
        <f>_xlfn.IFNA(IF(B18&lt;&gt;0,VLOOKUP($B18,Tabelle3[[1]:[IaaS]],12)),"")</f>
        <v>x</v>
      </c>
      <c r="J18" s="101" t="str">
        <f>_xlfn.IFNA(IF(B18&lt;&gt;0,VLOOKUP($B18,Tabelle3[[1]:[PaaS]],13)),"")</f>
        <v>x</v>
      </c>
      <c r="K18" s="101" t="str">
        <f>_xlfn.IFNA(IF(B18&lt;&gt;0,VLOOKUP($B18,Tabelle3[[1]:[SaaS]],14)),"")</f>
        <v>x</v>
      </c>
      <c r="L18" s="101">
        <f>_xlfn.IFNA(IF(B18&lt;&gt;0,VLOOKUP($B18,Tabelle3[[1]:[DaaS]],15)),"")</f>
        <v>0</v>
      </c>
      <c r="M18" s="117">
        <f>IF(B18&lt;&gt;0,COUNTIF('1.4 Analyse &amp; Synthese'!Q20:AJ20,1))</f>
        <v>5</v>
      </c>
      <c r="N18" s="101">
        <f>IF(B18&lt;&gt;0,COUNTIF('1.4 Analyse &amp; Synthese'!Q20:AJ20,3))</f>
        <v>2</v>
      </c>
      <c r="O18" s="101" t="str">
        <f t="array" ref="O18">_xlfn.IFNA(INDEX($D$5:$D$49,MATCH(0,COUNTIF($O$4:O17,$D$5:$D$49),0),1),"")</f>
        <v/>
      </c>
      <c r="P18" s="101" t="str">
        <f t="shared" si="0"/>
        <v/>
      </c>
      <c r="Q18" s="101" t="str">
        <f t="shared" si="1"/>
        <v/>
      </c>
      <c r="R18" s="128" t="str">
        <f>_xlfn.IFNA(IF(VLOOKUP(B18,Tabelle4[#All],2,FALSE)="x",VLOOKUP(B18,'1.4 Analyse &amp; Synthese'!$B$7:$G$47,6,FALSE),""),"")</f>
        <v>Anbieter- &amp; Serviceauswahl</v>
      </c>
      <c r="S18" s="101" t="str">
        <f t="array" ref="S18">_xlfn.IFNA(INDEX($R$5:$R$49,MATCH(0,COUNTIF($S$4:S17,$R$5:$R$49),0),1),"")</f>
        <v/>
      </c>
      <c r="T18" s="101" t="str">
        <f t="shared" si="2"/>
        <v/>
      </c>
      <c r="U18" s="9" t="str">
        <f>_xlfn.IFNA(IF(VLOOKUP(B18,Tabelle4[#All],2,FALSE)="x",VLOOKUP(B18,'1.4 Analyse &amp; Synthese'!$B$7:$I$47,8,FALSE),""),"")</f>
        <v>Einheitl. Servicebeschreibung</v>
      </c>
      <c r="V18" s="122" t="str">
        <f t="array" ref="V18">_xlfn.IFNA(INDEX($U$5:$U$49,MATCH(0,COUNTIF($V$5:V17,$U$5:$U$49),0),1),"")</f>
        <v>OVF Erweiterung</v>
      </c>
      <c r="W18">
        <f t="shared" si="9"/>
        <v>0</v>
      </c>
      <c r="X18">
        <f t="shared" si="10"/>
        <v>0</v>
      </c>
      <c r="Y18">
        <f t="shared" si="11"/>
        <v>0</v>
      </c>
      <c r="Z18">
        <f t="shared" si="22"/>
        <v>0</v>
      </c>
      <c r="AA18">
        <f t="shared" si="13"/>
        <v>0</v>
      </c>
      <c r="AB18" s="196">
        <f t="shared" si="20"/>
        <v>0</v>
      </c>
      <c r="AD18" s="8"/>
      <c r="AE18" s="8"/>
      <c r="AF18" s="8"/>
      <c r="AG18" s="8"/>
      <c r="AH18" s="264"/>
      <c r="AI18" s="114" t="str">
        <f>_xlfn.IFNA(IF(VLOOKUP(B18,Tabelle4[#All],2,FALSE)="x",VLOOKUP(B18,Tabelle4[#All],6,FALSE),""),"")</f>
        <v>Konferenz</v>
      </c>
      <c r="AJ18" s="101" t="str">
        <f t="array" ref="AJ18">_xlfn.IFNA(INDEX($AI$5:$AI$49,MATCH(0,COUNTIF($AJ$4:AJ17,$AI$5:$AI$49),0),1),"")</f>
        <v/>
      </c>
      <c r="AK18" s="101" t="str">
        <f t="shared" si="3"/>
        <v/>
      </c>
      <c r="AL18" s="117" t="str">
        <f t="array" ref="AL18">_xlfn.IFNA(INDEX($E$5:$E$49,MATCH(0,COUNTIF($AL$4:AL17,$E$5:$E$49),0),1),"")</f>
        <v>Standardization (I)</v>
      </c>
      <c r="AM18">
        <f t="shared" si="4"/>
        <v>1</v>
      </c>
      <c r="AN18" s="9"/>
      <c r="AS18" t="str">
        <f t="shared" si="5"/>
        <v>Einheitl. Servicebeschreibung</v>
      </c>
      <c r="AT18" s="198" t="str">
        <f t="array" ref="AT18">_xlfn.IFNA(INDEX($AS$5:$AS$49,MATCH(0,COUNTIF($AT$4:AT17,$AS$5:$AS$49),0),1),"")</f>
        <v/>
      </c>
      <c r="AU18" s="202"/>
      <c r="AV18" s="200" t="str">
        <f t="shared" si="6"/>
        <v/>
      </c>
      <c r="AW18" s="117" t="str">
        <f t="array" ref="AW18">_xlfn.IFNA(INDEX($AV$6:$AV$49,MATCH(0,COUNTIF($AW$4:AW17,$AV$6:$AV$49),0),1),"")</f>
        <v>Collaboration SaaS</v>
      </c>
      <c r="AX18" s="360">
        <f t="shared" si="17"/>
        <v>1</v>
      </c>
      <c r="AY18" s="204" t="str">
        <f t="shared" si="7"/>
        <v/>
      </c>
      <c r="AZ18" s="101" t="str">
        <f t="array" ref="AZ18">_xlfn.IFNA(INDEX($AY$5:$AY$49,MATCH(0,COUNTIF($AZ$4:AZ17,$AY$5:$AY$49),0),1),"")</f>
        <v/>
      </c>
      <c r="BA18" t="str">
        <f t="shared" si="18"/>
        <v/>
      </c>
      <c r="BB18" s="8" t="str">
        <f t="shared" si="14"/>
        <v/>
      </c>
      <c r="BC18" s="101" t="str">
        <f t="array" ref="BC18">_xlfn.IFNA(INDEX($BB$6:$BB$49,MATCH(0,COUNTIF($BC$4:BC17,$BB$6:$BB$49),0),1),"")</f>
        <v/>
      </c>
      <c r="BD18" t="str">
        <f t="shared" si="19"/>
        <v/>
      </c>
      <c r="BE18" s="209" t="str">
        <f t="shared" si="15"/>
        <v/>
      </c>
      <c r="BF18" s="101" t="str">
        <f t="array" ref="BF18">_xlfn.IFNA(INDEX($BE$5:$BE$49,MATCH(0,COUNTIF($BF$4:BF17,$BE$5:$BE$49),0),1),"")</f>
        <v/>
      </c>
      <c r="BG18" s="201" t="str">
        <f t="shared" si="21"/>
        <v/>
      </c>
      <c r="BI18" s="101" t="str">
        <f t="array" ref="BI18">_xlfn.IFNA(INDEX($F$5:$F$49,MATCH(0,COUNTIF($BI$4:BI17,$F$5:$F$49),0),1),"")</f>
        <v/>
      </c>
      <c r="BJ18" s="206" t="str">
        <f t="shared" si="16"/>
        <v/>
      </c>
      <c r="BK18" s="9"/>
      <c r="BL18" s="15"/>
      <c r="BM18" s="225"/>
      <c r="BN18" s="15"/>
      <c r="BO18" s="270"/>
      <c r="BP18" s="372" t="str">
        <f>_xlfn.IFNA(IF(B17&lt;&gt;"",IF(AND(ISBLANK('1.4 Analyse &amp; Synthese'!N19),ISBLANK('1.4 Analyse &amp; Synthese'!O19),ISBLANK('1.4 Analyse &amp; Synthese'!P19)),IF('1.4 Analyse &amp; Synthese'!M19="x",1,0),""),""),"")</f>
        <v/>
      </c>
      <c r="BQ18" s="123" t="str">
        <f>_xlfn.IFNA(IF(B17&lt;&gt;"",IF(AND(ISBLANK('1.4 Analyse &amp; Synthese'!M19),ISBLANK('1.4 Analyse &amp; Synthese'!O19),ISBLANK('1.4 Analyse &amp; Synthese'!P19)),IF('1.4 Analyse &amp; Synthese'!N19="x",1,0),""),""),"")</f>
        <v/>
      </c>
      <c r="BR18" s="123" t="str">
        <f>_xlfn.IFNA(IF(B17&lt;&gt;"",IF(AND(ISBLANK('1.4 Analyse &amp; Synthese'!M19),ISBLANK('1.4 Analyse &amp; Synthese'!N19),ISBLANK('1.4 Analyse &amp; Synthese'!P19)),IF('1.4 Analyse &amp; Synthese'!O19="x",1,0),""),""),"")</f>
        <v/>
      </c>
      <c r="BS18" s="123">
        <f>_xlfn.IFNA(IF(B17&lt;&gt;"",IF(AND('1.4 Analyse &amp; Synthese'!M19="X",'1.4 Analyse &amp; Synthese'!N19="X",'1.4 Analyse &amp; Synthese'!O19="X"),1,0),""),"")</f>
        <v>1</v>
      </c>
      <c r="BT18" s="123">
        <f>_xlfn.IFNA(IF(B17&lt;&gt;"",IF(AND(ISBLANK('1.4 Analyse &amp; Synthese'!M19),ISBLANK('1.4 Analyse &amp; Synthese'!N19),ISBLANK('1.4 Analyse &amp; Synthese'!O19)),1,0),""),"")</f>
        <v>0</v>
      </c>
      <c r="BU18" s="123">
        <f>_xlfn.IFNA(IF(B17&lt;&gt;"",IF(OR(AND('1.4 Analyse &amp; Synthese'!M19="X",'1.4 Analyse &amp; Synthese'!N19="X",'1.4 Analyse &amp; Synthese'!O19=""),AND('1.4 Analyse &amp; Synthese'!M19="X",'1.4 Analyse &amp; Synthese'!N19="",'1.4 Analyse &amp; Synthese'!O19="X"),AND('1.4 Analyse &amp; Synthese'!M19="",'1.4 Analyse &amp; Synthese'!N19="X",'1.4 Analyse &amp; Synthese'!O19="X")),1,0),0),"")</f>
        <v>0</v>
      </c>
      <c r="BV18" s="373" t="str">
        <f>_xlfn.IFNA(IF(B17&lt;&gt;"",IF(AND(ISBLANK('1.4 Analyse &amp; Synthese'!M19),ISBLANK('1.4 Analyse &amp; Synthese'!N19),ISBLANK('1.4 Analyse &amp; Synthese'!O19)),IF('1.4 Analyse &amp; Synthese'!P19="x",1,0),""),""),"")</f>
        <v/>
      </c>
    </row>
    <row r="19" spans="2:74" x14ac:dyDescent="0.2">
      <c r="B19" s="127">
        <f>IF('1.4 Analyse &amp; Synthese'!B21&lt;&gt;0,'1.4 Analyse &amp; Synthese'!B21,"")</f>
        <v>15</v>
      </c>
      <c r="C19" t="str">
        <f>_xlfn.IFNA(IF(B19&lt;&gt;0,VLOOKUP($B19,Tabelle3[[1]:[3]],2)),"")</f>
        <v>Ferry</v>
      </c>
      <c r="D19">
        <f>_xlfn.IFNA(IF(B19&lt;&gt;0,VLOOKUP($B19,Tabelle3[[1]:[3]],3)),"")</f>
        <v>2013</v>
      </c>
      <c r="E19" t="str">
        <f>_xlfn.IFNA(IF(B19&lt;&gt;0,VLOOKUP($B19,Tabelle3[[1]:[4]],4)),"")</f>
        <v>Ecosystem (A)</v>
      </c>
      <c r="F19" t="str">
        <f>_xlfn.IFNA(IF(B19&lt;&gt;0,VLOOKUP($B19,Tabelle3[[1]:[5]],5)),"")</f>
        <v>Methode</v>
      </c>
      <c r="G19" s="101" t="str">
        <f>_xlfn.IFNA(IF(B19&lt;&gt;0,VLOOKUP($B19,Tabelle3[[1]:[Aggregator/Integrator]],10)),"")</f>
        <v>x</v>
      </c>
      <c r="H19" s="101">
        <f>_xlfn.IFNA(IF(B19&lt;&gt;0,VLOOKUP($B19,Tabelle3[[1]:[ITSVN Akteure]],11)),"")</f>
        <v>0</v>
      </c>
      <c r="I19" s="101" t="str">
        <f>_xlfn.IFNA(IF(B19&lt;&gt;0,VLOOKUP($B19,Tabelle3[[1]:[IaaS]],12)),"")</f>
        <v>x</v>
      </c>
      <c r="J19" s="101" t="str">
        <f>_xlfn.IFNA(IF(B19&lt;&gt;0,VLOOKUP($B19,Tabelle3[[1]:[PaaS]],13)),"")</f>
        <v>x</v>
      </c>
      <c r="K19" s="101">
        <f>_xlfn.IFNA(IF(B19&lt;&gt;0,VLOOKUP($B19,Tabelle3[[1]:[SaaS]],14)),"")</f>
        <v>0</v>
      </c>
      <c r="L19" s="101">
        <f>_xlfn.IFNA(IF(B19&lt;&gt;0,VLOOKUP($B19,Tabelle3[[1]:[DaaS]],15)),"")</f>
        <v>0</v>
      </c>
      <c r="M19" s="117">
        <f>IF(B19&lt;&gt;0,COUNTIF('1.4 Analyse &amp; Synthese'!Q21:AJ21,1))</f>
        <v>5</v>
      </c>
      <c r="N19" s="101">
        <f>IF(B19&lt;&gt;0,COUNTIF('1.4 Analyse &amp; Synthese'!Q21:AJ21,3))</f>
        <v>3</v>
      </c>
      <c r="O19" s="101" t="str">
        <f t="array" ref="O19">_xlfn.IFNA(INDEX($D$5:$D$49,MATCH(0,COUNTIF($O$4:O18,$D$5:$D$49),0),1),"")</f>
        <v/>
      </c>
      <c r="P19" s="101" t="str">
        <f t="shared" si="0"/>
        <v/>
      </c>
      <c r="Q19" s="101" t="str">
        <f t="shared" si="1"/>
        <v/>
      </c>
      <c r="R19" s="128" t="str">
        <f>_xlfn.IFNA(IF(VLOOKUP(B19,Tabelle4[#All],2,FALSE)="x",VLOOKUP(B19,'1.4 Analyse &amp; Synthese'!$B$7:$G$47,6,FALSE),""),"")</f>
        <v>Kompatibilität</v>
      </c>
      <c r="S19" s="101" t="str">
        <f t="array" ref="S19">_xlfn.IFNA(INDEX($R$5:$R$49,MATCH(0,COUNTIF($S$4:S18,$R$5:$R$49),0),1),"")</f>
        <v/>
      </c>
      <c r="T19" s="101" t="str">
        <f t="shared" si="2"/>
        <v/>
      </c>
      <c r="U19" s="9" t="str">
        <f>_xlfn.IFNA(IF(VLOOKUP(B19,Tabelle4[#All],2,FALSE)="x",VLOOKUP(B19,'1.4 Analyse &amp; Synthese'!$B$7:$I$47,8,FALSE),""),"")</f>
        <v>Open-Source Plattform</v>
      </c>
      <c r="V19" s="122" t="str">
        <f t="array" ref="V19">_xlfn.IFNA(INDEX($U$5:$U$49,MATCH(0,COUNTIF($V$5:V18,$U$5:$U$49),0),1),"")</f>
        <v>Cloud Service Broker</v>
      </c>
      <c r="W19">
        <f t="shared" si="9"/>
        <v>0</v>
      </c>
      <c r="X19">
        <f t="shared" si="10"/>
        <v>1</v>
      </c>
      <c r="Y19">
        <f t="shared" si="11"/>
        <v>0</v>
      </c>
      <c r="Z19">
        <f t="shared" si="22"/>
        <v>0</v>
      </c>
      <c r="AA19">
        <f t="shared" si="13"/>
        <v>0</v>
      </c>
      <c r="AB19" s="196">
        <f t="shared" si="20"/>
        <v>1</v>
      </c>
      <c r="AD19" s="8"/>
      <c r="AE19" s="8"/>
      <c r="AF19" s="8"/>
      <c r="AG19" s="8"/>
      <c r="AH19" s="264"/>
      <c r="AI19" s="114" t="str">
        <f>_xlfn.IFNA(IF(VLOOKUP(B19,Tabelle4[#All],2,FALSE)="x",VLOOKUP(B19,Tabelle4[#All],6,FALSE),""),"")</f>
        <v>Konferenz</v>
      </c>
      <c r="AJ19" s="101" t="str">
        <f t="array" ref="AJ19">_xlfn.IFNA(INDEX($AI$5:$AI$49,MATCH(0,COUNTIF($AJ$4:AJ18,$AI$5:$AI$49),0),1),"")</f>
        <v/>
      </c>
      <c r="AK19" s="101" t="str">
        <f t="shared" si="3"/>
        <v/>
      </c>
      <c r="AL19" s="117" t="str">
        <f t="array" ref="AL19">_xlfn.IFNA(INDEX($E$5:$E$49,MATCH(0,COUNTIF($AL$4:AL18,$E$5:$E$49),0),1),"")</f>
        <v>Cultural background (A)</v>
      </c>
      <c r="AM19">
        <f t="shared" si="4"/>
        <v>1</v>
      </c>
      <c r="AN19" s="9"/>
      <c r="AS19" t="str">
        <f t="shared" si="5"/>
        <v/>
      </c>
      <c r="AT19" s="198" t="str">
        <f t="array" ref="AT19">_xlfn.IFNA(INDEX($AS$5:$AS$49,MATCH(0,COUNTIF($AT$4:AT18,$AS$5:$AS$49),0),1),"")</f>
        <v/>
      </c>
      <c r="AU19" s="202"/>
      <c r="AV19" s="200" t="str">
        <f t="shared" si="6"/>
        <v>Open-Source Plattform</v>
      </c>
      <c r="AW19" s="101" t="str">
        <f t="array" ref="AW19">_xlfn.IFNA(INDEX($AV$6:$AV$49,MATCH(0,COUNTIF($AW$4:AW18,$AV$6:$AV$49),0),1),"")</f>
        <v/>
      </c>
      <c r="AX19" s="201" t="str">
        <f t="shared" si="17"/>
        <v/>
      </c>
      <c r="AY19" s="204" t="str">
        <f t="shared" si="7"/>
        <v/>
      </c>
      <c r="AZ19" s="101" t="str">
        <f t="array" ref="AZ19">_xlfn.IFNA(INDEX($AY$5:$AY$49,MATCH(0,COUNTIF($AZ$4:AZ18,$AY$5:$AY$49),0),1),"")</f>
        <v/>
      </c>
      <c r="BA19" t="str">
        <f t="shared" si="18"/>
        <v/>
      </c>
      <c r="BB19" s="8" t="str">
        <f t="shared" si="14"/>
        <v/>
      </c>
      <c r="BC19" s="101" t="str">
        <f t="array" ref="BC19">_xlfn.IFNA(INDEX($BB$6:$BB$49,MATCH(0,COUNTIF($BC$4:BC18,$BB$6:$BB$49),0),1),"")</f>
        <v/>
      </c>
      <c r="BD19" t="str">
        <f t="shared" si="19"/>
        <v/>
      </c>
      <c r="BE19" s="209" t="str">
        <f t="shared" si="15"/>
        <v/>
      </c>
      <c r="BF19" s="101" t="str">
        <f t="array" ref="BF19">_xlfn.IFNA(INDEX($BE$5:$BE$49,MATCH(0,COUNTIF($BF$4:BF18,$BE$5:$BE$49),0),1),"")</f>
        <v/>
      </c>
      <c r="BG19" s="201" t="str">
        <f t="shared" si="21"/>
        <v/>
      </c>
      <c r="BI19" s="101" t="str">
        <f t="array" ref="BI19">_xlfn.IFNA(INDEX($F$5:$F$49,MATCH(0,COUNTIF($BI$4:BI18,$F$5:$F$49),0),1),"")</f>
        <v/>
      </c>
      <c r="BJ19" s="206" t="str">
        <f t="shared" si="16"/>
        <v/>
      </c>
      <c r="BK19" s="9"/>
      <c r="BL19" s="15"/>
      <c r="BM19" s="225"/>
      <c r="BN19" s="15"/>
      <c r="BO19" s="270"/>
      <c r="BP19" s="372" t="str">
        <f>_xlfn.IFNA(IF(B18&lt;&gt;"",IF(AND(ISBLANK('1.4 Analyse &amp; Synthese'!N20),ISBLANK('1.4 Analyse &amp; Synthese'!O20),ISBLANK('1.4 Analyse &amp; Synthese'!P20)),IF('1.4 Analyse &amp; Synthese'!M20="x",1,0),""),""),"")</f>
        <v/>
      </c>
      <c r="BQ19" s="123" t="str">
        <f>_xlfn.IFNA(IF(B18&lt;&gt;"",IF(AND(ISBLANK('1.4 Analyse &amp; Synthese'!M20),ISBLANK('1.4 Analyse &amp; Synthese'!O20),ISBLANK('1.4 Analyse &amp; Synthese'!P20)),IF('1.4 Analyse &amp; Synthese'!N20="x",1,0),""),""),"")</f>
        <v/>
      </c>
      <c r="BR19" s="123" t="str">
        <f>_xlfn.IFNA(IF(B18&lt;&gt;"",IF(AND(ISBLANK('1.4 Analyse &amp; Synthese'!M20),ISBLANK('1.4 Analyse &amp; Synthese'!N20),ISBLANK('1.4 Analyse &amp; Synthese'!P20)),IF('1.4 Analyse &amp; Synthese'!O20="x",1,0),""),""),"")</f>
        <v/>
      </c>
      <c r="BS19" s="123">
        <f>_xlfn.IFNA(IF(B18&lt;&gt;"",IF(AND('1.4 Analyse &amp; Synthese'!M20="X",'1.4 Analyse &amp; Synthese'!N20="X",'1.4 Analyse &amp; Synthese'!O20="X"),1,0),""),"")</f>
        <v>1</v>
      </c>
      <c r="BT19" s="123">
        <f>_xlfn.IFNA(IF(B18&lt;&gt;"",IF(AND(ISBLANK('1.4 Analyse &amp; Synthese'!M20),ISBLANK('1.4 Analyse &amp; Synthese'!N20),ISBLANK('1.4 Analyse &amp; Synthese'!O20)),1,0),""),"")</f>
        <v>0</v>
      </c>
      <c r="BU19" s="123">
        <f>_xlfn.IFNA(IF(B18&lt;&gt;"",IF(OR(AND('1.4 Analyse &amp; Synthese'!M20="X",'1.4 Analyse &amp; Synthese'!N20="X",'1.4 Analyse &amp; Synthese'!O20=""),AND('1.4 Analyse &amp; Synthese'!M20="X",'1.4 Analyse &amp; Synthese'!N20="",'1.4 Analyse &amp; Synthese'!O20="X"),AND('1.4 Analyse &amp; Synthese'!M20="",'1.4 Analyse &amp; Synthese'!N20="X",'1.4 Analyse &amp; Synthese'!O20="X")),1,0),0),"")</f>
        <v>0</v>
      </c>
      <c r="BV19" s="373" t="str">
        <f>_xlfn.IFNA(IF(B18&lt;&gt;"",IF(AND(ISBLANK('1.4 Analyse &amp; Synthese'!M20),ISBLANK('1.4 Analyse &amp; Synthese'!N20),ISBLANK('1.4 Analyse &amp; Synthese'!O20)),IF('1.4 Analyse &amp; Synthese'!P20="x",1,0),""),""),"")</f>
        <v/>
      </c>
    </row>
    <row r="20" spans="2:74" x14ac:dyDescent="0.2">
      <c r="B20" s="127">
        <f>IF('1.4 Analyse &amp; Synthese'!B22&lt;&gt;0,'1.4 Analyse &amp; Synthese'!B22,"")</f>
        <v>16</v>
      </c>
      <c r="C20" t="str">
        <f>_xlfn.IFNA(IF(B20&lt;&gt;0,VLOOKUP($B20,Tabelle3[[1]:[3]],2)),"")</f>
        <v>Ghafour</v>
      </c>
      <c r="D20">
        <f>_xlfn.IFNA(IF(B20&lt;&gt;0,VLOOKUP($B20,Tabelle3[[1]:[3]],3)),"")</f>
        <v>2014</v>
      </c>
      <c r="E20" t="str">
        <f>_xlfn.IFNA(IF(B20&lt;&gt;0,VLOOKUP($B20,Tabelle3[[1]:[4]],4)),"")</f>
        <v>Rückwärtssuche</v>
      </c>
      <c r="F20" t="str">
        <f>_xlfn.IFNA(IF(B20&lt;&gt;0,VLOOKUP($B20,Tabelle3[[1]:[5]],5)),"")</f>
        <v>Empfehlung</v>
      </c>
      <c r="G20" s="101" t="str">
        <f>_xlfn.IFNA(IF(B20&lt;&gt;0,VLOOKUP($B20,Tabelle3[[1]:[Aggregator/Integrator]],10)),"")</f>
        <v>x</v>
      </c>
      <c r="H20" s="101">
        <f>_xlfn.IFNA(IF(B20&lt;&gt;0,VLOOKUP($B20,Tabelle3[[1]:[ITSVN Akteure]],11)),"")</f>
        <v>0</v>
      </c>
      <c r="I20" s="101">
        <f>_xlfn.IFNA(IF(B20&lt;&gt;0,VLOOKUP($B20,Tabelle3[[1]:[IaaS]],12)),"")</f>
        <v>0</v>
      </c>
      <c r="J20" s="101">
        <f>_xlfn.IFNA(IF(B20&lt;&gt;0,VLOOKUP($B20,Tabelle3[[1]:[PaaS]],13)),"")</f>
        <v>0</v>
      </c>
      <c r="K20" s="101">
        <f>_xlfn.IFNA(IF(B20&lt;&gt;0,VLOOKUP($B20,Tabelle3[[1]:[SaaS]],14)),"")</f>
        <v>0</v>
      </c>
      <c r="L20" s="101" t="str">
        <f>_xlfn.IFNA(IF(B20&lt;&gt;0,VLOOKUP($B20,Tabelle3[[1]:[DaaS]],15)),"")</f>
        <v>x</v>
      </c>
      <c r="M20" s="117">
        <f>IF(B20&lt;&gt;0,COUNTIF('1.4 Analyse &amp; Synthese'!Q22:AJ22,1))</f>
        <v>5</v>
      </c>
      <c r="N20" s="101">
        <f>IF(B20&lt;&gt;0,COUNTIF('1.4 Analyse &amp; Synthese'!Q22:AJ22,3))</f>
        <v>1</v>
      </c>
      <c r="O20" s="101" t="str">
        <f t="array" ref="O20">_xlfn.IFNA(INDEX($D$5:$D$49,MATCH(0,COUNTIF($O$4:O19,$D$5:$D$49),0),1),"")</f>
        <v/>
      </c>
      <c r="P20" s="101" t="str">
        <f t="shared" si="0"/>
        <v/>
      </c>
      <c r="Q20" s="101" t="str">
        <f t="shared" si="1"/>
        <v/>
      </c>
      <c r="R20" s="128" t="str">
        <f>_xlfn.IFNA(IF(VLOOKUP(B20,Tabelle4[#All],2,FALSE)="x",VLOOKUP(B20,'1.4 Analyse &amp; Synthese'!$B$7:$G$47,6,FALSE),""),"")</f>
        <v>Kompatibilität</v>
      </c>
      <c r="S20" s="101" t="str">
        <f t="array" ref="S20">_xlfn.IFNA(INDEX($R$5:$R$49,MATCH(0,COUNTIF($S$4:S19,$R$5:$R$49),0),1),"")</f>
        <v/>
      </c>
      <c r="T20" s="101" t="str">
        <f t="shared" si="2"/>
        <v/>
      </c>
      <c r="U20" s="9" t="str">
        <f>_xlfn.IFNA(IF(VLOOKUP(B20,Tabelle4[#All],2,FALSE)="x",VLOOKUP(B20,'1.4 Analyse &amp; Synthese'!$B$7:$I$47,8,FALSE),""),"")</f>
        <v>Datenintegration</v>
      </c>
      <c r="V20" s="122" t="str">
        <f t="array" ref="V20">_xlfn.IFNA(INDEX($U$5:$U$49,MATCH(0,COUNTIF($V$5:V19,$U$5:$U$49),0),1),"")</f>
        <v>Rechtliche Rahmenbedingung</v>
      </c>
      <c r="W20">
        <f t="shared" si="9"/>
        <v>0</v>
      </c>
      <c r="X20">
        <f t="shared" si="10"/>
        <v>0</v>
      </c>
      <c r="Y20">
        <f t="shared" si="11"/>
        <v>1</v>
      </c>
      <c r="Z20">
        <f t="shared" si="22"/>
        <v>0</v>
      </c>
      <c r="AA20">
        <f t="shared" si="13"/>
        <v>0</v>
      </c>
      <c r="AB20" s="196">
        <f t="shared" si="20"/>
        <v>1</v>
      </c>
      <c r="AD20" s="8"/>
      <c r="AE20" s="8"/>
      <c r="AF20" s="8"/>
      <c r="AG20" s="8"/>
      <c r="AH20" s="264"/>
      <c r="AI20" s="114" t="str">
        <f>_xlfn.IFNA(IF(VLOOKUP(B20,Tabelle4[#All],2,FALSE)="x",VLOOKUP(B20,Tabelle4[#All],6,FALSE),""),"")</f>
        <v>Konferenz</v>
      </c>
      <c r="AJ20" s="101" t="str">
        <f t="array" ref="AJ20">_xlfn.IFNA(INDEX($AI$5:$AI$49,MATCH(0,COUNTIF($AJ$4:AJ19,$AI$5:$AI$49),0),1),"")</f>
        <v/>
      </c>
      <c r="AK20" s="101" t="str">
        <f t="shared" si="3"/>
        <v/>
      </c>
      <c r="AL20" s="117" t="str">
        <f t="array" ref="AL20">_xlfn.IFNA(INDEX($E$5:$E$49,MATCH(0,COUNTIF($AL$4:AL19,$E$5:$E$49),0),1),"")</f>
        <v>Support process (A)</v>
      </c>
      <c r="AM20">
        <f t="shared" si="4"/>
        <v>1</v>
      </c>
      <c r="AN20" s="9"/>
      <c r="AS20" t="str">
        <f t="shared" si="5"/>
        <v/>
      </c>
      <c r="AT20" s="198" t="str">
        <f t="array" ref="AT20">_xlfn.IFNA(INDEX($AS$5:$AS$49,MATCH(0,COUNTIF($AT$4:AT19,$AS$5:$AS$49),0),1),"")</f>
        <v/>
      </c>
      <c r="AU20" s="202"/>
      <c r="AV20" s="200" t="str">
        <f t="shared" si="6"/>
        <v>Datenintegration</v>
      </c>
      <c r="AW20" s="101" t="str">
        <f t="array" ref="AW20">_xlfn.IFNA(INDEX($AV$6:$AV$49,MATCH(0,COUNTIF($AW$4:AW19,$AV$6:$AV$49),0),1),"")</f>
        <v/>
      </c>
      <c r="AX20" s="201" t="str">
        <f t="shared" si="17"/>
        <v/>
      </c>
      <c r="AY20" s="204" t="str">
        <f t="shared" si="7"/>
        <v/>
      </c>
      <c r="AZ20" s="101" t="str">
        <f t="array" ref="AZ20">_xlfn.IFNA(INDEX($AY$5:$AY$49,MATCH(0,COUNTIF($AZ$4:AZ19,$AY$5:$AY$49),0),1),"")</f>
        <v/>
      </c>
      <c r="BA20" t="str">
        <f t="shared" si="18"/>
        <v/>
      </c>
      <c r="BB20" s="8" t="str">
        <f t="shared" si="14"/>
        <v/>
      </c>
      <c r="BC20" s="101" t="str">
        <f t="array" ref="BC20">_xlfn.IFNA(INDEX($BB$6:$BB$49,MATCH(0,COUNTIF($BC$4:BC19,$BB$6:$BB$49),0),1),"")</f>
        <v/>
      </c>
      <c r="BD20" t="str">
        <f t="shared" si="19"/>
        <v/>
      </c>
      <c r="BE20" s="209" t="str">
        <f t="shared" si="15"/>
        <v/>
      </c>
      <c r="BF20" s="101" t="str">
        <f t="array" ref="BF20">_xlfn.IFNA(INDEX($BE$5:$BE$49,MATCH(0,COUNTIF($BF$4:BF19,$BE$5:$BE$49),0),1),"")</f>
        <v/>
      </c>
      <c r="BG20" s="201" t="str">
        <f t="shared" si="21"/>
        <v/>
      </c>
      <c r="BI20" s="101" t="str">
        <f t="array" ref="BI20">_xlfn.IFNA(INDEX($F$5:$F$49,MATCH(0,COUNTIF($BI$4:BI19,$F$5:$F$49),0),1),"")</f>
        <v/>
      </c>
      <c r="BJ20" s="206" t="str">
        <f t="shared" si="16"/>
        <v/>
      </c>
      <c r="BK20" s="9"/>
      <c r="BL20" s="15"/>
      <c r="BM20" s="225"/>
      <c r="BN20" s="15"/>
      <c r="BO20" s="270"/>
      <c r="BP20" s="372" t="str">
        <f>_xlfn.IFNA(IF(B19&lt;&gt;"",IF(AND(ISBLANK('1.4 Analyse &amp; Synthese'!N21),ISBLANK('1.4 Analyse &amp; Synthese'!O21),ISBLANK('1.4 Analyse &amp; Synthese'!P21)),IF('1.4 Analyse &amp; Synthese'!M21="x",1,0),""),""),"")</f>
        <v/>
      </c>
      <c r="BQ20" s="123" t="str">
        <f>_xlfn.IFNA(IF(B19&lt;&gt;"",IF(AND(ISBLANK('1.4 Analyse &amp; Synthese'!M21),ISBLANK('1.4 Analyse &amp; Synthese'!O21),ISBLANK('1.4 Analyse &amp; Synthese'!P21)),IF('1.4 Analyse &amp; Synthese'!N21="x",1,0),""),""),"")</f>
        <v/>
      </c>
      <c r="BR20" s="123" t="str">
        <f>_xlfn.IFNA(IF(B19&lt;&gt;"",IF(AND(ISBLANK('1.4 Analyse &amp; Synthese'!M21),ISBLANK('1.4 Analyse &amp; Synthese'!N21),ISBLANK('1.4 Analyse &amp; Synthese'!P21)),IF('1.4 Analyse &amp; Synthese'!O21="x",1,0),""),""),"")</f>
        <v/>
      </c>
      <c r="BS20" s="123">
        <f>_xlfn.IFNA(IF(B19&lt;&gt;"",IF(AND('1.4 Analyse &amp; Synthese'!M21="X",'1.4 Analyse &amp; Synthese'!N21="X",'1.4 Analyse &amp; Synthese'!O21="X"),1,0),""),"")</f>
        <v>0</v>
      </c>
      <c r="BT20" s="123">
        <f>_xlfn.IFNA(IF(B19&lt;&gt;"",IF(AND(ISBLANK('1.4 Analyse &amp; Synthese'!M21),ISBLANK('1.4 Analyse &amp; Synthese'!N21),ISBLANK('1.4 Analyse &amp; Synthese'!O21)),1,0),""),"")</f>
        <v>0</v>
      </c>
      <c r="BU20" s="123">
        <f>_xlfn.IFNA(IF(B19&lt;&gt;"",IF(OR(AND('1.4 Analyse &amp; Synthese'!M21="X",'1.4 Analyse &amp; Synthese'!N21="X",'1.4 Analyse &amp; Synthese'!O21=""),AND('1.4 Analyse &amp; Synthese'!M21="X",'1.4 Analyse &amp; Synthese'!N21="",'1.4 Analyse &amp; Synthese'!O21="X"),AND('1.4 Analyse &amp; Synthese'!M21="",'1.4 Analyse &amp; Synthese'!N21="X",'1.4 Analyse &amp; Synthese'!O21="X")),1,0),0),"")</f>
        <v>1</v>
      </c>
      <c r="BV20" s="373" t="str">
        <f>_xlfn.IFNA(IF(B19&lt;&gt;"",IF(AND(ISBLANK('1.4 Analyse &amp; Synthese'!M21),ISBLANK('1.4 Analyse &amp; Synthese'!N21),ISBLANK('1.4 Analyse &amp; Synthese'!O21)),IF('1.4 Analyse &amp; Synthese'!P21="x",1,0),""),""),"")</f>
        <v/>
      </c>
    </row>
    <row r="21" spans="2:74" x14ac:dyDescent="0.2">
      <c r="B21" s="127">
        <f>IF('1.4 Analyse &amp; Synthese'!B23&lt;&gt;0,'1.4 Analyse &amp; Synthese'!B23,"")</f>
        <v>17</v>
      </c>
      <c r="C21" t="str">
        <f>_xlfn.IFNA(IF(B21&lt;&gt;0,VLOOKUP($B21,Tabelle3[[1]:[3]],2)),"")</f>
        <v xml:space="preserve">Gonidis </v>
      </c>
      <c r="D21">
        <f>_xlfn.IFNA(IF(B21&lt;&gt;0,VLOOKUP($B21,Tabelle3[[1]:[3]],3)),"")</f>
        <v>2014</v>
      </c>
      <c r="E21" t="str">
        <f>_xlfn.IFNA(IF(B21&lt;&gt;0,VLOOKUP($B21,Tabelle3[[1]:[4]],4)),"")</f>
        <v>Service Interface (I)</v>
      </c>
      <c r="F21" t="str">
        <f>_xlfn.IFNA(IF(B21&lt;&gt;0,VLOOKUP($B21,Tabelle3[[1]:[5]],5)),"")</f>
        <v>Empfehlung</v>
      </c>
      <c r="G21" s="101">
        <f>_xlfn.IFNA(IF(B21&lt;&gt;0,VLOOKUP($B21,Tabelle3[[1]:[Aggregator/Integrator]],10)),"")</f>
        <v>0</v>
      </c>
      <c r="H21" s="101" t="str">
        <f>_xlfn.IFNA(IF(B21&lt;&gt;0,VLOOKUP($B21,Tabelle3[[1]:[ITSVN Akteure]],11)),"")</f>
        <v>x</v>
      </c>
      <c r="I21" s="101">
        <f>_xlfn.IFNA(IF(B21&lt;&gt;0,VLOOKUP($B21,Tabelle3[[1]:[IaaS]],12)),"")</f>
        <v>0</v>
      </c>
      <c r="J21" s="101">
        <f>_xlfn.IFNA(IF(B21&lt;&gt;0,VLOOKUP($B21,Tabelle3[[1]:[PaaS]],13)),"")</f>
        <v>0</v>
      </c>
      <c r="K21" s="101" t="str">
        <f>_xlfn.IFNA(IF(B21&lt;&gt;0,VLOOKUP($B21,Tabelle3[[1]:[SaaS]],14)),"")</f>
        <v>x</v>
      </c>
      <c r="L21" s="101">
        <f>_xlfn.IFNA(IF(B21&lt;&gt;0,VLOOKUP($B21,Tabelle3[[1]:[DaaS]],15)),"")</f>
        <v>0</v>
      </c>
      <c r="M21" s="117">
        <f>IF(B21&lt;&gt;0,COUNTIF('1.4 Analyse &amp; Synthese'!Q23:AJ23,1))</f>
        <v>6</v>
      </c>
      <c r="N21" s="101">
        <f>IF(B21&lt;&gt;0,COUNTIF('1.4 Analyse &amp; Synthese'!Q23:AJ23,3))</f>
        <v>0</v>
      </c>
      <c r="O21" s="101" t="str">
        <f t="array" ref="O21">_xlfn.IFNA(INDEX($D$5:$D$49,MATCH(0,COUNTIF($O$4:O20,$D$5:$D$49),0),1),"")</f>
        <v/>
      </c>
      <c r="P21" s="101" t="str">
        <f t="shared" si="0"/>
        <v/>
      </c>
      <c r="Q21" s="101" t="str">
        <f t="shared" si="1"/>
        <v/>
      </c>
      <c r="R21" s="128" t="str">
        <f>_xlfn.IFNA(IF(VLOOKUP(B21,Tabelle4[#All],2,FALSE)="x",VLOOKUP(B21,'1.4 Analyse &amp; Synthese'!$B$7:$G$47,6,FALSE),""),"")</f>
        <v>Kompatibilität</v>
      </c>
      <c r="S21" s="101" t="str">
        <f t="array" ref="S21">_xlfn.IFNA(INDEX($R$5:$R$49,MATCH(0,COUNTIF($S$4:S20,$R$5:$R$49),0),1),"")</f>
        <v/>
      </c>
      <c r="T21" s="101" t="str">
        <f t="shared" si="2"/>
        <v/>
      </c>
      <c r="U21" s="9" t="str">
        <f>_xlfn.IFNA(IF(VLOOKUP(B21,Tabelle4[#All],2,FALSE)="x",VLOOKUP(B21,'1.4 Analyse &amp; Synthese'!$B$7:$I$47,8,FALSE),""),"")</f>
        <v>Cloud Service Komposition</v>
      </c>
      <c r="V21" s="122" t="str">
        <f t="array" ref="V21">_xlfn.IFNA(INDEX($U$5:$U$49,MATCH(0,COUNTIF($V$5:V20,$U$5:$U$49),0),1),"")</f>
        <v>Protokolltransmitter</v>
      </c>
      <c r="W21">
        <f t="shared" si="9"/>
        <v>0</v>
      </c>
      <c r="X21">
        <f t="shared" si="10"/>
        <v>1</v>
      </c>
      <c r="Y21">
        <f t="shared" si="11"/>
        <v>0</v>
      </c>
      <c r="Z21">
        <f t="shared" si="22"/>
        <v>0</v>
      </c>
      <c r="AA21">
        <f t="shared" si="13"/>
        <v>0</v>
      </c>
      <c r="AB21" s="196">
        <f t="shared" si="20"/>
        <v>1</v>
      </c>
      <c r="AD21" s="8"/>
      <c r="AE21" s="8"/>
      <c r="AF21" s="8"/>
      <c r="AG21" s="8"/>
      <c r="AH21" s="264"/>
      <c r="AI21" s="114" t="str">
        <f>_xlfn.IFNA(IF(VLOOKUP(B21,Tabelle4[#All],2,FALSE)="x",VLOOKUP(B21,Tabelle4[#All],6,FALSE),""),"")</f>
        <v>Konferenz</v>
      </c>
      <c r="AJ21" s="101" t="str">
        <f t="array" ref="AJ21">_xlfn.IFNA(INDEX($AI$5:$AI$49,MATCH(0,COUNTIF($AJ$4:AJ20,$AI$5:$AI$49),0),1),"")</f>
        <v/>
      </c>
      <c r="AK21" s="101" t="str">
        <f t="shared" si="3"/>
        <v/>
      </c>
      <c r="AL21" s="117" t="str">
        <f t="array" ref="AL21">_xlfn.IFNA(INDEX($E$5:$E$49,MATCH(0,COUNTIF($AL$4:AL20,$E$5:$E$49),0),1),"")</f>
        <v/>
      </c>
      <c r="AM21" t="str">
        <f t="shared" si="4"/>
        <v/>
      </c>
      <c r="AN21" s="9"/>
      <c r="AS21" t="str">
        <f t="shared" si="5"/>
        <v/>
      </c>
      <c r="AT21" s="198" t="str">
        <f t="array" ref="AT21">_xlfn.IFNA(INDEX($AS$5:$AS$49,MATCH(0,COUNTIF($AT$4:AT20,$AS$5:$AS$49),0),1),"")</f>
        <v/>
      </c>
      <c r="AU21" s="202"/>
      <c r="AV21" s="200" t="str">
        <f t="shared" si="6"/>
        <v>Cloud Service Komposition</v>
      </c>
      <c r="AW21" s="101" t="str">
        <f t="array" ref="AW21">_xlfn.IFNA(INDEX($AV$6:$AV$49,MATCH(0,COUNTIF($AW$4:AW20,$AV$6:$AV$49),0),1),"")</f>
        <v/>
      </c>
      <c r="AX21" s="201" t="str">
        <f t="shared" si="17"/>
        <v/>
      </c>
      <c r="AY21" s="204" t="str">
        <f t="shared" si="7"/>
        <v/>
      </c>
      <c r="AZ21" s="101" t="str">
        <f t="array" ref="AZ21">_xlfn.IFNA(INDEX($AY$5:$AY$49,MATCH(0,COUNTIF($AZ$4:AZ20,$AY$5:$AY$49),0),1),"")</f>
        <v/>
      </c>
      <c r="BA21" t="str">
        <f t="shared" si="18"/>
        <v/>
      </c>
      <c r="BB21" s="8" t="str">
        <f t="shared" si="14"/>
        <v/>
      </c>
      <c r="BC21" s="101" t="str">
        <f t="array" ref="BC21">_xlfn.IFNA(INDEX($BB$6:$BB$49,MATCH(0,COUNTIF($BC$4:BC20,$BB$6:$BB$49),0),1),"")</f>
        <v/>
      </c>
      <c r="BD21" t="str">
        <f t="shared" si="19"/>
        <v/>
      </c>
      <c r="BE21" s="209" t="str">
        <f t="shared" si="15"/>
        <v/>
      </c>
      <c r="BF21" s="101" t="str">
        <f t="array" ref="BF21">_xlfn.IFNA(INDEX($BE$5:$BE$49,MATCH(0,COUNTIF($BF$4:BF20,$BE$5:$BE$49),0),1),"")</f>
        <v/>
      </c>
      <c r="BG21" s="201" t="str">
        <f t="shared" si="21"/>
        <v/>
      </c>
      <c r="BI21" s="101" t="str">
        <f t="array" ref="BI21">_xlfn.IFNA(INDEX($F$5:$F$49,MATCH(0,COUNTIF($BI$4:BI20,$F$5:$F$49),0),1),"")</f>
        <v/>
      </c>
      <c r="BJ21" s="206" t="str">
        <f t="shared" si="16"/>
        <v/>
      </c>
      <c r="BK21" s="9"/>
      <c r="BL21" s="15"/>
      <c r="BM21" s="225"/>
      <c r="BN21" s="15"/>
      <c r="BO21" s="270"/>
      <c r="BP21" s="372" t="str">
        <f>_xlfn.IFNA(IF(B20&lt;&gt;"",IF(AND(ISBLANK('1.4 Analyse &amp; Synthese'!N22),ISBLANK('1.4 Analyse &amp; Synthese'!O22),ISBLANK('1.4 Analyse &amp; Synthese'!P22)),IF('1.4 Analyse &amp; Synthese'!M22="x",1,0),""),""),"")</f>
        <v/>
      </c>
      <c r="BQ21" s="123" t="str">
        <f>_xlfn.IFNA(IF(B20&lt;&gt;"",IF(AND(ISBLANK('1.4 Analyse &amp; Synthese'!M22),ISBLANK('1.4 Analyse &amp; Synthese'!O22),ISBLANK('1.4 Analyse &amp; Synthese'!P22)),IF('1.4 Analyse &amp; Synthese'!N22="x",1,0),""),""),"")</f>
        <v/>
      </c>
      <c r="BR21" s="123" t="str">
        <f>_xlfn.IFNA(IF(B20&lt;&gt;"",IF(AND(ISBLANK('1.4 Analyse &amp; Synthese'!M22),ISBLANK('1.4 Analyse &amp; Synthese'!N22),ISBLANK('1.4 Analyse &amp; Synthese'!P22)),IF('1.4 Analyse &amp; Synthese'!O22="x",1,0),""),""),"")</f>
        <v/>
      </c>
      <c r="BS21" s="123">
        <f>_xlfn.IFNA(IF(B20&lt;&gt;"",IF(AND('1.4 Analyse &amp; Synthese'!M22="X",'1.4 Analyse &amp; Synthese'!N22="X",'1.4 Analyse &amp; Synthese'!O22="X"),1,0),""),"")</f>
        <v>0</v>
      </c>
      <c r="BT21" s="123">
        <f>_xlfn.IFNA(IF(B20&lt;&gt;"",IF(AND(ISBLANK('1.4 Analyse &amp; Synthese'!M22),ISBLANK('1.4 Analyse &amp; Synthese'!N22),ISBLANK('1.4 Analyse &amp; Synthese'!O22)),1,0),""),"")</f>
        <v>1</v>
      </c>
      <c r="BU21" s="123">
        <f>_xlfn.IFNA(IF(B20&lt;&gt;"",IF(OR(AND('1.4 Analyse &amp; Synthese'!M22="X",'1.4 Analyse &amp; Synthese'!N22="X",'1.4 Analyse &amp; Synthese'!O22=""),AND('1.4 Analyse &amp; Synthese'!M22="X",'1.4 Analyse &amp; Synthese'!N22="",'1.4 Analyse &amp; Synthese'!O22="X"),AND('1.4 Analyse &amp; Synthese'!M22="",'1.4 Analyse &amp; Synthese'!N22="X",'1.4 Analyse &amp; Synthese'!O22="X")),1,0),0),"")</f>
        <v>0</v>
      </c>
      <c r="BV21" s="373">
        <f>_xlfn.IFNA(IF(B20&lt;&gt;"",IF(AND(ISBLANK('1.4 Analyse &amp; Synthese'!M22),ISBLANK('1.4 Analyse &amp; Synthese'!N22),ISBLANK('1.4 Analyse &amp; Synthese'!O22)),IF('1.4 Analyse &amp; Synthese'!P22="x",1,0),""),""),"")</f>
        <v>1</v>
      </c>
    </row>
    <row r="22" spans="2:74" x14ac:dyDescent="0.2">
      <c r="B22" s="127">
        <f>IF('1.4 Analyse &amp; Synthese'!B24&lt;&gt;0,'1.4 Analyse &amp; Synthese'!B24,"")</f>
        <v>18</v>
      </c>
      <c r="C22" t="str">
        <f>_xlfn.IFNA(IF(B22&lt;&gt;0,VLOOKUP($B22,Tabelle3[[1]:[3]],2)),"")</f>
        <v>Haji</v>
      </c>
      <c r="D22">
        <f>_xlfn.IFNA(IF(B22&lt;&gt;0,VLOOKUP($B22,Tabelle3[[1]:[3]],3)),"")</f>
        <v>2014</v>
      </c>
      <c r="E22" t="str">
        <f>_xlfn.IFNA(IF(B22&lt;&gt;0,VLOOKUP($B22,Tabelle3[[1]:[4]],4)),"")</f>
        <v>Interfacing Mechanisms (I)</v>
      </c>
      <c r="F22" t="str">
        <f>_xlfn.IFNA(IF(B22&lt;&gt;0,VLOOKUP($B22,Tabelle3[[1]:[5]],5)),"")</f>
        <v>Empfehlung</v>
      </c>
      <c r="G22" s="101">
        <f>_xlfn.IFNA(IF(B22&lt;&gt;0,VLOOKUP($B22,Tabelle3[[1]:[Aggregator/Integrator]],10)),"")</f>
        <v>0</v>
      </c>
      <c r="H22" s="101" t="str">
        <f>_xlfn.IFNA(IF(B22&lt;&gt;0,VLOOKUP($B22,Tabelle3[[1]:[ITSVN Akteure]],11)),"")</f>
        <v>x</v>
      </c>
      <c r="I22" s="101" t="str">
        <f>_xlfn.IFNA(IF(B22&lt;&gt;0,VLOOKUP($B22,Tabelle3[[1]:[IaaS]],12)),"")</f>
        <v>x</v>
      </c>
      <c r="J22" s="101">
        <f>_xlfn.IFNA(IF(B22&lt;&gt;0,VLOOKUP($B22,Tabelle3[[1]:[PaaS]],13)),"")</f>
        <v>0</v>
      </c>
      <c r="K22" s="101">
        <f>_xlfn.IFNA(IF(B22&lt;&gt;0,VLOOKUP($B22,Tabelle3[[1]:[SaaS]],14)),"")</f>
        <v>0</v>
      </c>
      <c r="L22" s="101">
        <f>_xlfn.IFNA(IF(B22&lt;&gt;0,VLOOKUP($B22,Tabelle3[[1]:[DaaS]],15)),"")</f>
        <v>0</v>
      </c>
      <c r="M22" s="117">
        <f>IF(B22&lt;&gt;0,COUNTIF('1.4 Analyse &amp; Synthese'!Q24:AJ24,1))</f>
        <v>5</v>
      </c>
      <c r="N22" s="101">
        <f>IF(B22&lt;&gt;0,COUNTIF('1.4 Analyse &amp; Synthese'!Q24:AJ24,3))</f>
        <v>2</v>
      </c>
      <c r="O22" s="101" t="str">
        <f t="array" ref="O22">_xlfn.IFNA(INDEX($D$5:$D$49,MATCH(0,COUNTIF($O$4:O21,$D$5:$D$49),0),1),"")</f>
        <v/>
      </c>
      <c r="P22" s="101" t="str">
        <f t="shared" si="0"/>
        <v/>
      </c>
      <c r="Q22" s="101" t="str">
        <f t="shared" si="1"/>
        <v/>
      </c>
      <c r="R22" s="128" t="str">
        <f>_xlfn.IFNA(IF(VLOOKUP(B22,Tabelle4[#All],2,FALSE)="x",VLOOKUP(B22,'1.4 Analyse &amp; Synthese'!$B$7:$G$47,6,FALSE),""),"")</f>
        <v>Portierbarkeit</v>
      </c>
      <c r="S22" s="101" t="str">
        <f t="array" ref="S22">_xlfn.IFNA(INDEX($R$5:$R$49,MATCH(0,COUNTIF($S$4:S21,$R$5:$R$49),0),1),"")</f>
        <v/>
      </c>
      <c r="T22" s="101" t="str">
        <f t="shared" si="2"/>
        <v/>
      </c>
      <c r="U22" s="9" t="str">
        <f>_xlfn.IFNA(IF(VLOOKUP(B22,Tabelle4[#All],2,FALSE)="x",VLOOKUP(B22,'1.4 Analyse &amp; Synthese'!$B$7:$I$47,8,FALSE),""),"")</f>
        <v>OVF Erweiterung</v>
      </c>
      <c r="V22" s="122" t="str">
        <f t="array" ref="V22">_xlfn.IFNA(INDEX($U$5:$U$49,MATCH(0,COUNTIF($V$5:V21,$U$5:$U$49),0),1),"")</f>
        <v>SLA Management Aggregation</v>
      </c>
      <c r="W22">
        <f t="shared" si="9"/>
        <v>0</v>
      </c>
      <c r="X22">
        <f t="shared" si="10"/>
        <v>1</v>
      </c>
      <c r="Y22">
        <f t="shared" si="11"/>
        <v>2</v>
      </c>
      <c r="Z22">
        <f t="shared" si="22"/>
        <v>0</v>
      </c>
      <c r="AA22">
        <f t="shared" si="13"/>
        <v>0</v>
      </c>
      <c r="AB22" s="196">
        <f t="shared" si="20"/>
        <v>3</v>
      </c>
      <c r="AD22" s="8"/>
      <c r="AE22" s="8"/>
      <c r="AF22" s="8"/>
      <c r="AG22" s="8"/>
      <c r="AH22" s="264"/>
      <c r="AI22" s="114" t="str">
        <f>_xlfn.IFNA(IF(VLOOKUP(B22,Tabelle4[#All],2,FALSE)="x",VLOOKUP(B22,Tabelle4[#All],6,FALSE),""),"")</f>
        <v>Konferenz</v>
      </c>
      <c r="AJ22" s="101" t="str">
        <f t="array" ref="AJ22">_xlfn.IFNA(INDEX($AI$5:$AI$49,MATCH(0,COUNTIF($AJ$4:AJ21,$AI$5:$AI$49),0),1),"")</f>
        <v/>
      </c>
      <c r="AK22" s="101" t="str">
        <f t="shared" si="3"/>
        <v/>
      </c>
      <c r="AL22" s="117" t="str">
        <f t="array" ref="AL22">_xlfn.IFNA(INDEX($E$5:$E$49,MATCH(0,COUNTIF($AL$4:AL21,$E$5:$E$49),0),1),"")</f>
        <v/>
      </c>
      <c r="AM22" t="str">
        <f t="shared" si="4"/>
        <v/>
      </c>
      <c r="AN22" s="9"/>
      <c r="AS22" t="str">
        <f t="shared" si="5"/>
        <v/>
      </c>
      <c r="AT22" s="198" t="str">
        <f t="array" ref="AT22">_xlfn.IFNA(INDEX($AS$5:$AS$49,MATCH(0,COUNTIF($AT$4:AT21,$AS$5:$AS$49),0),1),"")</f>
        <v/>
      </c>
      <c r="AU22" s="202"/>
      <c r="AV22" s="200" t="str">
        <f t="shared" si="6"/>
        <v/>
      </c>
      <c r="AW22" s="101" t="str">
        <f t="array" ref="AW22">_xlfn.IFNA(INDEX($AV$6:$AV$49,MATCH(0,COUNTIF($AW$4:AW21,$AV$6:$AV$49),0),1),"")</f>
        <v/>
      </c>
      <c r="AX22" s="201" t="str">
        <f t="shared" si="17"/>
        <v/>
      </c>
      <c r="AY22" s="204" t="str">
        <f t="shared" si="7"/>
        <v>OVF Erweiterung</v>
      </c>
      <c r="AZ22" s="101" t="str">
        <f t="array" ref="AZ22">_xlfn.IFNA(INDEX($AY$5:$AY$49,MATCH(0,COUNTIF($AZ$4:AZ21,$AY$5:$AY$49),0),1),"")</f>
        <v/>
      </c>
      <c r="BA22" t="str">
        <f t="shared" si="18"/>
        <v/>
      </c>
      <c r="BB22" s="8" t="str">
        <f t="shared" si="14"/>
        <v/>
      </c>
      <c r="BC22" s="101" t="str">
        <f t="array" ref="BC22">_xlfn.IFNA(INDEX($BB$6:$BB$49,MATCH(0,COUNTIF($BC$4:BC21,$BB$6:$BB$49),0),1),"")</f>
        <v/>
      </c>
      <c r="BD22" t="str">
        <f t="shared" si="19"/>
        <v/>
      </c>
      <c r="BE22" s="209" t="str">
        <f t="shared" si="15"/>
        <v/>
      </c>
      <c r="BF22" s="101" t="str">
        <f t="array" ref="BF22">_xlfn.IFNA(INDEX($BE$5:$BE$49,MATCH(0,COUNTIF($BF$4:BF21,$BE$5:$BE$49),0),1),"")</f>
        <v/>
      </c>
      <c r="BG22" s="201" t="str">
        <f t="shared" si="21"/>
        <v/>
      </c>
      <c r="BI22" s="101" t="str">
        <f t="array" ref="BI22">_xlfn.IFNA(INDEX($F$5:$F$49,MATCH(0,COUNTIF($BI$4:BI21,$F$5:$F$49),0),1),"")</f>
        <v/>
      </c>
      <c r="BJ22" s="206" t="str">
        <f t="shared" si="16"/>
        <v/>
      </c>
      <c r="BL22" s="15"/>
      <c r="BM22" s="15"/>
      <c r="BN22" s="15"/>
      <c r="BO22" s="225"/>
      <c r="BP22" s="372" t="str">
        <f>_xlfn.IFNA(IF(B21&lt;&gt;"",IF(AND(ISBLANK('1.4 Analyse &amp; Synthese'!N23),ISBLANK('1.4 Analyse &amp; Synthese'!O23),ISBLANK('1.4 Analyse &amp; Synthese'!P23)),IF('1.4 Analyse &amp; Synthese'!M23="x",1,0),""),""),"")</f>
        <v/>
      </c>
      <c r="BQ22" s="123" t="str">
        <f>_xlfn.IFNA(IF(B21&lt;&gt;"",IF(AND(ISBLANK('1.4 Analyse &amp; Synthese'!M23),ISBLANK('1.4 Analyse &amp; Synthese'!O23),ISBLANK('1.4 Analyse &amp; Synthese'!P23)),IF('1.4 Analyse &amp; Synthese'!N23="x",1,0),""),""),"")</f>
        <v/>
      </c>
      <c r="BR22" s="123">
        <f>_xlfn.IFNA(IF(B21&lt;&gt;"",IF(AND(ISBLANK('1.4 Analyse &amp; Synthese'!M23),ISBLANK('1.4 Analyse &amp; Synthese'!N23),ISBLANK('1.4 Analyse &amp; Synthese'!P23)),IF('1.4 Analyse &amp; Synthese'!O23="x",1,0),""),""),"")</f>
        <v>1</v>
      </c>
      <c r="BS22" s="123">
        <f>_xlfn.IFNA(IF(B21&lt;&gt;"",IF(AND('1.4 Analyse &amp; Synthese'!M23="X",'1.4 Analyse &amp; Synthese'!N23="X",'1.4 Analyse &amp; Synthese'!O23="X"),1,0),""),"")</f>
        <v>0</v>
      </c>
      <c r="BT22" s="123">
        <f>_xlfn.IFNA(IF(B21&lt;&gt;"",IF(AND(ISBLANK('1.4 Analyse &amp; Synthese'!M23),ISBLANK('1.4 Analyse &amp; Synthese'!N23),ISBLANK('1.4 Analyse &amp; Synthese'!O23)),1,0),""),"")</f>
        <v>0</v>
      </c>
      <c r="BU22" s="123">
        <f>_xlfn.IFNA(IF(B21&lt;&gt;"",IF(OR(AND('1.4 Analyse &amp; Synthese'!M23="X",'1.4 Analyse &amp; Synthese'!N23="X",'1.4 Analyse &amp; Synthese'!O23=""),AND('1.4 Analyse &amp; Synthese'!M23="X",'1.4 Analyse &amp; Synthese'!N23="",'1.4 Analyse &amp; Synthese'!O23="X"),AND('1.4 Analyse &amp; Synthese'!M23="",'1.4 Analyse &amp; Synthese'!N23="X",'1.4 Analyse &amp; Synthese'!O23="X")),1,0),0),"")</f>
        <v>0</v>
      </c>
      <c r="BV22" s="373" t="str">
        <f>_xlfn.IFNA(IF(B21&lt;&gt;"",IF(AND(ISBLANK('1.4 Analyse &amp; Synthese'!M23),ISBLANK('1.4 Analyse &amp; Synthese'!N23),ISBLANK('1.4 Analyse &amp; Synthese'!O23)),IF('1.4 Analyse &amp; Synthese'!P23="x",1,0),""),""),"")</f>
        <v/>
      </c>
    </row>
    <row r="23" spans="2:74" x14ac:dyDescent="0.2">
      <c r="B23" s="127">
        <f>IF('1.4 Analyse &amp; Synthese'!B25&lt;&gt;0,'1.4 Analyse &amp; Synthese'!B25,"")</f>
        <v>19</v>
      </c>
      <c r="C23" t="str">
        <f>_xlfn.IFNA(IF(B23&lt;&gt;0,VLOOKUP($B23,Tabelle3[[1]:[3]],2)),"")</f>
        <v>Jrad</v>
      </c>
      <c r="D23">
        <f>_xlfn.IFNA(IF(B23&lt;&gt;0,VLOOKUP($B23,Tabelle3[[1]:[3]],3)),"")</f>
        <v>2012</v>
      </c>
      <c r="E23" t="str">
        <f>_xlfn.IFNA(IF(B23&lt;&gt;0,VLOOKUP($B23,Tabelle3[[1]:[4]],4)),"")</f>
        <v>Rückwärtssuche</v>
      </c>
      <c r="F23" t="str">
        <f>_xlfn.IFNA(IF(B23&lt;&gt;0,VLOOKUP($B23,Tabelle3[[1]:[5]],5)),"")</f>
        <v>Empfehlung</v>
      </c>
      <c r="G23" s="101">
        <f>_xlfn.IFNA(IF(B23&lt;&gt;0,VLOOKUP($B23,Tabelle3[[1]:[Aggregator/Integrator]],10)),"")</f>
        <v>0</v>
      </c>
      <c r="H23" s="101" t="str">
        <f>_xlfn.IFNA(IF(B23&lt;&gt;0,VLOOKUP($B23,Tabelle3[[1]:[ITSVN Akteure]],11)),"")</f>
        <v>x</v>
      </c>
      <c r="I23" s="101" t="str">
        <f>_xlfn.IFNA(IF(B23&lt;&gt;0,VLOOKUP($B23,Tabelle3[[1]:[IaaS]],12)),"")</f>
        <v>x</v>
      </c>
      <c r="J23" s="101">
        <f>_xlfn.IFNA(IF(B23&lt;&gt;0,VLOOKUP($B23,Tabelle3[[1]:[PaaS]],13)),"")</f>
        <v>0</v>
      </c>
      <c r="K23" s="101">
        <f>_xlfn.IFNA(IF(B23&lt;&gt;0,VLOOKUP($B23,Tabelle3[[1]:[SaaS]],14)),"")</f>
        <v>0</v>
      </c>
      <c r="L23" s="101">
        <f>_xlfn.IFNA(IF(B23&lt;&gt;0,VLOOKUP($B23,Tabelle3[[1]:[DaaS]],15)),"")</f>
        <v>0</v>
      </c>
      <c r="M23" s="117">
        <f>IF(B23&lt;&gt;0,COUNTIF('1.4 Analyse &amp; Synthese'!Q25:AJ25,1))</f>
        <v>4</v>
      </c>
      <c r="N23" s="101">
        <f>IF(B23&lt;&gt;0,COUNTIF('1.4 Analyse &amp; Synthese'!Q25:AJ25,3))</f>
        <v>1</v>
      </c>
      <c r="O23" s="101" t="str">
        <f t="array" ref="O23">_xlfn.IFNA(INDEX($D$5:$D$49,MATCH(0,COUNTIF($O$4:O22,$D$5:$D$49),0),1),"")</f>
        <v/>
      </c>
      <c r="P23" s="101" t="str">
        <f t="shared" si="0"/>
        <v/>
      </c>
      <c r="Q23" s="101" t="str">
        <f t="shared" si="1"/>
        <v/>
      </c>
      <c r="R23" s="128" t="str">
        <f>_xlfn.IFNA(IF(VLOOKUP(B23,Tabelle4[#All],2,FALSE)="x",VLOOKUP(B23,'1.4 Analyse &amp; Synthese'!$B$7:$G$47,6,FALSE),""),"")</f>
        <v>Kompatibilität</v>
      </c>
      <c r="S23" s="101" t="str">
        <f t="array" ref="S23">_xlfn.IFNA(INDEX($R$5:$R$49,MATCH(0,COUNTIF($S$4:S22,$R$5:$R$49),0),1),"")</f>
        <v/>
      </c>
      <c r="T23" s="101" t="str">
        <f t="shared" si="2"/>
        <v/>
      </c>
      <c r="U23" s="9" t="str">
        <f>_xlfn.IFNA(IF(VLOOKUP(B23,Tabelle4[#All],2,FALSE)="x",VLOOKUP(B23,'1.4 Analyse &amp; Synthese'!$B$7:$I$47,8,FALSE),""),"")</f>
        <v>Cloud Service Broker</v>
      </c>
      <c r="V23" s="122" t="str">
        <f t="array" ref="V23">_xlfn.IFNA(INDEX($U$5:$U$49,MATCH(0,COUNTIF($V$5:V22,$U$5:$U$49),0),1),"")</f>
        <v>Meta Cloud API</v>
      </c>
      <c r="W23">
        <f t="shared" si="9"/>
        <v>0</v>
      </c>
      <c r="X23">
        <f t="shared" si="10"/>
        <v>0</v>
      </c>
      <c r="Y23">
        <f t="shared" si="11"/>
        <v>0</v>
      </c>
      <c r="Z23">
        <f t="shared" si="22"/>
        <v>0</v>
      </c>
      <c r="AA23">
        <f t="shared" si="13"/>
        <v>0</v>
      </c>
      <c r="AB23" s="196">
        <f t="shared" si="20"/>
        <v>0</v>
      </c>
      <c r="AD23" s="8"/>
      <c r="AE23" s="8"/>
      <c r="AF23" s="8"/>
      <c r="AG23" s="8"/>
      <c r="AH23" s="264"/>
      <c r="AI23" s="114" t="str">
        <f>_xlfn.IFNA(IF(VLOOKUP(B23,Tabelle4[#All],2,FALSE)="x",VLOOKUP(B23,Tabelle4[#All],6,FALSE),""),"")</f>
        <v>Konferenz</v>
      </c>
      <c r="AJ23" s="101" t="str">
        <f t="array" ref="AJ23">_xlfn.IFNA(INDEX($AI$5:$AI$49,MATCH(0,COUNTIF($AJ$4:AJ22,$AI$5:$AI$49),0),1),"")</f>
        <v/>
      </c>
      <c r="AK23" s="101" t="str">
        <f t="shared" si="3"/>
        <v/>
      </c>
      <c r="AL23" s="117" t="str">
        <f t="array" ref="AL23">_xlfn.IFNA(INDEX($E$5:$E$49,MATCH(0,COUNTIF($AL$4:AL22,$E$5:$E$49),0),1),"")</f>
        <v/>
      </c>
      <c r="AM23" t="str">
        <f t="shared" si="4"/>
        <v/>
      </c>
      <c r="AN23" s="9"/>
      <c r="AS23" t="str">
        <f t="shared" si="5"/>
        <v/>
      </c>
      <c r="AT23" s="198" t="str">
        <f t="array" ref="AT23">_xlfn.IFNA(INDEX($AS$5:$AS$49,MATCH(0,COUNTIF($AT$4:AT22,$AS$5:$AS$49),0),1),"")</f>
        <v/>
      </c>
      <c r="AU23" s="202"/>
      <c r="AV23" s="200" t="str">
        <f t="shared" si="6"/>
        <v>Cloud Service Broker</v>
      </c>
      <c r="AW23" s="101" t="str">
        <f t="array" ref="AW23">_xlfn.IFNA(INDEX($AV$6:$AV$49,MATCH(0,COUNTIF($AW$4:AW22,$AV$6:$AV$49),0),1),"")</f>
        <v/>
      </c>
      <c r="AX23" s="201" t="str">
        <f t="shared" si="17"/>
        <v/>
      </c>
      <c r="AY23" s="204" t="str">
        <f t="shared" si="7"/>
        <v/>
      </c>
      <c r="AZ23" s="101" t="str">
        <f t="array" ref="AZ23">_xlfn.IFNA(INDEX($AY$5:$AY$49,MATCH(0,COUNTIF($AZ$4:AZ22,$AY$5:$AY$49),0),1),"")</f>
        <v/>
      </c>
      <c r="BA23" t="str">
        <f t="shared" si="18"/>
        <v/>
      </c>
      <c r="BB23" s="8" t="str">
        <f t="shared" si="14"/>
        <v/>
      </c>
      <c r="BC23" s="101" t="str">
        <f t="array" ref="BC23">_xlfn.IFNA(INDEX($BB$6:$BB$49,MATCH(0,COUNTIF($BC$4:BC22,$BB$6:$BB$49),0),1),"")</f>
        <v/>
      </c>
      <c r="BD23" t="str">
        <f t="shared" si="19"/>
        <v/>
      </c>
      <c r="BE23" s="209" t="str">
        <f t="shared" si="15"/>
        <v/>
      </c>
      <c r="BF23" s="101" t="str">
        <f t="array" ref="BF23">_xlfn.IFNA(INDEX($BE$5:$BE$49,MATCH(0,COUNTIF($BF$4:BF22,$BE$5:$BE$49),0),1),"")</f>
        <v/>
      </c>
      <c r="BG23" s="201" t="str">
        <f t="shared" si="21"/>
        <v/>
      </c>
      <c r="BI23" s="101" t="str">
        <f t="array" ref="BI23">_xlfn.IFNA(INDEX($F$5:$F$49,MATCH(0,COUNTIF($BI$4:BI22,$F$5:$F$49),0),1),"")</f>
        <v/>
      </c>
      <c r="BJ23" s="206" t="str">
        <f t="shared" si="16"/>
        <v/>
      </c>
      <c r="BL23" s="15"/>
      <c r="BM23" s="15"/>
      <c r="BN23" s="15"/>
      <c r="BO23" s="225"/>
      <c r="BP23" s="372">
        <f>_xlfn.IFNA(IF(B22&lt;&gt;"",IF(AND(ISBLANK('1.4 Analyse &amp; Synthese'!N24),ISBLANK('1.4 Analyse &amp; Synthese'!O24),ISBLANK('1.4 Analyse &amp; Synthese'!P24)),IF('1.4 Analyse &amp; Synthese'!M24="x",1,0),""),""),"")</f>
        <v>1</v>
      </c>
      <c r="BQ23" s="123" t="str">
        <f>_xlfn.IFNA(IF(B22&lt;&gt;"",IF(AND(ISBLANK('1.4 Analyse &amp; Synthese'!M24),ISBLANK('1.4 Analyse &amp; Synthese'!O24),ISBLANK('1.4 Analyse &amp; Synthese'!P24)),IF('1.4 Analyse &amp; Synthese'!N24="x",1,0),""),""),"")</f>
        <v/>
      </c>
      <c r="BR23" s="123" t="str">
        <f>_xlfn.IFNA(IF(B22&lt;&gt;"",IF(AND(ISBLANK('1.4 Analyse &amp; Synthese'!M24),ISBLANK('1.4 Analyse &amp; Synthese'!N24),ISBLANK('1.4 Analyse &amp; Synthese'!P24)),IF('1.4 Analyse &amp; Synthese'!O24="x",1,0),""),""),"")</f>
        <v/>
      </c>
      <c r="BS23" s="123">
        <f>_xlfn.IFNA(IF(B22&lt;&gt;"",IF(AND('1.4 Analyse &amp; Synthese'!M24="X",'1.4 Analyse &amp; Synthese'!N24="X",'1.4 Analyse &amp; Synthese'!O24="X"),1,0),""),"")</f>
        <v>0</v>
      </c>
      <c r="BT23" s="123">
        <f>_xlfn.IFNA(IF(B22&lt;&gt;"",IF(AND(ISBLANK('1.4 Analyse &amp; Synthese'!M24),ISBLANK('1.4 Analyse &amp; Synthese'!N24),ISBLANK('1.4 Analyse &amp; Synthese'!O24)),1,0),""),"")</f>
        <v>0</v>
      </c>
      <c r="BU23" s="123">
        <f>_xlfn.IFNA(IF(B22&lt;&gt;"",IF(OR(AND('1.4 Analyse &amp; Synthese'!M24="X",'1.4 Analyse &amp; Synthese'!N24="X",'1.4 Analyse &amp; Synthese'!O24=""),AND('1.4 Analyse &amp; Synthese'!M24="X",'1.4 Analyse &amp; Synthese'!N24="",'1.4 Analyse &amp; Synthese'!O24="X"),AND('1.4 Analyse &amp; Synthese'!M24="",'1.4 Analyse &amp; Synthese'!N24="X",'1.4 Analyse &amp; Synthese'!O24="X")),1,0),0),"")</f>
        <v>0</v>
      </c>
      <c r="BV23" s="373" t="str">
        <f>_xlfn.IFNA(IF(B22&lt;&gt;"",IF(AND(ISBLANK('1.4 Analyse &amp; Synthese'!M24),ISBLANK('1.4 Analyse &amp; Synthese'!N24),ISBLANK('1.4 Analyse &amp; Synthese'!O24)),IF('1.4 Analyse &amp; Synthese'!P24="x",1,0),""),""),"")</f>
        <v/>
      </c>
    </row>
    <row r="24" spans="2:74" x14ac:dyDescent="0.2">
      <c r="B24" s="127">
        <f>IF('1.4 Analyse &amp; Synthese'!B26&lt;&gt;0,'1.4 Analyse &amp; Synthese'!B26,"")</f>
        <v>20</v>
      </c>
      <c r="C24" t="str">
        <f>_xlfn.IFNA(IF(B24&lt;&gt;0,VLOOKUP($B24,Tabelle3[[1]:[3]],2)),"")</f>
        <v xml:space="preserve">Kafeza </v>
      </c>
      <c r="D24">
        <f>_xlfn.IFNA(IF(B24&lt;&gt;0,VLOOKUP($B24,Tabelle3[[1]:[3]],3)),"")</f>
        <v>2014</v>
      </c>
      <c r="E24" t="str">
        <f>_xlfn.IFNA(IF(B24&lt;&gt;0,VLOOKUP($B24,Tabelle3[[1]:[4]],4)),"")</f>
        <v>Legal conditions (A)</v>
      </c>
      <c r="F24" t="str">
        <f>_xlfn.IFNA(IF(B24&lt;&gt;0,VLOOKUP($B24,Tabelle3[[1]:[5]],5)),"")</f>
        <v>Empfehlung</v>
      </c>
      <c r="G24" s="101">
        <f>_xlfn.IFNA(IF(B24&lt;&gt;0,VLOOKUP($B24,Tabelle3[[1]:[Aggregator/Integrator]],10)),"")</f>
        <v>0</v>
      </c>
      <c r="H24" s="101" t="str">
        <f>_xlfn.IFNA(IF(B24&lt;&gt;0,VLOOKUP($B24,Tabelle3[[1]:[ITSVN Akteure]],11)),"")</f>
        <v>x</v>
      </c>
      <c r="I24" s="101" t="str">
        <f>_xlfn.IFNA(IF(B24&lt;&gt;0,VLOOKUP($B24,Tabelle3[[1]:[IaaS]],12)),"")</f>
        <v>x</v>
      </c>
      <c r="J24" s="101" t="str">
        <f>_xlfn.IFNA(IF(B24&lt;&gt;0,VLOOKUP($B24,Tabelle3[[1]:[PaaS]],13)),"")</f>
        <v>x</v>
      </c>
      <c r="K24" s="101" t="str">
        <f>_xlfn.IFNA(IF(B24&lt;&gt;0,VLOOKUP($B24,Tabelle3[[1]:[SaaS]],14)),"")</f>
        <v>x</v>
      </c>
      <c r="L24" s="101">
        <f>_xlfn.IFNA(IF(B24&lt;&gt;0,VLOOKUP($B24,Tabelle3[[1]:[DaaS]],15)),"")</f>
        <v>0</v>
      </c>
      <c r="M24" s="117">
        <f>IF(B24&lt;&gt;0,COUNTIF('1.4 Analyse &amp; Synthese'!Q26:AJ26,1))</f>
        <v>2</v>
      </c>
      <c r="N24" s="101">
        <f>IF(B24&lt;&gt;0,COUNTIF('1.4 Analyse &amp; Synthese'!Q26:AJ26,3))</f>
        <v>3</v>
      </c>
      <c r="O24" s="101" t="str">
        <f t="array" ref="O24">_xlfn.IFNA(INDEX($D$5:$D$49,MATCH(0,COUNTIF($O$4:O23,$D$5:$D$49),0),1),"")</f>
        <v/>
      </c>
      <c r="P24" s="101" t="str">
        <f t="shared" si="0"/>
        <v/>
      </c>
      <c r="Q24" s="101" t="str">
        <f t="shared" si="1"/>
        <v/>
      </c>
      <c r="R24" s="128" t="str">
        <f>_xlfn.IFNA(IF(VLOOKUP(B24,Tabelle4[#All],2,FALSE)="x",VLOOKUP(B24,'1.4 Analyse &amp; Synthese'!$B$7:$G$47,6,FALSE),""),"")</f>
        <v>SLA Vereinbarung</v>
      </c>
      <c r="S24" s="101" t="str">
        <f t="array" ref="S24">_xlfn.IFNA(INDEX($R$5:$R$49,MATCH(0,COUNTIF($S$4:S23,$R$5:$R$49),0),1),"")</f>
        <v/>
      </c>
      <c r="T24" s="101" t="str">
        <f t="shared" si="2"/>
        <v/>
      </c>
      <c r="U24" s="9" t="str">
        <f>_xlfn.IFNA(IF(VLOOKUP(B24,Tabelle4[#All],2,FALSE)="x",VLOOKUP(B24,'1.4 Analyse &amp; Synthese'!$B$7:$I$47,8,FALSE),""),"")</f>
        <v>Rechtliche Rahmenbedingung</v>
      </c>
      <c r="V24" s="122" t="str">
        <f t="array" ref="V24">_xlfn.IFNA(INDEX($U$5:$U$49,MATCH(0,COUNTIF($V$5:V23,$U$5:$U$49),0),1),"")</f>
        <v>Cultural Frames</v>
      </c>
      <c r="W24">
        <f t="shared" si="9"/>
        <v>0</v>
      </c>
      <c r="X24">
        <f t="shared" si="10"/>
        <v>0</v>
      </c>
      <c r="Y24">
        <f t="shared" si="11"/>
        <v>0</v>
      </c>
      <c r="Z24">
        <f t="shared" si="22"/>
        <v>0</v>
      </c>
      <c r="AA24">
        <f t="shared" si="13"/>
        <v>1</v>
      </c>
      <c r="AB24" s="196">
        <f t="shared" si="20"/>
        <v>1</v>
      </c>
      <c r="AD24" s="8"/>
      <c r="AE24" s="8"/>
      <c r="AF24" s="8"/>
      <c r="AG24" s="8"/>
      <c r="AH24" s="264"/>
      <c r="AI24" s="114" t="str">
        <f>_xlfn.IFNA(IF(VLOOKUP(B24,Tabelle4[#All],2,FALSE)="x",VLOOKUP(B24,Tabelle4[#All],6,FALSE),""),"")</f>
        <v>Konferenz</v>
      </c>
      <c r="AJ24" s="101" t="str">
        <f t="array" ref="AJ24">_xlfn.IFNA(INDEX($AI$5:$AI$49,MATCH(0,COUNTIF($AJ$4:AJ23,$AI$5:$AI$49),0),1),"")</f>
        <v/>
      </c>
      <c r="AK24" s="101" t="str">
        <f t="shared" si="3"/>
        <v/>
      </c>
      <c r="AL24" s="117" t="str">
        <f t="array" ref="AL24">_xlfn.IFNA(INDEX($E$5:$E$49,MATCH(0,COUNTIF($AL$4:AL23,$E$5:$E$49),0),1),"")</f>
        <v/>
      </c>
      <c r="AM24" t="str">
        <f t="shared" si="4"/>
        <v/>
      </c>
      <c r="AN24" s="9"/>
      <c r="AS24" t="str">
        <f t="shared" si="5"/>
        <v/>
      </c>
      <c r="AT24" s="198" t="str">
        <f t="array" ref="AT24">_xlfn.IFNA(INDEX($AS$5:$AS$49,MATCH(0,COUNTIF($AT$4:AT23,$AS$5:$AS$49),0),1),"")</f>
        <v/>
      </c>
      <c r="AU24" s="202"/>
      <c r="AV24" s="200" t="str">
        <f t="shared" si="6"/>
        <v/>
      </c>
      <c r="AW24" s="101" t="str">
        <f t="array" ref="AW24">_xlfn.IFNA(INDEX($AV$6:$AV$49,MATCH(0,COUNTIF($AW$4:AW23,$AV$6:$AV$49),0),1),"")</f>
        <v/>
      </c>
      <c r="AX24" s="201" t="str">
        <f t="shared" si="17"/>
        <v/>
      </c>
      <c r="AY24" s="204" t="str">
        <f t="shared" si="7"/>
        <v/>
      </c>
      <c r="AZ24" s="101" t="str">
        <f t="array" ref="AZ24">_xlfn.IFNA(INDEX($AY$5:$AY$49,MATCH(0,COUNTIF($AZ$4:AZ23,$AY$5:$AY$49),0),1),"")</f>
        <v/>
      </c>
      <c r="BA24" t="str">
        <f t="shared" si="18"/>
        <v/>
      </c>
      <c r="BB24" s="8" t="str">
        <f t="shared" si="14"/>
        <v>Rechtliche Rahmenbedingung</v>
      </c>
      <c r="BC24" s="101" t="str">
        <f t="array" ref="BC24">_xlfn.IFNA(INDEX($BB$6:$BB$49,MATCH(0,COUNTIF($BC$4:BC23,$BB$6:$BB$49),0),1),"")</f>
        <v/>
      </c>
      <c r="BD24" t="str">
        <f t="shared" si="19"/>
        <v/>
      </c>
      <c r="BE24" s="209" t="str">
        <f t="shared" si="15"/>
        <v/>
      </c>
      <c r="BF24" s="101" t="str">
        <f t="array" ref="BF24">_xlfn.IFNA(INDEX($BE$5:$BE$49,MATCH(0,COUNTIF($BF$4:BF23,$BE$5:$BE$49),0),1),"")</f>
        <v/>
      </c>
      <c r="BG24" s="201" t="str">
        <f t="shared" si="21"/>
        <v/>
      </c>
      <c r="BI24" s="101" t="str">
        <f t="array" ref="BI24">_xlfn.IFNA(INDEX($F$5:$F$49,MATCH(0,COUNTIF($BI$4:BI23,$F$5:$F$49),0),1),"")</f>
        <v/>
      </c>
      <c r="BJ24" s="206" t="str">
        <f t="shared" si="16"/>
        <v/>
      </c>
      <c r="BL24" s="15"/>
      <c r="BM24" s="15"/>
      <c r="BN24" s="15"/>
      <c r="BO24" s="225"/>
      <c r="BP24" s="372">
        <f>_xlfn.IFNA(IF(B23&lt;&gt;"",IF(AND(ISBLANK('1.4 Analyse &amp; Synthese'!N25),ISBLANK('1.4 Analyse &amp; Synthese'!O25),ISBLANK('1.4 Analyse &amp; Synthese'!P25)),IF('1.4 Analyse &amp; Synthese'!M25="x",1,0),""),""),"")</f>
        <v>1</v>
      </c>
      <c r="BQ24" s="123" t="str">
        <f>_xlfn.IFNA(IF(B23&lt;&gt;"",IF(AND(ISBLANK('1.4 Analyse &amp; Synthese'!M25),ISBLANK('1.4 Analyse &amp; Synthese'!O25),ISBLANK('1.4 Analyse &amp; Synthese'!P25)),IF('1.4 Analyse &amp; Synthese'!N25="x",1,0),""),""),"")</f>
        <v/>
      </c>
      <c r="BR24" s="123" t="str">
        <f>_xlfn.IFNA(IF(B23&lt;&gt;"",IF(AND(ISBLANK('1.4 Analyse &amp; Synthese'!M25),ISBLANK('1.4 Analyse &amp; Synthese'!N25),ISBLANK('1.4 Analyse &amp; Synthese'!P25)),IF('1.4 Analyse &amp; Synthese'!O25="x",1,0),""),""),"")</f>
        <v/>
      </c>
      <c r="BS24" s="123">
        <f>_xlfn.IFNA(IF(B23&lt;&gt;"",IF(AND('1.4 Analyse &amp; Synthese'!M25="X",'1.4 Analyse &amp; Synthese'!N25="X",'1.4 Analyse &amp; Synthese'!O25="X"),1,0),""),"")</f>
        <v>0</v>
      </c>
      <c r="BT24" s="123">
        <f>_xlfn.IFNA(IF(B23&lt;&gt;"",IF(AND(ISBLANK('1.4 Analyse &amp; Synthese'!M25),ISBLANK('1.4 Analyse &amp; Synthese'!N25),ISBLANK('1.4 Analyse &amp; Synthese'!O25)),1,0),""),"")</f>
        <v>0</v>
      </c>
      <c r="BU24" s="123">
        <f>_xlfn.IFNA(IF(B23&lt;&gt;"",IF(OR(AND('1.4 Analyse &amp; Synthese'!M25="X",'1.4 Analyse &amp; Synthese'!N25="X",'1.4 Analyse &amp; Synthese'!O25=""),AND('1.4 Analyse &amp; Synthese'!M25="X",'1.4 Analyse &amp; Synthese'!N25="",'1.4 Analyse &amp; Synthese'!O25="X"),AND('1.4 Analyse &amp; Synthese'!M25="",'1.4 Analyse &amp; Synthese'!N25="X",'1.4 Analyse &amp; Synthese'!O25="X")),1,0),0),"")</f>
        <v>0</v>
      </c>
      <c r="BV24" s="373" t="str">
        <f>_xlfn.IFNA(IF(B23&lt;&gt;"",IF(AND(ISBLANK('1.4 Analyse &amp; Synthese'!M25),ISBLANK('1.4 Analyse &amp; Synthese'!N25),ISBLANK('1.4 Analyse &amp; Synthese'!O25)),IF('1.4 Analyse &amp; Synthese'!P25="x",1,0),""),""),"")</f>
        <v/>
      </c>
    </row>
    <row r="25" spans="2:74" x14ac:dyDescent="0.2">
      <c r="B25" s="127">
        <f>IF('1.4 Analyse &amp; Synthese'!B27&lt;&gt;0,'1.4 Analyse &amp; Synthese'!B27,"")</f>
        <v>21</v>
      </c>
      <c r="C25" t="str">
        <f>_xlfn.IFNA(IF(B25&lt;&gt;0,VLOOKUP($B25,Tabelle3[[1]:[3]],2)),"")</f>
        <v>Lee</v>
      </c>
      <c r="D25">
        <f>_xlfn.IFNA(IF(B25&lt;&gt;0,VLOOKUP($B25,Tabelle3[[1]:[3]],3)),"")</f>
        <v>2009</v>
      </c>
      <c r="E25" t="str">
        <f>_xlfn.IFNA(IF(B25&lt;&gt;0,VLOOKUP($B25,Tabelle3[[1]:[4]],4)),"")</f>
        <v>SLA regulation (A)</v>
      </c>
      <c r="F25" t="str">
        <f>_xlfn.IFNA(IF(B25&lt;&gt;0,VLOOKUP($B25,Tabelle3[[1]:[5]],5)),"")</f>
        <v>Empfehlung</v>
      </c>
      <c r="G25" s="101" t="str">
        <f>_xlfn.IFNA(IF(B25&lt;&gt;0,VLOOKUP($B25,Tabelle3[[1]:[Aggregator/Integrator]],10)),"")</f>
        <v>x</v>
      </c>
      <c r="H25" s="101">
        <f>_xlfn.IFNA(IF(B25&lt;&gt;0,VLOOKUP($B25,Tabelle3[[1]:[ITSVN Akteure]],11)),"")</f>
        <v>0</v>
      </c>
      <c r="I25" s="101">
        <f>_xlfn.IFNA(IF(B25&lt;&gt;0,VLOOKUP($B25,Tabelle3[[1]:[IaaS]],12)),"")</f>
        <v>0</v>
      </c>
      <c r="J25" s="101">
        <f>_xlfn.IFNA(IF(B25&lt;&gt;0,VLOOKUP($B25,Tabelle3[[1]:[PaaS]],13)),"")</f>
        <v>0</v>
      </c>
      <c r="K25" s="101" t="str">
        <f>_xlfn.IFNA(IF(B25&lt;&gt;0,VLOOKUP($B25,Tabelle3[[1]:[SaaS]],14)),"")</f>
        <v>x</v>
      </c>
      <c r="L25" s="101">
        <f>_xlfn.IFNA(IF(B25&lt;&gt;0,VLOOKUP($B25,Tabelle3[[1]:[DaaS]],15)),"")</f>
        <v>0</v>
      </c>
      <c r="M25" s="117">
        <f>IF(B25&lt;&gt;0,COUNTIF('1.4 Analyse &amp; Synthese'!Q27:AJ27,1))</f>
        <v>3</v>
      </c>
      <c r="N25" s="101">
        <f>IF(B25&lt;&gt;0,COUNTIF('1.4 Analyse &amp; Synthese'!Q27:AJ27,3))</f>
        <v>2</v>
      </c>
      <c r="O25" s="101" t="str">
        <f t="array" ref="O25">_xlfn.IFNA(INDEX($D$5:$D$49,MATCH(0,COUNTIF($O$4:O24,$D$5:$D$49),0),1),"")</f>
        <v/>
      </c>
      <c r="P25" s="101" t="str">
        <f t="shared" si="0"/>
        <v/>
      </c>
      <c r="Q25" s="101" t="str">
        <f t="shared" si="1"/>
        <v/>
      </c>
      <c r="R25" s="128" t="str">
        <f>_xlfn.IFNA(IF(VLOOKUP(B25,Tabelle4[#All],2,FALSE)="x",VLOOKUP(B25,'1.4 Analyse &amp; Synthese'!$B$7:$G$47,6,FALSE),""),"")</f>
        <v>Anbieter- &amp; Serviceauswahl</v>
      </c>
      <c r="S25" s="101" t="str">
        <f t="array" ref="S25">_xlfn.IFNA(INDEX($R$5:$R$49,MATCH(0,COUNTIF($S$4:S24,$R$5:$R$49),0),1),"")</f>
        <v/>
      </c>
      <c r="T25" s="101" t="str">
        <f t="shared" si="2"/>
        <v/>
      </c>
      <c r="U25" s="9" t="str">
        <f>_xlfn.IFNA(IF(VLOOKUP(B25,Tabelle4[#All],2,FALSE)="x",VLOOKUP(B25,'1.4 Analyse &amp; Synthese'!$B$7:$I$47,8,FALSE),""),"")</f>
        <v>Cloud Metrik Evaluierung</v>
      </c>
      <c r="V25" s="122" t="str">
        <f t="array" ref="V25">_xlfn.IFNA(INDEX($U$5:$U$49,MATCH(0,COUNTIF($V$5:V24,$U$5:$U$49),0),1),"")</f>
        <v>Collaboration SaaS</v>
      </c>
      <c r="W25">
        <f t="shared" si="9"/>
        <v>0</v>
      </c>
      <c r="X25">
        <f t="shared" si="10"/>
        <v>1</v>
      </c>
      <c r="Y25">
        <f t="shared" si="11"/>
        <v>0</v>
      </c>
      <c r="Z25">
        <f t="shared" si="22"/>
        <v>0</v>
      </c>
      <c r="AA25">
        <f t="shared" si="13"/>
        <v>0</v>
      </c>
      <c r="AB25" s="196">
        <f t="shared" si="20"/>
        <v>1</v>
      </c>
      <c r="AC25" s="8"/>
      <c r="AD25" s="8"/>
      <c r="AE25" s="8"/>
      <c r="AF25" s="8"/>
      <c r="AG25" s="8"/>
      <c r="AH25" s="264"/>
      <c r="AI25" s="114" t="str">
        <f>_xlfn.IFNA(IF(VLOOKUP(B25,Tabelle4[#All],2,FALSE)="x",VLOOKUP(B25,Tabelle4[#All],6,FALSE),""),"")</f>
        <v>Konferenz</v>
      </c>
      <c r="AJ25" s="101" t="str">
        <f t="array" ref="AJ25">_xlfn.IFNA(INDEX($AI$5:$AI$49,MATCH(0,COUNTIF($AJ$4:AJ24,$AI$5:$AI$49),0),1),"")</f>
        <v/>
      </c>
      <c r="AK25" s="101" t="str">
        <f t="shared" si="3"/>
        <v/>
      </c>
      <c r="AL25" s="117" t="str">
        <f t="array" ref="AL25">_xlfn.IFNA(INDEX($E$5:$E$49,MATCH(0,COUNTIF($AL$4:AL24,$E$5:$E$49),0),1),"")</f>
        <v/>
      </c>
      <c r="AM25" t="str">
        <f t="shared" si="4"/>
        <v/>
      </c>
      <c r="AN25" s="9"/>
      <c r="AS25" t="str">
        <f t="shared" si="5"/>
        <v>Cloud Metrik Evaluierung</v>
      </c>
      <c r="AT25" s="198" t="str">
        <f t="array" ref="AT25">_xlfn.IFNA(INDEX($AS$5:$AS$49,MATCH(0,COUNTIF($AT$4:AT24,$AS$5:$AS$49),0),1),"")</f>
        <v/>
      </c>
      <c r="AU25" s="202"/>
      <c r="AV25" s="200" t="str">
        <f t="shared" si="6"/>
        <v/>
      </c>
      <c r="AW25" s="101" t="str">
        <f t="array" ref="AW25">_xlfn.IFNA(INDEX($AV$6:$AV$49,MATCH(0,COUNTIF($AW$4:AW24,$AV$6:$AV$49),0),1),"")</f>
        <v/>
      </c>
      <c r="AX25" s="201" t="str">
        <f t="shared" si="17"/>
        <v/>
      </c>
      <c r="AY25" s="204" t="str">
        <f t="shared" si="7"/>
        <v/>
      </c>
      <c r="AZ25" s="101" t="str">
        <f t="array" ref="AZ25">_xlfn.IFNA(INDEX($AY$5:$AY$49,MATCH(0,COUNTIF($AZ$4:AZ24,$AY$5:$AY$49),0),1),"")</f>
        <v/>
      </c>
      <c r="BA25" t="str">
        <f t="shared" si="18"/>
        <v/>
      </c>
      <c r="BB25" s="8" t="str">
        <f t="shared" si="14"/>
        <v/>
      </c>
      <c r="BC25" s="101" t="str">
        <f t="array" ref="BC25">_xlfn.IFNA(INDEX($BB$6:$BB$49,MATCH(0,COUNTIF($BC$4:BC24,$BB$6:$BB$49),0),1),"")</f>
        <v/>
      </c>
      <c r="BD25" t="str">
        <f t="shared" si="19"/>
        <v/>
      </c>
      <c r="BE25" s="209" t="str">
        <f t="shared" si="15"/>
        <v/>
      </c>
      <c r="BF25" s="101" t="str">
        <f t="array" ref="BF25">_xlfn.IFNA(INDEX($BE$5:$BE$49,MATCH(0,COUNTIF($BF$4:BF24,$BE$5:$BE$49),0),1),"")</f>
        <v/>
      </c>
      <c r="BG25" s="201" t="str">
        <f t="shared" si="21"/>
        <v/>
      </c>
      <c r="BI25" s="101" t="str">
        <f t="array" ref="BI25">_xlfn.IFNA(INDEX($F$5:$F$49,MATCH(0,COUNTIF($BI$4:BI24,$F$5:$F$49),0),1),"")</f>
        <v/>
      </c>
      <c r="BJ25" s="206" t="str">
        <f t="shared" si="16"/>
        <v/>
      </c>
      <c r="BL25" s="15"/>
      <c r="BM25" s="15"/>
      <c r="BN25" s="15"/>
      <c r="BO25" s="225"/>
      <c r="BP25" s="372" t="str">
        <f>_xlfn.IFNA(IF(B24&lt;&gt;"",IF(AND(ISBLANK('1.4 Analyse &amp; Synthese'!N26),ISBLANK('1.4 Analyse &amp; Synthese'!O26),ISBLANK('1.4 Analyse &amp; Synthese'!P26)),IF('1.4 Analyse &amp; Synthese'!M26="x",1,0),""),""),"")</f>
        <v/>
      </c>
      <c r="BQ25" s="123" t="str">
        <f>_xlfn.IFNA(IF(B24&lt;&gt;"",IF(AND(ISBLANK('1.4 Analyse &amp; Synthese'!M26),ISBLANK('1.4 Analyse &amp; Synthese'!O26),ISBLANK('1.4 Analyse &amp; Synthese'!P26)),IF('1.4 Analyse &amp; Synthese'!N26="x",1,0),""),""),"")</f>
        <v/>
      </c>
      <c r="BR25" s="123" t="str">
        <f>_xlfn.IFNA(IF(B24&lt;&gt;"",IF(AND(ISBLANK('1.4 Analyse &amp; Synthese'!M26),ISBLANK('1.4 Analyse &amp; Synthese'!N26),ISBLANK('1.4 Analyse &amp; Synthese'!P26)),IF('1.4 Analyse &amp; Synthese'!O26="x",1,0),""),""),"")</f>
        <v/>
      </c>
      <c r="BS25" s="123">
        <f>_xlfn.IFNA(IF(B24&lt;&gt;"",IF(AND('1.4 Analyse &amp; Synthese'!M26="X",'1.4 Analyse &amp; Synthese'!N26="X",'1.4 Analyse &amp; Synthese'!O26="X"),1,0),""),"")</f>
        <v>1</v>
      </c>
      <c r="BT25" s="123">
        <f>_xlfn.IFNA(IF(B24&lt;&gt;"",IF(AND(ISBLANK('1.4 Analyse &amp; Synthese'!M26),ISBLANK('1.4 Analyse &amp; Synthese'!N26),ISBLANK('1.4 Analyse &amp; Synthese'!O26)),1,0),""),"")</f>
        <v>0</v>
      </c>
      <c r="BU25" s="123">
        <f>_xlfn.IFNA(IF(B24&lt;&gt;"",IF(OR(AND('1.4 Analyse &amp; Synthese'!M26="X",'1.4 Analyse &amp; Synthese'!N26="X",'1.4 Analyse &amp; Synthese'!O26=""),AND('1.4 Analyse &amp; Synthese'!M26="X",'1.4 Analyse &amp; Synthese'!N26="",'1.4 Analyse &amp; Synthese'!O26="X"),AND('1.4 Analyse &amp; Synthese'!M26="",'1.4 Analyse &amp; Synthese'!N26="X",'1.4 Analyse &amp; Synthese'!O26="X")),1,0),0),"")</f>
        <v>0</v>
      </c>
      <c r="BV25" s="373" t="str">
        <f>_xlfn.IFNA(IF(B24&lt;&gt;"",IF(AND(ISBLANK('1.4 Analyse &amp; Synthese'!M26),ISBLANK('1.4 Analyse &amp; Synthese'!N26),ISBLANK('1.4 Analyse &amp; Synthese'!O26)),IF('1.4 Analyse &amp; Synthese'!P26="x",1,0),""),""),"")</f>
        <v/>
      </c>
    </row>
    <row r="26" spans="2:74" x14ac:dyDescent="0.2">
      <c r="B26" s="127">
        <f>IF('1.4 Analyse &amp; Synthese'!B28&lt;&gt;0,'1.4 Analyse &amp; Synthese'!B28,"")</f>
        <v>22</v>
      </c>
      <c r="C26" t="str">
        <f>_xlfn.IFNA(IF(B26&lt;&gt;0,VLOOKUP($B26,Tabelle3[[1]:[3]],2)),"")</f>
        <v xml:space="preserve">Ludwig </v>
      </c>
      <c r="D26">
        <f>_xlfn.IFNA(IF(B26&lt;&gt;0,VLOOKUP($B26,Tabelle3[[1]:[3]],3)),"")</f>
        <v>2015</v>
      </c>
      <c r="E26" t="str">
        <f>_xlfn.IFNA(IF(B26&lt;&gt;0,VLOOKUP($B26,Tabelle3[[1]:[4]],4)),"")</f>
        <v>SLA regulation (A)</v>
      </c>
      <c r="F26" t="str">
        <f>_xlfn.IFNA(IF(B26&lt;&gt;0,VLOOKUP($B26,Tabelle3[[1]:[5]],5)),"")</f>
        <v>Methode</v>
      </c>
      <c r="G26" s="101">
        <f>_xlfn.IFNA(IF(B26&lt;&gt;0,VLOOKUP($B26,Tabelle3[[1]:[Aggregator/Integrator]],10)),"")</f>
        <v>0</v>
      </c>
      <c r="H26" s="101" t="str">
        <f>_xlfn.IFNA(IF(B26&lt;&gt;0,VLOOKUP($B26,Tabelle3[[1]:[ITSVN Akteure]],11)),"")</f>
        <v>x</v>
      </c>
      <c r="I26" s="101" t="str">
        <f>_xlfn.IFNA(IF(B26&lt;&gt;0,VLOOKUP($B26,Tabelle3[[1]:[IaaS]],12)),"")</f>
        <v>x</v>
      </c>
      <c r="J26" s="101" t="str">
        <f>_xlfn.IFNA(IF(B26&lt;&gt;0,VLOOKUP($B26,Tabelle3[[1]:[PaaS]],13)),"")</f>
        <v>x</v>
      </c>
      <c r="K26" s="101" t="str">
        <f>_xlfn.IFNA(IF(B26&lt;&gt;0,VLOOKUP($B26,Tabelle3[[1]:[SaaS]],14)),"")</f>
        <v>x</v>
      </c>
      <c r="L26" s="101">
        <f>_xlfn.IFNA(IF(B26&lt;&gt;0,VLOOKUP($B26,Tabelle3[[1]:[DaaS]],15)),"")</f>
        <v>0</v>
      </c>
      <c r="M26" s="117">
        <f>IF(B26&lt;&gt;0,COUNTIF('1.4 Analyse &amp; Synthese'!Q28:AJ28,1))</f>
        <v>2</v>
      </c>
      <c r="N26" s="101">
        <f>IF(B26&lt;&gt;0,COUNTIF('1.4 Analyse &amp; Synthese'!Q28:AJ28,3))</f>
        <v>5</v>
      </c>
      <c r="O26" s="101" t="str">
        <f t="array" ref="O26">_xlfn.IFNA(INDEX($D$5:$D$49,MATCH(0,COUNTIF($O$4:O25,$D$5:$D$49),0),1),"")</f>
        <v/>
      </c>
      <c r="P26" s="101" t="str">
        <f t="shared" si="0"/>
        <v/>
      </c>
      <c r="Q26" s="101" t="str">
        <f t="shared" si="1"/>
        <v/>
      </c>
      <c r="R26" s="128" t="str">
        <f>_xlfn.IFNA(IF(VLOOKUP(B26,Tabelle4[#All],2,FALSE)="x",VLOOKUP(B26,'1.4 Analyse &amp; Synthese'!$B$7:$G$47,6,FALSE),""),"")</f>
        <v>Portierbarkeit</v>
      </c>
      <c r="S26" s="101" t="str">
        <f t="array" ref="S26">_xlfn.IFNA(INDEX($R$5:$R$49,MATCH(0,COUNTIF($S$4:S25,$R$5:$R$49),0),1),"")</f>
        <v/>
      </c>
      <c r="T26" s="101" t="str">
        <f t="shared" si="2"/>
        <v/>
      </c>
      <c r="U26" s="9" t="str">
        <f>_xlfn.IFNA(IF(VLOOKUP(B26,Tabelle4[#All],2,FALSE)="x",VLOOKUP(B26,'1.4 Analyse &amp; Synthese'!$B$7:$I$47,8,FALSE),""),"")</f>
        <v>Monitoring System</v>
      </c>
      <c r="V26" s="122" t="str">
        <f t="array" ref="V26">_xlfn.IFNA(INDEX($U$5:$U$49,MATCH(0,COUNTIF($V$5:V25,$U$5:$U$49),0),1),"")</f>
        <v/>
      </c>
      <c r="W26" t="str">
        <f t="shared" si="9"/>
        <v/>
      </c>
      <c r="X26" t="str">
        <f t="shared" si="10"/>
        <v/>
      </c>
      <c r="Y26" t="str">
        <f t="shared" si="11"/>
        <v/>
      </c>
      <c r="Z26" t="str">
        <f t="shared" ref="Z26:Z49" si="23">IF(AND(ISNUMBER(V26)=FALSE,V26&lt;&gt;""),COUNTIFS(U:U,V26,R:R,"*Hilfe bei Anbieter- &amp; Serviceauswahl*"),"")</f>
        <v/>
      </c>
      <c r="AA26" t="str">
        <f t="shared" si="13"/>
        <v/>
      </c>
      <c r="AG26" s="8"/>
      <c r="AH26" s="264"/>
      <c r="AI26" s="114" t="str">
        <f>_xlfn.IFNA(IF(VLOOKUP(B26,Tabelle4[#All],2,FALSE)="x",VLOOKUP(B26,Tabelle4[#All],6,FALSE),""),"")</f>
        <v>Konferenz</v>
      </c>
      <c r="AJ26" s="101" t="str">
        <f t="array" ref="AJ26">_xlfn.IFNA(INDEX($AI$5:$AI$49,MATCH(0,COUNTIF($AJ$4:AJ25,$AI$5:$AI$49),0),1),"")</f>
        <v/>
      </c>
      <c r="AK26" s="101" t="str">
        <f t="shared" si="3"/>
        <v/>
      </c>
      <c r="AL26" s="117" t="str">
        <f t="array" ref="AL26">_xlfn.IFNA(INDEX($E$5:$E$49,MATCH(0,COUNTIF($AL$4:AL25,$E$5:$E$49),0),1),"")</f>
        <v/>
      </c>
      <c r="AM26" t="str">
        <f t="shared" si="4"/>
        <v/>
      </c>
      <c r="AN26" s="9"/>
      <c r="AS26" t="str">
        <f t="shared" si="5"/>
        <v/>
      </c>
      <c r="AT26" s="198" t="str">
        <f t="array" ref="AT26">_xlfn.IFNA(INDEX($AS$5:$AS$49,MATCH(0,COUNTIF($AT$4:AT25,$AS$5:$AS$49),0),1),"")</f>
        <v/>
      </c>
      <c r="AU26" s="202"/>
      <c r="AV26" s="200" t="str">
        <f t="shared" si="6"/>
        <v/>
      </c>
      <c r="AW26" s="101" t="str">
        <f t="array" ref="AW26">_xlfn.IFNA(INDEX($AV$6:$AV$49,MATCH(0,COUNTIF($AW$4:AW25,$AV$6:$AV$49),0),1),"")</f>
        <v/>
      </c>
      <c r="AX26" s="201" t="str">
        <f t="shared" si="17"/>
        <v/>
      </c>
      <c r="AY26" s="204" t="str">
        <f t="shared" si="7"/>
        <v>Monitoring System</v>
      </c>
      <c r="AZ26" s="101" t="str">
        <f t="array" ref="AZ26">_xlfn.IFNA(INDEX($AY$5:$AY$49,MATCH(0,COUNTIF($AZ$4:AZ25,$AY$5:$AY$49),0),1),"")</f>
        <v/>
      </c>
      <c r="BA26" t="str">
        <f t="shared" si="18"/>
        <v/>
      </c>
      <c r="BB26" s="8" t="str">
        <f t="shared" si="14"/>
        <v/>
      </c>
      <c r="BC26" s="101" t="str">
        <f t="array" ref="BC26">_xlfn.IFNA(INDEX($BB$6:$BB$49,MATCH(0,COUNTIF($BC$4:BC25,$BB$6:$BB$49),0),1),"")</f>
        <v/>
      </c>
      <c r="BD26" t="str">
        <f t="shared" si="19"/>
        <v/>
      </c>
      <c r="BE26" s="209" t="str">
        <f t="shared" si="15"/>
        <v/>
      </c>
      <c r="BF26" s="101" t="str">
        <f t="array" ref="BF26">_xlfn.IFNA(INDEX($BE$5:$BE$49,MATCH(0,COUNTIF($BF$4:BF25,$BE$5:$BE$49),0),1),"")</f>
        <v/>
      </c>
      <c r="BG26" s="201" t="str">
        <f t="shared" si="21"/>
        <v/>
      </c>
      <c r="BI26" s="101" t="str">
        <f t="array" ref="BI26">_xlfn.IFNA(INDEX($F$5:$F$49,MATCH(0,COUNTIF($BI$4:BI25,$F$5:$F$49),0),1),"")</f>
        <v/>
      </c>
      <c r="BJ26" s="206" t="str">
        <f t="shared" si="16"/>
        <v/>
      </c>
      <c r="BL26" s="15"/>
      <c r="BM26" s="15"/>
      <c r="BN26" s="15"/>
      <c r="BO26" s="225"/>
      <c r="BP26" s="372" t="str">
        <f>_xlfn.IFNA(IF(B25&lt;&gt;"",IF(AND(ISBLANK('1.4 Analyse &amp; Synthese'!N27),ISBLANK('1.4 Analyse &amp; Synthese'!O27),ISBLANK('1.4 Analyse &amp; Synthese'!P27)),IF('1.4 Analyse &amp; Synthese'!M27="x",1,0),""),""),"")</f>
        <v/>
      </c>
      <c r="BQ26" s="123" t="str">
        <f>_xlfn.IFNA(IF(B25&lt;&gt;"",IF(AND(ISBLANK('1.4 Analyse &amp; Synthese'!M27),ISBLANK('1.4 Analyse &amp; Synthese'!O27),ISBLANK('1.4 Analyse &amp; Synthese'!P27)),IF('1.4 Analyse &amp; Synthese'!N27="x",1,0),""),""),"")</f>
        <v/>
      </c>
      <c r="BR26" s="123">
        <f>_xlfn.IFNA(IF(B25&lt;&gt;"",IF(AND(ISBLANK('1.4 Analyse &amp; Synthese'!M27),ISBLANK('1.4 Analyse &amp; Synthese'!N27),ISBLANK('1.4 Analyse &amp; Synthese'!P27)),IF('1.4 Analyse &amp; Synthese'!O27="x",1,0),""),""),"")</f>
        <v>1</v>
      </c>
      <c r="BS26" s="123">
        <f>_xlfn.IFNA(IF(B25&lt;&gt;"",IF(AND('1.4 Analyse &amp; Synthese'!M27="X",'1.4 Analyse &amp; Synthese'!N27="X",'1.4 Analyse &amp; Synthese'!O27="X"),1,0),""),"")</f>
        <v>0</v>
      </c>
      <c r="BT26" s="123">
        <f>_xlfn.IFNA(IF(B25&lt;&gt;"",IF(AND(ISBLANK('1.4 Analyse &amp; Synthese'!M27),ISBLANK('1.4 Analyse &amp; Synthese'!N27),ISBLANK('1.4 Analyse &amp; Synthese'!O27)),1,0),""),"")</f>
        <v>0</v>
      </c>
      <c r="BU26" s="123">
        <f>_xlfn.IFNA(IF(B25&lt;&gt;"",IF(OR(AND('1.4 Analyse &amp; Synthese'!M27="X",'1.4 Analyse &amp; Synthese'!N27="X",'1.4 Analyse &amp; Synthese'!O27=""),AND('1.4 Analyse &amp; Synthese'!M27="X",'1.4 Analyse &amp; Synthese'!N27="",'1.4 Analyse &amp; Synthese'!O27="X"),AND('1.4 Analyse &amp; Synthese'!M27="",'1.4 Analyse &amp; Synthese'!N27="X",'1.4 Analyse &amp; Synthese'!O27="X")),1,0),0),"")</f>
        <v>0</v>
      </c>
      <c r="BV26" s="373" t="str">
        <f>_xlfn.IFNA(IF(B25&lt;&gt;"",IF(AND(ISBLANK('1.4 Analyse &amp; Synthese'!M27),ISBLANK('1.4 Analyse &amp; Synthese'!N27),ISBLANK('1.4 Analyse &amp; Synthese'!O27)),IF('1.4 Analyse &amp; Synthese'!P27="x",1,0),""),""),"")</f>
        <v/>
      </c>
    </row>
    <row r="27" spans="2:74" x14ac:dyDescent="0.2">
      <c r="B27" s="127">
        <f>IF('1.4 Analyse &amp; Synthese'!B29&lt;&gt;0,'1.4 Analyse &amp; Synthese'!B29,"")</f>
        <v>23</v>
      </c>
      <c r="C27" t="str">
        <f>_xlfn.IFNA(IF(B27&lt;&gt;0,VLOOKUP($B27,Tabelle3[[1]:[3]],2)),"")</f>
        <v>Majda</v>
      </c>
      <c r="D27">
        <f>_xlfn.IFNA(IF(B27&lt;&gt;0,VLOOKUP($B27,Tabelle3[[1]:[3]],3)),"")</f>
        <v>2015</v>
      </c>
      <c r="E27" t="str">
        <f>_xlfn.IFNA(IF(B27&lt;&gt;0,VLOOKUP($B27,Tabelle3[[1]:[4]],4)),"")</f>
        <v>Standardization (A)</v>
      </c>
      <c r="F27" t="str">
        <f>_xlfn.IFNA(IF(B27&lt;&gt;0,VLOOKUP($B27,Tabelle3[[1]:[5]],5)),"")</f>
        <v>Empfehlung</v>
      </c>
      <c r="G27" s="101">
        <f>_xlfn.IFNA(IF(B27&lt;&gt;0,VLOOKUP($B27,Tabelle3[[1]:[Aggregator/Integrator]],10)),"")</f>
        <v>0</v>
      </c>
      <c r="H27" s="101" t="str">
        <f>_xlfn.IFNA(IF(B27&lt;&gt;0,VLOOKUP($B27,Tabelle3[[1]:[ITSVN Akteure]],11)),"")</f>
        <v>x</v>
      </c>
      <c r="I27" s="101">
        <f>_xlfn.IFNA(IF(B27&lt;&gt;0,VLOOKUP($B27,Tabelle3[[1]:[IaaS]],12)),"")</f>
        <v>0</v>
      </c>
      <c r="J27" s="101">
        <f>_xlfn.IFNA(IF(B27&lt;&gt;0,VLOOKUP($B27,Tabelle3[[1]:[PaaS]],13)),"")</f>
        <v>0</v>
      </c>
      <c r="K27" s="101" t="str">
        <f>_xlfn.IFNA(IF(B27&lt;&gt;0,VLOOKUP($B27,Tabelle3[[1]:[SaaS]],14)),"")</f>
        <v>x</v>
      </c>
      <c r="L27" s="101">
        <f>_xlfn.IFNA(IF(B27&lt;&gt;0,VLOOKUP($B27,Tabelle3[[1]:[DaaS]],15)),"")</f>
        <v>0</v>
      </c>
      <c r="M27" s="117">
        <f>IF(B27&lt;&gt;0,COUNTIF('1.4 Analyse &amp; Synthese'!Q29:AJ29,1))</f>
        <v>3</v>
      </c>
      <c r="N27" s="101">
        <f>IF(B27&lt;&gt;0,COUNTIF('1.4 Analyse &amp; Synthese'!Q29:AJ29,3))</f>
        <v>3</v>
      </c>
      <c r="O27" s="101" t="str">
        <f t="array" ref="O27">_xlfn.IFNA(INDEX($D$5:$D$49,MATCH(0,COUNTIF($O$4:O26,$D$5:$D$49),0),1),"")</f>
        <v/>
      </c>
      <c r="P27" s="101" t="str">
        <f t="shared" si="0"/>
        <v/>
      </c>
      <c r="Q27" s="101" t="str">
        <f t="shared" si="1"/>
        <v/>
      </c>
      <c r="R27" s="128" t="str">
        <f>_xlfn.IFNA(IF(VLOOKUP(B27,Tabelle4[#All],2,FALSE)="x",VLOOKUP(B27,'1.4 Analyse &amp; Synthese'!$B$7:$G$47,6,FALSE),""),"")</f>
        <v>Kompatibilität</v>
      </c>
      <c r="S27" s="101" t="str">
        <f t="array" ref="S27">_xlfn.IFNA(INDEX($R$5:$R$49,MATCH(0,COUNTIF($S$4:S26,$R$5:$R$49),0),1),"")</f>
        <v/>
      </c>
      <c r="T27" s="101" t="str">
        <f t="shared" si="2"/>
        <v/>
      </c>
      <c r="U27" s="9" t="str">
        <f>_xlfn.IFNA(IF(VLOOKUP(B27,Tabelle4[#All],2,FALSE)="x",VLOOKUP(B27,'1.4 Analyse &amp; Synthese'!$B$7:$I$47,8,FALSE),""),"")</f>
        <v>Protokolltransmitter</v>
      </c>
      <c r="V27" s="122" t="str">
        <f t="array" ref="V27">_xlfn.IFNA(INDEX($U$5:$U$49,MATCH(0,COUNTIF($V$5:V26,$U$5:$U$49),0),1),"")</f>
        <v/>
      </c>
      <c r="W27" t="str">
        <f t="shared" si="9"/>
        <v/>
      </c>
      <c r="X27" t="str">
        <f t="shared" si="10"/>
        <v/>
      </c>
      <c r="Y27" t="str">
        <f t="shared" si="11"/>
        <v/>
      </c>
      <c r="Z27" t="str">
        <f t="shared" si="23"/>
        <v/>
      </c>
      <c r="AA27" t="str">
        <f t="shared" si="13"/>
        <v/>
      </c>
      <c r="AI27" s="114" t="str">
        <f>_xlfn.IFNA(IF(VLOOKUP(B27,Tabelle4[#All],2,FALSE)="x",VLOOKUP(B27,Tabelle4[#All],6,FALSE),""),"")</f>
        <v>Konferenz</v>
      </c>
      <c r="AJ27" s="101" t="str">
        <f t="array" ref="AJ27">_xlfn.IFNA(INDEX($AI$5:$AI$49,MATCH(0,COUNTIF($AJ$4:AJ26,$AI$5:$AI$49),0),1),"")</f>
        <v/>
      </c>
      <c r="AK27" s="101" t="str">
        <f t="shared" si="3"/>
        <v/>
      </c>
      <c r="AL27" s="117" t="str">
        <f t="array" ref="AL27">_xlfn.IFNA(INDEX($E$5:$E$49,MATCH(0,COUNTIF($AL$4:AL26,$E$5:$E$49),0),1),"")</f>
        <v/>
      </c>
      <c r="AM27" t="str">
        <f t="shared" si="4"/>
        <v/>
      </c>
      <c r="AN27" s="9"/>
      <c r="AS27" t="str">
        <f t="shared" si="5"/>
        <v/>
      </c>
      <c r="AT27" s="198" t="str">
        <f t="array" ref="AT27">_xlfn.IFNA(INDEX($AS$5:$AS$49,MATCH(0,COUNTIF($AT$4:AT26,$AS$5:$AS$49),0),1),"")</f>
        <v/>
      </c>
      <c r="AU27" s="202"/>
      <c r="AV27" s="200" t="str">
        <f t="shared" si="6"/>
        <v>Protokolltransmitter</v>
      </c>
      <c r="AW27" s="101" t="str">
        <f t="array" ref="AW27">_xlfn.IFNA(INDEX($AV$6:$AV$49,MATCH(0,COUNTIF($AW$4:AW26,$AV$6:$AV$49),0),1),"")</f>
        <v/>
      </c>
      <c r="AX27" s="201" t="str">
        <f t="shared" si="17"/>
        <v/>
      </c>
      <c r="AY27" s="204" t="str">
        <f t="shared" si="7"/>
        <v/>
      </c>
      <c r="AZ27" s="101" t="str">
        <f t="array" ref="AZ27">_xlfn.IFNA(INDEX($AY$5:$AY$49,MATCH(0,COUNTIF($AZ$4:AZ26,$AY$5:$AY$49),0),1),"")</f>
        <v/>
      </c>
      <c r="BA27" t="str">
        <f t="shared" si="18"/>
        <v/>
      </c>
      <c r="BB27" s="8" t="str">
        <f t="shared" si="14"/>
        <v/>
      </c>
      <c r="BC27" s="101" t="str">
        <f t="array" ref="BC27">_xlfn.IFNA(INDEX($BB$6:$BB$49,MATCH(0,COUNTIF($BC$4:BC26,$BB$6:$BB$49),0),1),"")</f>
        <v/>
      </c>
      <c r="BD27" t="str">
        <f t="shared" si="19"/>
        <v/>
      </c>
      <c r="BE27" s="209" t="str">
        <f t="shared" si="15"/>
        <v/>
      </c>
      <c r="BF27" s="101" t="str">
        <f t="array" ref="BF27">_xlfn.IFNA(INDEX($BE$5:$BE$49,MATCH(0,COUNTIF($BF$4:BF26,$BE$5:$BE$49),0),1),"")</f>
        <v/>
      </c>
      <c r="BG27" s="201" t="str">
        <f t="shared" si="21"/>
        <v/>
      </c>
      <c r="BI27" s="101" t="str">
        <f t="array" ref="BI27">_xlfn.IFNA(INDEX($F$5:$F$49,MATCH(0,COUNTIF($BI$4:BI26,$F$5:$F$49),0),1),"")</f>
        <v/>
      </c>
      <c r="BJ27" s="206" t="str">
        <f t="shared" si="16"/>
        <v/>
      </c>
      <c r="BL27" s="15"/>
      <c r="BM27" s="15"/>
      <c r="BN27" s="15"/>
      <c r="BO27" s="225"/>
      <c r="BP27" s="372" t="str">
        <f>_xlfn.IFNA(IF(B26&lt;&gt;"",IF(AND(ISBLANK('1.4 Analyse &amp; Synthese'!N28),ISBLANK('1.4 Analyse &amp; Synthese'!O28),ISBLANK('1.4 Analyse &amp; Synthese'!P28)),IF('1.4 Analyse &amp; Synthese'!M28="x",1,0),""),""),"")</f>
        <v/>
      </c>
      <c r="BQ27" s="123" t="str">
        <f>_xlfn.IFNA(IF(B26&lt;&gt;"",IF(AND(ISBLANK('1.4 Analyse &amp; Synthese'!M28),ISBLANK('1.4 Analyse &amp; Synthese'!O28),ISBLANK('1.4 Analyse &amp; Synthese'!P28)),IF('1.4 Analyse &amp; Synthese'!N28="x",1,0),""),""),"")</f>
        <v/>
      </c>
      <c r="BR27" s="123" t="str">
        <f>_xlfn.IFNA(IF(B26&lt;&gt;"",IF(AND(ISBLANK('1.4 Analyse &amp; Synthese'!M28),ISBLANK('1.4 Analyse &amp; Synthese'!N28),ISBLANK('1.4 Analyse &amp; Synthese'!P28)),IF('1.4 Analyse &amp; Synthese'!O28="x",1,0),""),""),"")</f>
        <v/>
      </c>
      <c r="BS27" s="123">
        <f>_xlfn.IFNA(IF(B26&lt;&gt;"",IF(AND('1.4 Analyse &amp; Synthese'!M28="X",'1.4 Analyse &amp; Synthese'!N28="X",'1.4 Analyse &amp; Synthese'!O28="X"),1,0),""),"")</f>
        <v>1</v>
      </c>
      <c r="BT27" s="123">
        <f>_xlfn.IFNA(IF(B26&lt;&gt;"",IF(AND(ISBLANK('1.4 Analyse &amp; Synthese'!M28),ISBLANK('1.4 Analyse &amp; Synthese'!N28),ISBLANK('1.4 Analyse &amp; Synthese'!O28)),1,0),""),"")</f>
        <v>0</v>
      </c>
      <c r="BU27" s="123">
        <f>_xlfn.IFNA(IF(B26&lt;&gt;"",IF(OR(AND('1.4 Analyse &amp; Synthese'!M28="X",'1.4 Analyse &amp; Synthese'!N28="X",'1.4 Analyse &amp; Synthese'!O28=""),AND('1.4 Analyse &amp; Synthese'!M28="X",'1.4 Analyse &amp; Synthese'!N28="",'1.4 Analyse &amp; Synthese'!O28="X"),AND('1.4 Analyse &amp; Synthese'!M28="",'1.4 Analyse &amp; Synthese'!N28="X",'1.4 Analyse &amp; Synthese'!O28="X")),1,0),0),"")</f>
        <v>0</v>
      </c>
      <c r="BV27" s="373" t="str">
        <f>_xlfn.IFNA(IF(B26&lt;&gt;"",IF(AND(ISBLANK('1.4 Analyse &amp; Synthese'!M28),ISBLANK('1.4 Analyse &amp; Synthese'!N28),ISBLANK('1.4 Analyse &amp; Synthese'!O28)),IF('1.4 Analyse &amp; Synthese'!P28="x",1,0),""),""),"")</f>
        <v/>
      </c>
    </row>
    <row r="28" spans="2:74" x14ac:dyDescent="0.2">
      <c r="B28" s="127">
        <f>IF('1.4 Analyse &amp; Synthese'!B30&lt;&gt;0,'1.4 Analyse &amp; Synthese'!B30,"")</f>
        <v>24</v>
      </c>
      <c r="C28" t="str">
        <f>_xlfn.IFNA(IF(B28&lt;&gt;0,VLOOKUP($B28,Tabelle3[[1]:[3]],2)),"")</f>
        <v>Moscato</v>
      </c>
      <c r="D28">
        <f>_xlfn.IFNA(IF(B28&lt;&gt;0,VLOOKUP($B28,Tabelle3[[1]:[3]],3)),"")</f>
        <v>2011</v>
      </c>
      <c r="E28" t="str">
        <f>_xlfn.IFNA(IF(B28&lt;&gt;0,VLOOKUP($B28,Tabelle3[[1]:[4]],4)),"")</f>
        <v>Terminology (A)</v>
      </c>
      <c r="F28" t="str">
        <f>_xlfn.IFNA(IF(B28&lt;&gt;0,VLOOKUP($B28,Tabelle3[[1]:[5]],5)),"")</f>
        <v>Empfehlung</v>
      </c>
      <c r="G28" s="101" t="str">
        <f>_xlfn.IFNA(IF(B28&lt;&gt;0,VLOOKUP($B28,Tabelle3[[1]:[Aggregator/Integrator]],10)),"")</f>
        <v>x</v>
      </c>
      <c r="H28" s="101">
        <f>_xlfn.IFNA(IF(B28&lt;&gt;0,VLOOKUP($B28,Tabelle3[[1]:[ITSVN Akteure]],11)),"")</f>
        <v>0</v>
      </c>
      <c r="I28" s="101" t="str">
        <f>_xlfn.IFNA(IF(B28&lt;&gt;0,VLOOKUP($B28,Tabelle3[[1]:[IaaS]],12)),"")</f>
        <v>x</v>
      </c>
      <c r="J28" s="101">
        <f>_xlfn.IFNA(IF(B28&lt;&gt;0,VLOOKUP($B28,Tabelle3[[1]:[PaaS]],13)),"")</f>
        <v>0</v>
      </c>
      <c r="K28" s="101">
        <f>_xlfn.IFNA(IF(B28&lt;&gt;0,VLOOKUP($B28,Tabelle3[[1]:[SaaS]],14)),"")</f>
        <v>0</v>
      </c>
      <c r="L28" s="101">
        <f>_xlfn.IFNA(IF(B28&lt;&gt;0,VLOOKUP($B28,Tabelle3[[1]:[DaaS]],15)),"")</f>
        <v>0</v>
      </c>
      <c r="M28" s="117">
        <f>IF(B28&lt;&gt;0,COUNTIF('1.4 Analyse &amp; Synthese'!Q30:AJ30,1))</f>
        <v>7</v>
      </c>
      <c r="N28" s="101">
        <f>IF(B28&lt;&gt;0,COUNTIF('1.4 Analyse &amp; Synthese'!Q30:AJ30,3))</f>
        <v>2</v>
      </c>
      <c r="O28" s="101" t="str">
        <f t="array" ref="O28">_xlfn.IFNA(INDEX($D$5:$D$49,MATCH(0,COUNTIF($O$4:O27,$D$5:$D$49),0),1),"")</f>
        <v/>
      </c>
      <c r="P28" s="101" t="str">
        <f t="shared" si="0"/>
        <v/>
      </c>
      <c r="Q28" s="101" t="str">
        <f t="shared" si="1"/>
        <v/>
      </c>
      <c r="R28" s="128" t="str">
        <f>_xlfn.IFNA(IF(VLOOKUP(B28,Tabelle4[#All],2,FALSE)="x",VLOOKUP(B28,'1.4 Analyse &amp; Synthese'!$B$7:$G$47,6,FALSE),""),"")</f>
        <v>Kompatibilität</v>
      </c>
      <c r="S28" s="101" t="str">
        <f t="array" ref="S28">_xlfn.IFNA(INDEX($R$5:$R$49,MATCH(0,COUNTIF($S$4:S27,$R$5:$R$49),0),1),"")</f>
        <v/>
      </c>
      <c r="T28" s="101" t="str">
        <f t="shared" si="2"/>
        <v/>
      </c>
      <c r="U28" s="9" t="str">
        <f>_xlfn.IFNA(IF(VLOOKUP(B28,Tabelle4[#All],2,FALSE)="x",VLOOKUP(B28,'1.4 Analyse &amp; Synthese'!$B$7:$I$47,8,FALSE),""),"")</f>
        <v>Open-Source Plattform</v>
      </c>
      <c r="V28" s="122" t="str">
        <f t="array" ref="V28">_xlfn.IFNA(INDEX($U$5:$U$49,MATCH(0,COUNTIF($V$5:V27,$U$5:$U$49),0),1),"")</f>
        <v/>
      </c>
      <c r="W28" t="str">
        <f t="shared" si="9"/>
        <v/>
      </c>
      <c r="X28" t="str">
        <f t="shared" si="10"/>
        <v/>
      </c>
      <c r="Y28" t="str">
        <f t="shared" si="11"/>
        <v/>
      </c>
      <c r="Z28" t="str">
        <f t="shared" si="23"/>
        <v/>
      </c>
      <c r="AA28" t="str">
        <f t="shared" si="13"/>
        <v/>
      </c>
      <c r="AI28" s="114" t="str">
        <f>_xlfn.IFNA(IF(VLOOKUP(B28,Tabelle4[#All],2,FALSE)="x",VLOOKUP(B28,Tabelle4[#All],6,FALSE),""),"")</f>
        <v>Konferenz</v>
      </c>
      <c r="AJ28" s="101" t="str">
        <f t="array" ref="AJ28">_xlfn.IFNA(INDEX($AI$5:$AI$49,MATCH(0,COUNTIF($AJ$4:AJ27,$AI$5:$AI$49),0),1),"")</f>
        <v/>
      </c>
      <c r="AK28" s="101" t="str">
        <f t="shared" si="3"/>
        <v/>
      </c>
      <c r="AL28" s="117" t="str">
        <f t="array" ref="AL28">_xlfn.IFNA(INDEX($E$5:$E$49,MATCH(0,COUNTIF($AL$4:AL27,$E$5:$E$49),0),1),"")</f>
        <v/>
      </c>
      <c r="AM28" t="str">
        <f t="shared" si="4"/>
        <v/>
      </c>
      <c r="AN28" s="9"/>
      <c r="AS28" t="str">
        <f t="shared" si="5"/>
        <v/>
      </c>
      <c r="AT28" s="198" t="str">
        <f t="array" ref="AT28">_xlfn.IFNA(INDEX($AS$5:$AS$49,MATCH(0,COUNTIF($AT$4:AT27,$AS$5:$AS$49),0),1),"")</f>
        <v/>
      </c>
      <c r="AU28" s="202"/>
      <c r="AV28" s="200" t="str">
        <f t="shared" si="6"/>
        <v>Open-Source Plattform</v>
      </c>
      <c r="AW28" s="101" t="str">
        <f t="array" ref="AW28">_xlfn.IFNA(INDEX($AV$6:$AV$49,MATCH(0,COUNTIF($AW$4:AW27,$AV$6:$AV$49),0),1),"")</f>
        <v/>
      </c>
      <c r="AX28" s="201" t="str">
        <f t="shared" si="17"/>
        <v/>
      </c>
      <c r="AY28" s="204" t="str">
        <f t="shared" si="7"/>
        <v/>
      </c>
      <c r="AZ28" s="101" t="str">
        <f t="array" ref="AZ28">_xlfn.IFNA(INDEX($AY$5:$AY$49,MATCH(0,COUNTIF($AZ$4:AZ27,$AY$5:$AY$49),0),1),"")</f>
        <v/>
      </c>
      <c r="BA28" t="str">
        <f t="shared" si="18"/>
        <v/>
      </c>
      <c r="BB28" s="8" t="str">
        <f t="shared" si="14"/>
        <v/>
      </c>
      <c r="BC28" s="101" t="str">
        <f t="array" ref="BC28">_xlfn.IFNA(INDEX($BB$6:$BB$49,MATCH(0,COUNTIF($BC$4:BC27,$BB$6:$BB$49),0),1),"")</f>
        <v/>
      </c>
      <c r="BD28" t="str">
        <f t="shared" si="19"/>
        <v/>
      </c>
      <c r="BE28" s="209" t="str">
        <f t="shared" si="15"/>
        <v/>
      </c>
      <c r="BF28" s="101" t="str">
        <f t="array" ref="BF28">_xlfn.IFNA(INDEX($BE$5:$BE$49,MATCH(0,COUNTIF($BF$4:BF27,$BE$5:$BE$49),0),1),"")</f>
        <v/>
      </c>
      <c r="BG28" s="201" t="str">
        <f t="shared" si="21"/>
        <v/>
      </c>
      <c r="BI28" s="101" t="str">
        <f t="array" ref="BI28">_xlfn.IFNA(INDEX($F$5:$F$49,MATCH(0,COUNTIF($BI$4:BI27,$F$5:$F$49),0),1),"")</f>
        <v/>
      </c>
      <c r="BJ28" s="206" t="str">
        <f t="shared" si="16"/>
        <v/>
      </c>
      <c r="BL28" s="15"/>
      <c r="BM28" s="15"/>
      <c r="BN28" s="15"/>
      <c r="BO28" s="225"/>
      <c r="BP28" s="372" t="str">
        <f>_xlfn.IFNA(IF(B27&lt;&gt;"",IF(AND(ISBLANK('1.4 Analyse &amp; Synthese'!N29),ISBLANK('1.4 Analyse &amp; Synthese'!O29),ISBLANK('1.4 Analyse &amp; Synthese'!P29)),IF('1.4 Analyse &amp; Synthese'!M29="x",1,0),""),""),"")</f>
        <v/>
      </c>
      <c r="BQ28" s="123" t="str">
        <f>_xlfn.IFNA(IF(B27&lt;&gt;"",IF(AND(ISBLANK('1.4 Analyse &amp; Synthese'!M29),ISBLANK('1.4 Analyse &amp; Synthese'!O29),ISBLANK('1.4 Analyse &amp; Synthese'!P29)),IF('1.4 Analyse &amp; Synthese'!N29="x",1,0),""),""),"")</f>
        <v/>
      </c>
      <c r="BR28" s="123">
        <f>_xlfn.IFNA(IF(B27&lt;&gt;"",IF(AND(ISBLANK('1.4 Analyse &amp; Synthese'!M29),ISBLANK('1.4 Analyse &amp; Synthese'!N29),ISBLANK('1.4 Analyse &amp; Synthese'!P29)),IF('1.4 Analyse &amp; Synthese'!O29="x",1,0),""),""),"")</f>
        <v>1</v>
      </c>
      <c r="BS28" s="123">
        <f>_xlfn.IFNA(IF(B27&lt;&gt;"",IF(AND('1.4 Analyse &amp; Synthese'!M29="X",'1.4 Analyse &amp; Synthese'!N29="X",'1.4 Analyse &amp; Synthese'!O29="X"),1,0),""),"")</f>
        <v>0</v>
      </c>
      <c r="BT28" s="123">
        <f>_xlfn.IFNA(IF(B27&lt;&gt;"",IF(AND(ISBLANK('1.4 Analyse &amp; Synthese'!M29),ISBLANK('1.4 Analyse &amp; Synthese'!N29),ISBLANK('1.4 Analyse &amp; Synthese'!O29)),1,0),""),"")</f>
        <v>0</v>
      </c>
      <c r="BU28" s="123">
        <f>_xlfn.IFNA(IF(B27&lt;&gt;"",IF(OR(AND('1.4 Analyse &amp; Synthese'!M29="X",'1.4 Analyse &amp; Synthese'!N29="X",'1.4 Analyse &amp; Synthese'!O29=""),AND('1.4 Analyse &amp; Synthese'!M29="X",'1.4 Analyse &amp; Synthese'!N29="",'1.4 Analyse &amp; Synthese'!O29="X"),AND('1.4 Analyse &amp; Synthese'!M29="",'1.4 Analyse &amp; Synthese'!N29="X",'1.4 Analyse &amp; Synthese'!O29="X")),1,0),0),"")</f>
        <v>0</v>
      </c>
      <c r="BV28" s="373" t="str">
        <f>_xlfn.IFNA(IF(B27&lt;&gt;"",IF(AND(ISBLANK('1.4 Analyse &amp; Synthese'!M29),ISBLANK('1.4 Analyse &amp; Synthese'!N29),ISBLANK('1.4 Analyse &amp; Synthese'!O29)),IF('1.4 Analyse &amp; Synthese'!P29="x",1,0),""),""),"")</f>
        <v/>
      </c>
    </row>
    <row r="29" spans="2:74" x14ac:dyDescent="0.2">
      <c r="B29" s="127">
        <f>IF('1.4 Analyse &amp; Synthese'!B31&lt;&gt;0,'1.4 Analyse &amp; Synthese'!B31,"")</f>
        <v>25</v>
      </c>
      <c r="C29" t="str">
        <f>_xlfn.IFNA(IF(B29&lt;&gt;0,VLOOKUP($B29,Tabelle3[[1]:[3]],2)),"")</f>
        <v>Muthusamy</v>
      </c>
      <c r="D29">
        <f>_xlfn.IFNA(IF(B29&lt;&gt;0,VLOOKUP($B29,Tabelle3[[1]:[3]],3)),"")</f>
        <v>2010</v>
      </c>
      <c r="E29" t="str">
        <f>_xlfn.IFNA(IF(B29&lt;&gt;0,VLOOKUP($B29,Tabelle3[[1]:[4]],4)),"")</f>
        <v>Rückwärtssuche</v>
      </c>
      <c r="F29" t="str">
        <f>_xlfn.IFNA(IF(B29&lt;&gt;0,VLOOKUP($B29,Tabelle3[[1]:[5]],5)),"")</f>
        <v>Empfehlung</v>
      </c>
      <c r="G29" s="101" t="str">
        <f>_xlfn.IFNA(IF(B29&lt;&gt;0,VLOOKUP($B29,Tabelle3[[1]:[Aggregator/Integrator]],10)),"")</f>
        <v>x</v>
      </c>
      <c r="H29" s="101">
        <f>_xlfn.IFNA(IF(B29&lt;&gt;0,VLOOKUP($B29,Tabelle3[[1]:[ITSVN Akteure]],11)),"")</f>
        <v>0</v>
      </c>
      <c r="I29" s="101" t="str">
        <f>_xlfn.IFNA(IF(B29&lt;&gt;0,VLOOKUP($B29,Tabelle3[[1]:[IaaS]],12)),"")</f>
        <v>x</v>
      </c>
      <c r="J29" s="101" t="str">
        <f>_xlfn.IFNA(IF(B29&lt;&gt;0,VLOOKUP($B29,Tabelle3[[1]:[PaaS]],13)),"")</f>
        <v>x</v>
      </c>
      <c r="K29" s="101" t="str">
        <f>_xlfn.IFNA(IF(B29&lt;&gt;0,VLOOKUP($B29,Tabelle3[[1]:[SaaS]],14)),"")</f>
        <v>x</v>
      </c>
      <c r="L29" s="101">
        <f>_xlfn.IFNA(IF(B29&lt;&gt;0,VLOOKUP($B29,Tabelle3[[1]:[DaaS]],15)),"")</f>
        <v>0</v>
      </c>
      <c r="M29" s="117">
        <f>IF(B29&lt;&gt;0,COUNTIF('1.4 Analyse &amp; Synthese'!Q31:AJ31,1))</f>
        <v>2</v>
      </c>
      <c r="N29" s="101">
        <f>IF(B29&lt;&gt;0,COUNTIF('1.4 Analyse &amp; Synthese'!Q31:AJ31,3))</f>
        <v>2</v>
      </c>
      <c r="O29" s="101" t="str">
        <f t="array" ref="O29">_xlfn.IFNA(INDEX($D$5:$D$49,MATCH(0,COUNTIF($O$4:O28,$D$5:$D$49),0),1),"")</f>
        <v/>
      </c>
      <c r="P29" s="101" t="str">
        <f t="shared" si="0"/>
        <v/>
      </c>
      <c r="Q29" s="101" t="str">
        <f t="shared" si="1"/>
        <v/>
      </c>
      <c r="R29" s="128" t="str">
        <f>_xlfn.IFNA(IF(VLOOKUP(B29,Tabelle4[#All],2,FALSE)="x",VLOOKUP(B29,'1.4 Analyse &amp; Synthese'!$B$7:$G$47,6,FALSE),""),"")</f>
        <v>Kompatibilität</v>
      </c>
      <c r="S29" s="101" t="str">
        <f t="array" ref="S29">_xlfn.IFNA(INDEX($R$5:$R$49,MATCH(0,COUNTIF($S$4:S28,$R$5:$R$49),0),1),"")</f>
        <v/>
      </c>
      <c r="T29" s="101" t="str">
        <f t="shared" si="2"/>
        <v/>
      </c>
      <c r="U29" s="9" t="str">
        <f>_xlfn.IFNA(IF(VLOOKUP(B29,Tabelle4[#All],2,FALSE)="x",VLOOKUP(B29,'1.4 Analyse &amp; Synthese'!$B$7:$I$47,8,FALSE),""),"")</f>
        <v>SLA Management Aggregation</v>
      </c>
      <c r="V29" s="122" t="str">
        <f t="array" ref="V29">_xlfn.IFNA(INDEX($U$5:$U$49,MATCH(0,COUNTIF($V$5:V28,$U$5:$U$49),0),1),"")</f>
        <v/>
      </c>
      <c r="W29" t="str">
        <f t="shared" si="9"/>
        <v/>
      </c>
      <c r="X29" t="str">
        <f t="shared" si="10"/>
        <v/>
      </c>
      <c r="Y29" t="str">
        <f t="shared" si="11"/>
        <v/>
      </c>
      <c r="Z29" t="str">
        <f t="shared" si="23"/>
        <v/>
      </c>
      <c r="AA29" t="str">
        <f t="shared" si="13"/>
        <v/>
      </c>
      <c r="AI29" s="114" t="str">
        <f>_xlfn.IFNA(IF(VLOOKUP(B29,Tabelle4[#All],2,FALSE)="x",VLOOKUP(B29,Tabelle4[#All],6,FALSE),""),"")</f>
        <v>Konferenz</v>
      </c>
      <c r="AJ29" s="101" t="str">
        <f t="array" ref="AJ29">_xlfn.IFNA(INDEX($AI$5:$AI$49,MATCH(0,COUNTIF($AJ$4:AJ28,$AI$5:$AI$49),0),1),"")</f>
        <v/>
      </c>
      <c r="AK29" s="101" t="str">
        <f t="shared" si="3"/>
        <v/>
      </c>
      <c r="AL29" s="117" t="str">
        <f t="array" ref="AL29">_xlfn.IFNA(INDEX($E$5:$E$49,MATCH(0,COUNTIF($AL$4:AL28,$E$5:$E$49),0),1),"")</f>
        <v/>
      </c>
      <c r="AM29" t="str">
        <f t="shared" si="4"/>
        <v/>
      </c>
      <c r="AN29" s="9"/>
      <c r="AS29" t="str">
        <f t="shared" si="5"/>
        <v/>
      </c>
      <c r="AT29" s="198" t="str">
        <f t="array" ref="AT29">_xlfn.IFNA(INDEX($AS$5:$AS$49,MATCH(0,COUNTIF($AT$4:AT28,$AS$5:$AS$49),0),1),"")</f>
        <v/>
      </c>
      <c r="AU29" s="202"/>
      <c r="AV29" s="200" t="str">
        <f t="shared" si="6"/>
        <v>SLA Management Aggregation</v>
      </c>
      <c r="AW29" s="101" t="str">
        <f t="array" ref="AW29">_xlfn.IFNA(INDEX($AV$6:$AV$49,MATCH(0,COUNTIF($AW$4:AW28,$AV$6:$AV$49),0),1),"")</f>
        <v/>
      </c>
      <c r="AX29" s="201" t="str">
        <f t="shared" si="17"/>
        <v/>
      </c>
      <c r="AY29" s="204" t="str">
        <f t="shared" si="7"/>
        <v/>
      </c>
      <c r="AZ29" s="101" t="str">
        <f t="array" ref="AZ29">_xlfn.IFNA(INDEX($AY$5:$AY$49,MATCH(0,COUNTIF($AZ$4:AZ28,$AY$5:$AY$49),0),1),"")</f>
        <v/>
      </c>
      <c r="BA29" t="str">
        <f t="shared" si="18"/>
        <v/>
      </c>
      <c r="BB29" s="8" t="str">
        <f t="shared" si="14"/>
        <v/>
      </c>
      <c r="BC29" s="101" t="str">
        <f t="array" ref="BC29">_xlfn.IFNA(INDEX($BB$6:$BB$49,MATCH(0,COUNTIF($BC$4:BC28,$BB$6:$BB$49),0),1),"")</f>
        <v/>
      </c>
      <c r="BD29" t="str">
        <f t="shared" si="19"/>
        <v/>
      </c>
      <c r="BE29" s="209" t="str">
        <f t="shared" si="15"/>
        <v/>
      </c>
      <c r="BF29" s="101" t="str">
        <f t="array" ref="BF29">_xlfn.IFNA(INDEX($BE$5:$BE$49,MATCH(0,COUNTIF($BF$4:BF28,$BE$5:$BE$49),0),1),"")</f>
        <v/>
      </c>
      <c r="BG29" s="201" t="str">
        <f t="shared" si="21"/>
        <v/>
      </c>
      <c r="BI29" s="101" t="str">
        <f t="array" ref="BI29">_xlfn.IFNA(INDEX($F$5:$F$49,MATCH(0,COUNTIF($BI$4:BI28,$F$5:$F$49),0),1),"")</f>
        <v/>
      </c>
      <c r="BJ29" s="206" t="str">
        <f t="shared" si="16"/>
        <v/>
      </c>
      <c r="BL29" s="15"/>
      <c r="BM29" s="15"/>
      <c r="BN29" s="15"/>
      <c r="BO29" s="225"/>
      <c r="BP29" s="372">
        <f>_xlfn.IFNA(IF(B28&lt;&gt;"",IF(AND(ISBLANK('1.4 Analyse &amp; Synthese'!N30),ISBLANK('1.4 Analyse &amp; Synthese'!O30),ISBLANK('1.4 Analyse &amp; Synthese'!P30)),IF('1.4 Analyse &amp; Synthese'!M30="x",1,0),""),""),"")</f>
        <v>1</v>
      </c>
      <c r="BQ29" s="123" t="str">
        <f>_xlfn.IFNA(IF(B28&lt;&gt;"",IF(AND(ISBLANK('1.4 Analyse &amp; Synthese'!M30),ISBLANK('1.4 Analyse &amp; Synthese'!O30),ISBLANK('1.4 Analyse &amp; Synthese'!P30)),IF('1.4 Analyse &amp; Synthese'!N30="x",1,0),""),""),"")</f>
        <v/>
      </c>
      <c r="BR29" s="123" t="str">
        <f>_xlfn.IFNA(IF(B28&lt;&gt;"",IF(AND(ISBLANK('1.4 Analyse &amp; Synthese'!M30),ISBLANK('1.4 Analyse &amp; Synthese'!N30),ISBLANK('1.4 Analyse &amp; Synthese'!P30)),IF('1.4 Analyse &amp; Synthese'!O30="x",1,0),""),""),"")</f>
        <v/>
      </c>
      <c r="BS29" s="123">
        <f>_xlfn.IFNA(IF(B28&lt;&gt;"",IF(AND('1.4 Analyse &amp; Synthese'!M30="X",'1.4 Analyse &amp; Synthese'!N30="X",'1.4 Analyse &amp; Synthese'!O30="X"),1,0),""),"")</f>
        <v>0</v>
      </c>
      <c r="BT29" s="123">
        <f>_xlfn.IFNA(IF(B28&lt;&gt;"",IF(AND(ISBLANK('1.4 Analyse &amp; Synthese'!M30),ISBLANK('1.4 Analyse &amp; Synthese'!N30),ISBLANK('1.4 Analyse &amp; Synthese'!O30)),1,0),""),"")</f>
        <v>0</v>
      </c>
      <c r="BU29" s="123">
        <f>_xlfn.IFNA(IF(B28&lt;&gt;"",IF(OR(AND('1.4 Analyse &amp; Synthese'!M30="X",'1.4 Analyse &amp; Synthese'!N30="X",'1.4 Analyse &amp; Synthese'!O30=""),AND('1.4 Analyse &amp; Synthese'!M30="X",'1.4 Analyse &amp; Synthese'!N30="",'1.4 Analyse &amp; Synthese'!O30="X"),AND('1.4 Analyse &amp; Synthese'!M30="",'1.4 Analyse &amp; Synthese'!N30="X",'1.4 Analyse &amp; Synthese'!O30="X")),1,0),0),"")</f>
        <v>0</v>
      </c>
      <c r="BV29" s="373" t="str">
        <f>_xlfn.IFNA(IF(B28&lt;&gt;"",IF(AND(ISBLANK('1.4 Analyse &amp; Synthese'!M30),ISBLANK('1.4 Analyse &amp; Synthese'!N30),ISBLANK('1.4 Analyse &amp; Synthese'!O30)),IF('1.4 Analyse &amp; Synthese'!P30="x",1,0),""),""),"")</f>
        <v/>
      </c>
    </row>
    <row r="30" spans="2:74" x14ac:dyDescent="0.2">
      <c r="B30" s="127">
        <f>IF('1.4 Analyse &amp; Synthese'!B32&lt;&gt;0,'1.4 Analyse &amp; Synthese'!B32,"")</f>
        <v>26</v>
      </c>
      <c r="C30" t="str">
        <f>_xlfn.IFNA(IF(B30&lt;&gt;0,VLOOKUP($B30,Tabelle3[[1]:[3]],2)),"")</f>
        <v>Nodehi</v>
      </c>
      <c r="D30">
        <f>_xlfn.IFNA(IF(B30&lt;&gt;0,VLOOKUP($B30,Tabelle3[[1]:[3]],3)),"")</f>
        <v>2014</v>
      </c>
      <c r="E30" t="str">
        <f>_xlfn.IFNA(IF(B30&lt;&gt;0,VLOOKUP($B30,Tabelle3[[1]:[4]],4)),"")</f>
        <v>Standardization (A)</v>
      </c>
      <c r="F30" t="str">
        <f>_xlfn.IFNA(IF(B30&lt;&gt;0,VLOOKUP($B30,Tabelle3[[1]:[5]],5)),"")</f>
        <v>Empfehlung</v>
      </c>
      <c r="G30" s="101">
        <f>_xlfn.IFNA(IF(B30&lt;&gt;0,VLOOKUP($B30,Tabelle3[[1]:[Aggregator/Integrator]],10)),"")</f>
        <v>0</v>
      </c>
      <c r="H30" s="101" t="str">
        <f>_xlfn.IFNA(IF(B30&lt;&gt;0,VLOOKUP($B30,Tabelle3[[1]:[ITSVN Akteure]],11)),"")</f>
        <v>x</v>
      </c>
      <c r="I30" s="101" t="str">
        <f>_xlfn.IFNA(IF(B30&lt;&gt;0,VLOOKUP($B30,Tabelle3[[1]:[IaaS]],12)),"")</f>
        <v>x</v>
      </c>
      <c r="J30" s="101">
        <f>_xlfn.IFNA(IF(B30&lt;&gt;0,VLOOKUP($B30,Tabelle3[[1]:[PaaS]],13)),"")</f>
        <v>0</v>
      </c>
      <c r="K30" s="101">
        <f>_xlfn.IFNA(IF(B30&lt;&gt;0,VLOOKUP($B30,Tabelle3[[1]:[SaaS]],14)),"")</f>
        <v>0</v>
      </c>
      <c r="L30" s="101">
        <f>_xlfn.IFNA(IF(B30&lt;&gt;0,VLOOKUP($B30,Tabelle3[[1]:[DaaS]],15)),"")</f>
        <v>0</v>
      </c>
      <c r="M30" s="117">
        <f>IF(B30&lt;&gt;0,COUNTIF('1.4 Analyse &amp; Synthese'!Q32:AJ32,1))</f>
        <v>4</v>
      </c>
      <c r="N30" s="101">
        <f>IF(B30&lt;&gt;0,COUNTIF('1.4 Analyse &amp; Synthese'!Q32:AJ32,3))</f>
        <v>0</v>
      </c>
      <c r="O30" s="101" t="str">
        <f t="array" ref="O30">_xlfn.IFNA(INDEX($D$5:$D$49,MATCH(0,COUNTIF($O$4:O29,$D$5:$D$49),0),1),"")</f>
        <v/>
      </c>
      <c r="P30" s="101" t="str">
        <f t="shared" si="0"/>
        <v/>
      </c>
      <c r="Q30" s="101" t="str">
        <f t="shared" si="1"/>
        <v/>
      </c>
      <c r="R30" s="128" t="str">
        <f>_xlfn.IFNA(IF(VLOOKUP(B30,Tabelle4[#All],2,FALSE)="x",VLOOKUP(B30,'1.4 Analyse &amp; Synthese'!$B$7:$G$47,6,FALSE),""),"")</f>
        <v>Kompatibilität</v>
      </c>
      <c r="S30" s="101" t="str">
        <f t="array" ref="S30">_xlfn.IFNA(INDEX($R$5:$R$49,MATCH(0,COUNTIF($S$4:S29,$R$5:$R$49),0),1),"")</f>
        <v/>
      </c>
      <c r="T30" s="101" t="str">
        <f t="shared" si="2"/>
        <v/>
      </c>
      <c r="U30" s="9" t="str">
        <f>_xlfn.IFNA(IF(VLOOKUP(B30,Tabelle4[#All],2,FALSE)="x",VLOOKUP(B30,'1.4 Analyse &amp; Synthese'!$B$7:$I$47,8,FALSE),""),"")</f>
        <v>Open-Source Plattform</v>
      </c>
      <c r="V30" s="122" t="str">
        <f t="array" ref="V30">_xlfn.IFNA(INDEX($U$5:$U$49,MATCH(0,COUNTIF($V$5:V29,$U$5:$U$49),0),1),"")</f>
        <v/>
      </c>
      <c r="W30" t="str">
        <f t="shared" si="9"/>
        <v/>
      </c>
      <c r="X30" t="str">
        <f t="shared" si="10"/>
        <v/>
      </c>
      <c r="Y30" t="str">
        <f t="shared" si="11"/>
        <v/>
      </c>
      <c r="Z30" t="str">
        <f t="shared" si="23"/>
        <v/>
      </c>
      <c r="AA30" t="str">
        <f t="shared" si="13"/>
        <v/>
      </c>
      <c r="AI30" s="114" t="str">
        <f>_xlfn.IFNA(IF(VLOOKUP(B30,Tabelle4[#All],2,FALSE)="x",VLOOKUP(B30,Tabelle4[#All],6,FALSE),""),"")</f>
        <v>Konferenz</v>
      </c>
      <c r="AJ30" s="101" t="str">
        <f t="array" ref="AJ30">_xlfn.IFNA(INDEX($AI$5:$AI$49,MATCH(0,COUNTIF($AJ$4:AJ29,$AI$5:$AI$49),0),1),"")</f>
        <v/>
      </c>
      <c r="AK30" s="101" t="str">
        <f t="shared" si="3"/>
        <v/>
      </c>
      <c r="AL30" s="117" t="str">
        <f t="array" ref="AL30">_xlfn.IFNA(INDEX($E$5:$E$49,MATCH(0,COUNTIF($AL$4:AL29,$E$5:$E$49),0),1),"")</f>
        <v/>
      </c>
      <c r="AM30" t="str">
        <f t="shared" si="4"/>
        <v/>
      </c>
      <c r="AN30" s="9"/>
      <c r="AS30" t="str">
        <f t="shared" si="5"/>
        <v/>
      </c>
      <c r="AT30" s="198" t="str">
        <f t="array" ref="AT30">_xlfn.IFNA(INDEX($AS$5:$AS$49,MATCH(0,COUNTIF($AT$4:AT29,$AS$5:$AS$49),0),1),"")</f>
        <v/>
      </c>
      <c r="AU30" s="202"/>
      <c r="AV30" s="200" t="str">
        <f t="shared" si="6"/>
        <v>Open-Source Plattform</v>
      </c>
      <c r="AW30" s="101" t="str">
        <f t="array" ref="AW30">_xlfn.IFNA(INDEX($AV$6:$AV$49,MATCH(0,COUNTIF($AW$4:AW29,$AV$6:$AV$49),0),1),"")</f>
        <v/>
      </c>
      <c r="AX30" s="201" t="str">
        <f t="shared" si="17"/>
        <v/>
      </c>
      <c r="AY30" s="204" t="str">
        <f t="shared" si="7"/>
        <v/>
      </c>
      <c r="AZ30" s="101" t="str">
        <f t="array" ref="AZ30">_xlfn.IFNA(INDEX($AY$5:$AY$49,MATCH(0,COUNTIF($AZ$4:AZ29,$AY$5:$AY$49),0),1),"")</f>
        <v/>
      </c>
      <c r="BA30" t="str">
        <f t="shared" si="18"/>
        <v/>
      </c>
      <c r="BB30" s="8" t="str">
        <f t="shared" si="14"/>
        <v/>
      </c>
      <c r="BC30" s="101" t="str">
        <f t="array" ref="BC30">_xlfn.IFNA(INDEX($BB$6:$BB$49,MATCH(0,COUNTIF($BC$4:BC29,$BB$6:$BB$49),0),1),"")</f>
        <v/>
      </c>
      <c r="BD30" t="str">
        <f t="shared" si="19"/>
        <v/>
      </c>
      <c r="BE30" s="209" t="str">
        <f t="shared" si="15"/>
        <v/>
      </c>
      <c r="BF30" s="101" t="str">
        <f t="array" ref="BF30">_xlfn.IFNA(INDEX($BE$5:$BE$49,MATCH(0,COUNTIF($BF$4:BF29,$BE$5:$BE$49),0),1),"")</f>
        <v/>
      </c>
      <c r="BG30" s="201" t="str">
        <f t="shared" si="21"/>
        <v/>
      </c>
      <c r="BI30" s="101" t="str">
        <f t="array" ref="BI30">_xlfn.IFNA(INDEX($F$5:$F$49,MATCH(0,COUNTIF($BI$4:BI29,$F$5:$F$49),0),1),"")</f>
        <v/>
      </c>
      <c r="BJ30" s="206" t="str">
        <f t="shared" si="16"/>
        <v/>
      </c>
      <c r="BO30" s="9"/>
      <c r="BP30" s="372" t="str">
        <f>_xlfn.IFNA(IF(B29&lt;&gt;"",IF(AND(ISBLANK('1.4 Analyse &amp; Synthese'!N31),ISBLANK('1.4 Analyse &amp; Synthese'!O31),ISBLANK('1.4 Analyse &amp; Synthese'!P31)),IF('1.4 Analyse &amp; Synthese'!M31="x",1,0),""),""),"")</f>
        <v/>
      </c>
      <c r="BQ30" s="123" t="str">
        <f>_xlfn.IFNA(IF(B29&lt;&gt;"",IF(AND(ISBLANK('1.4 Analyse &amp; Synthese'!M31),ISBLANK('1.4 Analyse &amp; Synthese'!O31),ISBLANK('1.4 Analyse &amp; Synthese'!P31)),IF('1.4 Analyse &amp; Synthese'!N31="x",1,0),""),""),"")</f>
        <v/>
      </c>
      <c r="BR30" s="123" t="str">
        <f>_xlfn.IFNA(IF(B29&lt;&gt;"",IF(AND(ISBLANK('1.4 Analyse &amp; Synthese'!M31),ISBLANK('1.4 Analyse &amp; Synthese'!N31),ISBLANK('1.4 Analyse &amp; Synthese'!P31)),IF('1.4 Analyse &amp; Synthese'!O31="x",1,0),""),""),"")</f>
        <v/>
      </c>
      <c r="BS30" s="123">
        <f>_xlfn.IFNA(IF(B29&lt;&gt;"",IF(AND('1.4 Analyse &amp; Synthese'!M31="X",'1.4 Analyse &amp; Synthese'!N31="X",'1.4 Analyse &amp; Synthese'!O31="X"),1,0),""),"")</f>
        <v>1</v>
      </c>
      <c r="BT30" s="123">
        <f>_xlfn.IFNA(IF(B29&lt;&gt;"",IF(AND(ISBLANK('1.4 Analyse &amp; Synthese'!M31),ISBLANK('1.4 Analyse &amp; Synthese'!N31),ISBLANK('1.4 Analyse &amp; Synthese'!O31)),1,0),""),"")</f>
        <v>0</v>
      </c>
      <c r="BU30" s="123">
        <f>_xlfn.IFNA(IF(B29&lt;&gt;"",IF(OR(AND('1.4 Analyse &amp; Synthese'!M31="X",'1.4 Analyse &amp; Synthese'!N31="X",'1.4 Analyse &amp; Synthese'!O31=""),AND('1.4 Analyse &amp; Synthese'!M31="X",'1.4 Analyse &amp; Synthese'!N31="",'1.4 Analyse &amp; Synthese'!O31="X"),AND('1.4 Analyse &amp; Synthese'!M31="",'1.4 Analyse &amp; Synthese'!N31="X",'1.4 Analyse &amp; Synthese'!O31="X")),1,0),0),"")</f>
        <v>0</v>
      </c>
      <c r="BV30" s="373" t="str">
        <f>_xlfn.IFNA(IF(B29&lt;&gt;"",IF(AND(ISBLANK('1.4 Analyse &amp; Synthese'!M31),ISBLANK('1.4 Analyse &amp; Synthese'!N31),ISBLANK('1.4 Analyse &amp; Synthese'!O31)),IF('1.4 Analyse &amp; Synthese'!P31="x",1,0),""),""),"")</f>
        <v/>
      </c>
    </row>
    <row r="31" spans="2:74" x14ac:dyDescent="0.2">
      <c r="B31" s="127">
        <f>IF('1.4 Analyse &amp; Synthese'!B33&lt;&gt;0,'1.4 Analyse &amp; Synthese'!B33,"")</f>
        <v>27</v>
      </c>
      <c r="C31" t="str">
        <f>_xlfn.IFNA(IF(B31&lt;&gt;0,VLOOKUP($B31,Tabelle3[[1]:[3]],2)),"")</f>
        <v>Oprescu</v>
      </c>
      <c r="D31">
        <f>_xlfn.IFNA(IF(B31&lt;&gt;0,VLOOKUP($B31,Tabelle3[[1]:[3]],3)),"")</f>
        <v>2013</v>
      </c>
      <c r="E31" t="str">
        <f>_xlfn.IFNA(IF(B31&lt;&gt;0,VLOOKUP($B31,Tabelle3[[1]:[4]],4)),"")</f>
        <v>Ecosystem (A)</v>
      </c>
      <c r="F31" t="str">
        <f>_xlfn.IFNA(IF(B31&lt;&gt;0,VLOOKUP($B31,Tabelle3[[1]:[5]],5)),"")</f>
        <v>Empfehlung</v>
      </c>
      <c r="G31" s="101">
        <f>_xlfn.IFNA(IF(B31&lt;&gt;0,VLOOKUP($B31,Tabelle3[[1]:[Aggregator/Integrator]],10)),"")</f>
        <v>0</v>
      </c>
      <c r="H31" s="101" t="str">
        <f>_xlfn.IFNA(IF(B31&lt;&gt;0,VLOOKUP($B31,Tabelle3[[1]:[ITSVN Akteure]],11)),"")</f>
        <v>x</v>
      </c>
      <c r="I31" s="101" t="str">
        <f>_xlfn.IFNA(IF(B31&lt;&gt;0,VLOOKUP($B31,Tabelle3[[1]:[IaaS]],12)),"")</f>
        <v>x</v>
      </c>
      <c r="J31" s="101" t="str">
        <f>_xlfn.IFNA(IF(B31&lt;&gt;0,VLOOKUP($B31,Tabelle3[[1]:[PaaS]],13)),"")</f>
        <v>x</v>
      </c>
      <c r="K31" s="101" t="str">
        <f>_xlfn.IFNA(IF(B31&lt;&gt;0,VLOOKUP($B31,Tabelle3[[1]:[SaaS]],14)),"")</f>
        <v>x</v>
      </c>
      <c r="L31" s="101">
        <f>_xlfn.IFNA(IF(B31&lt;&gt;0,VLOOKUP($B31,Tabelle3[[1]:[DaaS]],15)),"")</f>
        <v>0</v>
      </c>
      <c r="M31" s="117">
        <f>IF(B31&lt;&gt;0,COUNTIF('1.4 Analyse &amp; Synthese'!Q33:AJ33,1))</f>
        <v>4</v>
      </c>
      <c r="N31" s="101">
        <f>IF(B31&lt;&gt;0,COUNTIF('1.4 Analyse &amp; Synthese'!Q33:AJ33,3))</f>
        <v>3</v>
      </c>
      <c r="O31" s="101" t="str">
        <f t="array" ref="O31">_xlfn.IFNA(INDEX($D$5:$D$49,MATCH(0,COUNTIF($O$4:O30,$D$5:$D$49),0),1),"")</f>
        <v/>
      </c>
      <c r="P31" s="101" t="str">
        <f t="shared" si="0"/>
        <v/>
      </c>
      <c r="Q31" s="101" t="str">
        <f t="shared" si="1"/>
        <v/>
      </c>
      <c r="R31" s="128" t="str">
        <f>_xlfn.IFNA(IF(VLOOKUP(B31,Tabelle4[#All],2,FALSE)="x",VLOOKUP(B31,'1.4 Analyse &amp; Synthese'!$B$7:$G$47,6,FALSE),""),"")</f>
        <v>Kompatibilität</v>
      </c>
      <c r="S31" s="101" t="str">
        <f t="array" ref="S31">_xlfn.IFNA(INDEX($R$5:$R$49,MATCH(0,COUNTIF($S$4:S30,$R$5:$R$49),0),1),"")</f>
        <v/>
      </c>
      <c r="T31" s="101" t="str">
        <f t="shared" si="2"/>
        <v/>
      </c>
      <c r="U31" s="9" t="str">
        <f>_xlfn.IFNA(IF(VLOOKUP(B31,Tabelle4[#All],2,FALSE)="x",VLOOKUP(B31,'1.4 Analyse &amp; Synthese'!$B$7:$I$47,8,FALSE),""),"")</f>
        <v>Application Programming Interface</v>
      </c>
      <c r="V31" s="122" t="str">
        <f t="array" ref="V31">_xlfn.IFNA(INDEX($U$5:$U$49,MATCH(0,COUNTIF($V$5:V30,$U$5:$U$49),0),1),"")</f>
        <v/>
      </c>
      <c r="W31" t="str">
        <f t="shared" si="9"/>
        <v/>
      </c>
      <c r="X31" t="str">
        <f t="shared" si="10"/>
        <v/>
      </c>
      <c r="Y31" t="str">
        <f t="shared" si="11"/>
        <v/>
      </c>
      <c r="Z31" t="str">
        <f t="shared" si="23"/>
        <v/>
      </c>
      <c r="AA31" t="str">
        <f t="shared" si="13"/>
        <v/>
      </c>
      <c r="AI31" s="114" t="str">
        <f>_xlfn.IFNA(IF(VLOOKUP(B31,Tabelle4[#All],2,FALSE)="x",VLOOKUP(B31,Tabelle4[#All],6,FALSE),""),"")</f>
        <v>Konferenz</v>
      </c>
      <c r="AJ31" s="101" t="str">
        <f t="array" ref="AJ31">_xlfn.IFNA(INDEX($AI$5:$AI$49,MATCH(0,COUNTIF($AJ$4:AJ30,$AI$5:$AI$49),0),1),"")</f>
        <v/>
      </c>
      <c r="AK31" s="101" t="str">
        <f t="shared" si="3"/>
        <v/>
      </c>
      <c r="AL31" s="117" t="str">
        <f t="array" ref="AL31">_xlfn.IFNA(INDEX($E$5:$E$49,MATCH(0,COUNTIF($AL$4:AL30,$E$5:$E$49),0),1),"")</f>
        <v/>
      </c>
      <c r="AM31" t="str">
        <f t="shared" si="4"/>
        <v/>
      </c>
      <c r="AN31" s="9"/>
      <c r="AS31" t="str">
        <f t="shared" si="5"/>
        <v/>
      </c>
      <c r="AT31" s="198" t="str">
        <f t="array" ref="AT31">_xlfn.IFNA(INDEX($AS$5:$AS$49,MATCH(0,COUNTIF($AT$4:AT30,$AS$5:$AS$49),0),1),"")</f>
        <v/>
      </c>
      <c r="AU31" s="202"/>
      <c r="AV31" s="200" t="str">
        <f t="shared" si="6"/>
        <v>Application Programming Interface</v>
      </c>
      <c r="AW31" s="101" t="str">
        <f t="array" ref="AW31">_xlfn.IFNA(INDEX($AV$6:$AV$49,MATCH(0,COUNTIF($AW$4:AW30,$AV$6:$AV$49),0),1),"")</f>
        <v/>
      </c>
      <c r="AX31" s="201" t="str">
        <f t="shared" si="17"/>
        <v/>
      </c>
      <c r="AY31" s="204" t="str">
        <f t="shared" si="7"/>
        <v/>
      </c>
      <c r="AZ31" s="101" t="str">
        <f t="array" ref="AZ31">_xlfn.IFNA(INDEX($AY$5:$AY$49,MATCH(0,COUNTIF($AZ$4:AZ30,$AY$5:$AY$49),0),1),"")</f>
        <v/>
      </c>
      <c r="BA31" t="str">
        <f t="shared" si="18"/>
        <v/>
      </c>
      <c r="BB31" s="8" t="str">
        <f t="shared" si="14"/>
        <v/>
      </c>
      <c r="BC31" s="101" t="str">
        <f t="array" ref="BC31">_xlfn.IFNA(INDEX($BB$6:$BB$49,MATCH(0,COUNTIF($BC$4:BC30,$BB$6:$BB$49),0),1),"")</f>
        <v/>
      </c>
      <c r="BD31" t="str">
        <f t="shared" si="19"/>
        <v/>
      </c>
      <c r="BE31" s="209" t="str">
        <f t="shared" si="15"/>
        <v/>
      </c>
      <c r="BF31" s="101" t="str">
        <f t="array" ref="BF31">_xlfn.IFNA(INDEX($BE$5:$BE$49,MATCH(0,COUNTIF($BF$4:BF30,$BE$5:$BE$49),0),1),"")</f>
        <v/>
      </c>
      <c r="BG31" s="201" t="str">
        <f t="shared" si="21"/>
        <v/>
      </c>
      <c r="BI31" s="101" t="str">
        <f t="array" ref="BI31">_xlfn.IFNA(INDEX($F$5:$F$49,MATCH(0,COUNTIF($BI$4:BI30,$F$5:$F$49),0),1),"")</f>
        <v/>
      </c>
      <c r="BJ31" s="206" t="str">
        <f t="shared" si="16"/>
        <v/>
      </c>
      <c r="BO31" s="9"/>
      <c r="BP31" s="372">
        <f>_xlfn.IFNA(IF(B30&lt;&gt;"",IF(AND(ISBLANK('1.4 Analyse &amp; Synthese'!N32),ISBLANK('1.4 Analyse &amp; Synthese'!O32),ISBLANK('1.4 Analyse &amp; Synthese'!P32)),IF('1.4 Analyse &amp; Synthese'!M32="x",1,0),""),""),"")</f>
        <v>1</v>
      </c>
      <c r="BQ31" s="123" t="str">
        <f>_xlfn.IFNA(IF(B30&lt;&gt;"",IF(AND(ISBLANK('1.4 Analyse &amp; Synthese'!M32),ISBLANK('1.4 Analyse &amp; Synthese'!O32),ISBLANK('1.4 Analyse &amp; Synthese'!P32)),IF('1.4 Analyse &amp; Synthese'!N32="x",1,0),""),""),"")</f>
        <v/>
      </c>
      <c r="BR31" s="123" t="str">
        <f>_xlfn.IFNA(IF(B30&lt;&gt;"",IF(AND(ISBLANK('1.4 Analyse &amp; Synthese'!M32),ISBLANK('1.4 Analyse &amp; Synthese'!N32),ISBLANK('1.4 Analyse &amp; Synthese'!P32)),IF('1.4 Analyse &amp; Synthese'!O32="x",1,0),""),""),"")</f>
        <v/>
      </c>
      <c r="BS31" s="123">
        <f>_xlfn.IFNA(IF(B30&lt;&gt;"",IF(AND('1.4 Analyse &amp; Synthese'!M32="X",'1.4 Analyse &amp; Synthese'!N32="X",'1.4 Analyse &amp; Synthese'!O32="X"),1,0),""),"")</f>
        <v>0</v>
      </c>
      <c r="BT31" s="123">
        <f>_xlfn.IFNA(IF(B30&lt;&gt;"",IF(AND(ISBLANK('1.4 Analyse &amp; Synthese'!M32),ISBLANK('1.4 Analyse &amp; Synthese'!N32),ISBLANK('1.4 Analyse &amp; Synthese'!O32)),1,0),""),"")</f>
        <v>0</v>
      </c>
      <c r="BU31" s="123">
        <f>_xlfn.IFNA(IF(B30&lt;&gt;"",IF(OR(AND('1.4 Analyse &amp; Synthese'!M32="X",'1.4 Analyse &amp; Synthese'!N32="X",'1.4 Analyse &amp; Synthese'!O32=""),AND('1.4 Analyse &amp; Synthese'!M32="X",'1.4 Analyse &amp; Synthese'!N32="",'1.4 Analyse &amp; Synthese'!O32="X"),AND('1.4 Analyse &amp; Synthese'!M32="",'1.4 Analyse &amp; Synthese'!N32="X",'1.4 Analyse &amp; Synthese'!O32="X")),1,0),0),"")</f>
        <v>0</v>
      </c>
      <c r="BV31" s="373" t="str">
        <f>_xlfn.IFNA(IF(B30&lt;&gt;"",IF(AND(ISBLANK('1.4 Analyse &amp; Synthese'!M32),ISBLANK('1.4 Analyse &amp; Synthese'!N32),ISBLANK('1.4 Analyse &amp; Synthese'!O32)),IF('1.4 Analyse &amp; Synthese'!P32="x",1,0),""),""),"")</f>
        <v/>
      </c>
    </row>
    <row r="32" spans="2:74" x14ac:dyDescent="0.2">
      <c r="B32" s="127">
        <f>IF('1.4 Analyse &amp; Synthese'!B34&lt;&gt;0,'1.4 Analyse &amp; Synthese'!B34,"")</f>
        <v>28</v>
      </c>
      <c r="C32" t="str">
        <f>_xlfn.IFNA(IF(B32&lt;&gt;0,VLOOKUP($B32,Tabelle3[[1]:[3]],2)),"")</f>
        <v>Paraiso</v>
      </c>
      <c r="D32">
        <f>_xlfn.IFNA(IF(B32&lt;&gt;0,VLOOKUP($B32,Tabelle3[[1]:[3]],3)),"")</f>
        <v>2012</v>
      </c>
      <c r="E32" t="str">
        <f>_xlfn.IFNA(IF(B32&lt;&gt;0,VLOOKUP($B32,Tabelle3[[1]:[4]],4)),"")</f>
        <v>Rückwärtssuche</v>
      </c>
      <c r="F32" t="str">
        <f>_xlfn.IFNA(IF(B32&lt;&gt;0,VLOOKUP($B32,Tabelle3[[1]:[5]],5)),"")</f>
        <v>Werkzeug</v>
      </c>
      <c r="G32" s="101" t="str">
        <f>_xlfn.IFNA(IF(B32&lt;&gt;0,VLOOKUP($B32,Tabelle3[[1]:[Aggregator/Integrator]],10)),"")</f>
        <v>x</v>
      </c>
      <c r="H32" s="101">
        <f>_xlfn.IFNA(IF(B32&lt;&gt;0,VLOOKUP($B32,Tabelle3[[1]:[ITSVN Akteure]],11)),"")</f>
        <v>0</v>
      </c>
      <c r="I32" s="101">
        <f>_xlfn.IFNA(IF(B32&lt;&gt;0,VLOOKUP($B32,Tabelle3[[1]:[IaaS]],12)),"")</f>
        <v>0</v>
      </c>
      <c r="J32" s="101" t="str">
        <f>_xlfn.IFNA(IF(B32&lt;&gt;0,VLOOKUP($B32,Tabelle3[[1]:[PaaS]],13)),"")</f>
        <v>x</v>
      </c>
      <c r="K32" s="101">
        <f>_xlfn.IFNA(IF(B32&lt;&gt;0,VLOOKUP($B32,Tabelle3[[1]:[SaaS]],14)),"")</f>
        <v>0</v>
      </c>
      <c r="L32" s="101">
        <f>_xlfn.IFNA(IF(B32&lt;&gt;0,VLOOKUP($B32,Tabelle3[[1]:[DaaS]],15)),"")</f>
        <v>0</v>
      </c>
      <c r="M32" s="117">
        <f>IF(B32&lt;&gt;0,COUNTIF('1.4 Analyse &amp; Synthese'!Q34:AJ34,1))</f>
        <v>5</v>
      </c>
      <c r="N32" s="101">
        <f>IF(B32&lt;&gt;0,COUNTIF('1.4 Analyse &amp; Synthese'!Q34:AJ34,3))</f>
        <v>0</v>
      </c>
      <c r="O32" s="101" t="str">
        <f t="array" ref="O32">_xlfn.IFNA(INDEX($D$5:$D$49,MATCH(0,COUNTIF($O$4:O31,$D$5:$D$49),0),1),"")</f>
        <v/>
      </c>
      <c r="P32" s="101" t="str">
        <f t="shared" si="0"/>
        <v/>
      </c>
      <c r="Q32" s="101" t="str">
        <f t="shared" si="1"/>
        <v/>
      </c>
      <c r="R32" s="128" t="str">
        <f>_xlfn.IFNA(IF(VLOOKUP(B32,Tabelle4[#All],2,FALSE)="x",VLOOKUP(B32,'1.4 Analyse &amp; Synthese'!$B$7:$G$47,6,FALSE),""),"")</f>
        <v>Kompatibilität</v>
      </c>
      <c r="S32" s="101" t="str">
        <f t="array" ref="S32">_xlfn.IFNA(INDEX($R$5:$R$49,MATCH(0,COUNTIF($S$4:S31,$R$5:$R$49),0),1),"")</f>
        <v/>
      </c>
      <c r="T32" s="101" t="str">
        <f t="shared" si="2"/>
        <v/>
      </c>
      <c r="U32" s="9" t="str">
        <f>_xlfn.IFNA(IF(VLOOKUP(B32,Tabelle4[#All],2,FALSE)="x",VLOOKUP(B32,'1.4 Analyse &amp; Synthese'!$B$7:$I$47,8,FALSE),""),"")</f>
        <v>Open-Source Plattform</v>
      </c>
      <c r="V32" s="122" t="str">
        <f t="array" ref="V32">_xlfn.IFNA(INDEX($U$5:$U$49,MATCH(0,COUNTIF($V$5:V31,$U$5:$U$49),0),1),"")</f>
        <v/>
      </c>
      <c r="W32" t="str">
        <f t="shared" si="9"/>
        <v/>
      </c>
      <c r="X32" t="str">
        <f t="shared" si="10"/>
        <v/>
      </c>
      <c r="Y32" t="str">
        <f t="shared" si="11"/>
        <v/>
      </c>
      <c r="Z32" t="str">
        <f t="shared" si="23"/>
        <v/>
      </c>
      <c r="AA32" t="str">
        <f t="shared" si="13"/>
        <v/>
      </c>
      <c r="AI32" s="114" t="str">
        <f>_xlfn.IFNA(IF(VLOOKUP(B32,Tabelle4[#All],2,FALSE)="x",VLOOKUP(B32,Tabelle4[#All],6,FALSE),""),"")</f>
        <v>Journal</v>
      </c>
      <c r="AJ32" s="101" t="str">
        <f t="array" ref="AJ32">_xlfn.IFNA(INDEX($AI$5:$AI$49,MATCH(0,COUNTIF($AJ$4:AJ31,$AI$5:$AI$49),0),1),"")</f>
        <v/>
      </c>
      <c r="AK32" s="101" t="str">
        <f t="shared" si="3"/>
        <v/>
      </c>
      <c r="AL32" s="117" t="str">
        <f t="array" ref="AL32">_xlfn.IFNA(INDEX($E$5:$E$49,MATCH(0,COUNTIF($AL$4:AL31,$E$5:$E$49),0),1),"")</f>
        <v/>
      </c>
      <c r="AM32" t="str">
        <f t="shared" si="4"/>
        <v/>
      </c>
      <c r="AN32" s="9"/>
      <c r="AS32" t="str">
        <f t="shared" si="5"/>
        <v/>
      </c>
      <c r="AT32" s="198" t="str">
        <f t="array" ref="AT32">_xlfn.IFNA(INDEX($AS$5:$AS$49,MATCH(0,COUNTIF($AT$4:AT31,$AS$5:$AS$49),0),1),"")</f>
        <v/>
      </c>
      <c r="AU32" s="202"/>
      <c r="AV32" s="200" t="str">
        <f t="shared" si="6"/>
        <v>Open-Source Plattform</v>
      </c>
      <c r="AW32" s="101" t="str">
        <f t="array" ref="AW32">_xlfn.IFNA(INDEX($AV$6:$AV$49,MATCH(0,COUNTIF($AW$4:AW31,$AV$6:$AV$49),0),1),"")</f>
        <v/>
      </c>
      <c r="AX32" s="201" t="str">
        <f t="shared" si="17"/>
        <v/>
      </c>
      <c r="AY32" s="204" t="str">
        <f t="shared" si="7"/>
        <v/>
      </c>
      <c r="AZ32" s="101" t="str">
        <f t="array" ref="AZ32">_xlfn.IFNA(INDEX($AY$5:$AY$49,MATCH(0,COUNTIF($AZ$4:AZ31,$AY$5:$AY$49),0),1),"")</f>
        <v/>
      </c>
      <c r="BA32" t="str">
        <f t="shared" si="18"/>
        <v/>
      </c>
      <c r="BB32" s="8" t="str">
        <f t="shared" si="14"/>
        <v/>
      </c>
      <c r="BC32" s="101" t="str">
        <f t="array" ref="BC32">_xlfn.IFNA(INDEX($BB$6:$BB$49,MATCH(0,COUNTIF($BC$4:BC31,$BB$6:$BB$49),0),1),"")</f>
        <v/>
      </c>
      <c r="BD32" t="str">
        <f t="shared" si="19"/>
        <v/>
      </c>
      <c r="BE32" s="209" t="str">
        <f t="shared" si="15"/>
        <v/>
      </c>
      <c r="BF32" s="101" t="str">
        <f t="array" ref="BF32">_xlfn.IFNA(INDEX($BE$5:$BE$49,MATCH(0,COUNTIF($BF$4:BF31,$BE$5:$BE$49),0),1),"")</f>
        <v/>
      </c>
      <c r="BG32" s="201" t="str">
        <f t="shared" si="21"/>
        <v/>
      </c>
      <c r="BI32" s="101" t="str">
        <f t="array" ref="BI32">_xlfn.IFNA(INDEX($F$5:$F$49,MATCH(0,COUNTIF($BI$4:BI31,$F$5:$F$49),0),1),"")</f>
        <v/>
      </c>
      <c r="BJ32" s="206" t="str">
        <f t="shared" si="16"/>
        <v/>
      </c>
      <c r="BO32" s="9"/>
      <c r="BP32" s="372" t="str">
        <f>_xlfn.IFNA(IF(B31&lt;&gt;"",IF(AND(ISBLANK('1.4 Analyse &amp; Synthese'!N33),ISBLANK('1.4 Analyse &amp; Synthese'!O33),ISBLANK('1.4 Analyse &amp; Synthese'!P33)),IF('1.4 Analyse &amp; Synthese'!M33="x",1,0),""),""),"")</f>
        <v/>
      </c>
      <c r="BQ32" s="123" t="str">
        <f>_xlfn.IFNA(IF(B31&lt;&gt;"",IF(AND(ISBLANK('1.4 Analyse &amp; Synthese'!M33),ISBLANK('1.4 Analyse &amp; Synthese'!O33),ISBLANK('1.4 Analyse &amp; Synthese'!P33)),IF('1.4 Analyse &amp; Synthese'!N33="x",1,0),""),""),"")</f>
        <v/>
      </c>
      <c r="BR32" s="123" t="str">
        <f>_xlfn.IFNA(IF(B31&lt;&gt;"",IF(AND(ISBLANK('1.4 Analyse &amp; Synthese'!M33),ISBLANK('1.4 Analyse &amp; Synthese'!N33),ISBLANK('1.4 Analyse &amp; Synthese'!P33)),IF('1.4 Analyse &amp; Synthese'!O33="x",1,0),""),""),"")</f>
        <v/>
      </c>
      <c r="BS32" s="123">
        <f>_xlfn.IFNA(IF(B31&lt;&gt;"",IF(AND('1.4 Analyse &amp; Synthese'!M33="X",'1.4 Analyse &amp; Synthese'!N33="X",'1.4 Analyse &amp; Synthese'!O33="X"),1,0),""),"")</f>
        <v>1</v>
      </c>
      <c r="BT32" s="123">
        <f>_xlfn.IFNA(IF(B31&lt;&gt;"",IF(AND(ISBLANK('1.4 Analyse &amp; Synthese'!M33),ISBLANK('1.4 Analyse &amp; Synthese'!N33),ISBLANK('1.4 Analyse &amp; Synthese'!O33)),1,0),""),"")</f>
        <v>0</v>
      </c>
      <c r="BU32" s="123">
        <f>_xlfn.IFNA(IF(B31&lt;&gt;"",IF(OR(AND('1.4 Analyse &amp; Synthese'!M33="X",'1.4 Analyse &amp; Synthese'!N33="X",'1.4 Analyse &amp; Synthese'!O33=""),AND('1.4 Analyse &amp; Synthese'!M33="X",'1.4 Analyse &amp; Synthese'!N33="",'1.4 Analyse &amp; Synthese'!O33="X"),AND('1.4 Analyse &amp; Synthese'!M33="",'1.4 Analyse &amp; Synthese'!N33="X",'1.4 Analyse &amp; Synthese'!O33="X")),1,0),0),"")</f>
        <v>0</v>
      </c>
      <c r="BV32" s="373" t="str">
        <f>_xlfn.IFNA(IF(B31&lt;&gt;"",IF(AND(ISBLANK('1.4 Analyse &amp; Synthese'!M33),ISBLANK('1.4 Analyse &amp; Synthese'!N33),ISBLANK('1.4 Analyse &amp; Synthese'!O33)),IF('1.4 Analyse &amp; Synthese'!P33="x",1,0),""),""),"")</f>
        <v/>
      </c>
    </row>
    <row r="33" spans="2:74" x14ac:dyDescent="0.2">
      <c r="B33" s="127">
        <f>IF('1.4 Analyse &amp; Synthese'!B35&lt;&gt;0,'1.4 Analyse &amp; Synthese'!B35,"")</f>
        <v>29</v>
      </c>
      <c r="C33" t="str">
        <f>_xlfn.IFNA(IF(B33&lt;&gt;0,VLOOKUP($B33,Tabelle3[[1]:[3]],2)),"")</f>
        <v xml:space="preserve">Rekik </v>
      </c>
      <c r="D33">
        <f>_xlfn.IFNA(IF(B33&lt;&gt;0,VLOOKUP($B33,Tabelle3[[1]:[3]],3)),"")</f>
        <v>2015</v>
      </c>
      <c r="E33" t="str">
        <f>_xlfn.IFNA(IF(B33&lt;&gt;0,VLOOKUP($B33,Tabelle3[[1]:[4]],4)),"")</f>
        <v>Standardization (A)</v>
      </c>
      <c r="F33" t="str">
        <f>_xlfn.IFNA(IF(B33&lt;&gt;0,VLOOKUP($B33,Tabelle3[[1]:[5]],5)),"")</f>
        <v>Empfehlung</v>
      </c>
      <c r="G33" s="101" t="str">
        <f>_xlfn.IFNA(IF(B33&lt;&gt;0,VLOOKUP($B33,Tabelle3[[1]:[Aggregator/Integrator]],10)),"")</f>
        <v>x</v>
      </c>
      <c r="H33" s="101">
        <f>_xlfn.IFNA(IF(B33&lt;&gt;0,VLOOKUP($B33,Tabelle3[[1]:[ITSVN Akteure]],11)),"")</f>
        <v>0</v>
      </c>
      <c r="I33" s="101" t="str">
        <f>_xlfn.IFNA(IF(B33&lt;&gt;0,VLOOKUP($B33,Tabelle3[[1]:[IaaS]],12)),"")</f>
        <v>x</v>
      </c>
      <c r="J33" s="101" t="str">
        <f>_xlfn.IFNA(IF(B33&lt;&gt;0,VLOOKUP($B33,Tabelle3[[1]:[PaaS]],13)),"")</f>
        <v>x</v>
      </c>
      <c r="K33" s="101" t="str">
        <f>_xlfn.IFNA(IF(B33&lt;&gt;0,VLOOKUP($B33,Tabelle3[[1]:[SaaS]],14)),"")</f>
        <v>x</v>
      </c>
      <c r="L33" s="101">
        <f>_xlfn.IFNA(IF(B33&lt;&gt;0,VLOOKUP($B33,Tabelle3[[1]:[DaaS]],15)),"")</f>
        <v>0</v>
      </c>
      <c r="M33" s="117">
        <f>IF(B33&lt;&gt;0,COUNTIF('1.4 Analyse &amp; Synthese'!Q35:AJ35,1))</f>
        <v>3</v>
      </c>
      <c r="N33" s="101">
        <f>IF(B33&lt;&gt;0,COUNTIF('1.4 Analyse &amp; Synthese'!Q35:AJ35,3))</f>
        <v>2</v>
      </c>
      <c r="O33" s="101" t="str">
        <f t="array" ref="O33">_xlfn.IFNA(INDEX($D$5:$D$49,MATCH(0,COUNTIF($O$4:O32,$D$5:$D$49),0),1),"")</f>
        <v/>
      </c>
      <c r="P33" s="101" t="str">
        <f t="shared" si="0"/>
        <v/>
      </c>
      <c r="Q33" s="101" t="str">
        <f t="shared" si="1"/>
        <v/>
      </c>
      <c r="R33" s="128" t="str">
        <f>_xlfn.IFNA(IF(VLOOKUP(B33,Tabelle4[#All],2,FALSE)="x",VLOOKUP(B33,'1.4 Analyse &amp; Synthese'!$B$7:$G$47,6,FALSE),""),"")</f>
        <v>Anbieter- &amp; Serviceauswahl</v>
      </c>
      <c r="S33" s="101" t="str">
        <f t="array" ref="S33">_xlfn.IFNA(INDEX($R$5:$R$49,MATCH(0,COUNTIF($S$4:S32,$R$5:$R$49),0),1),"")</f>
        <v/>
      </c>
      <c r="T33" s="101" t="str">
        <f t="shared" si="2"/>
        <v/>
      </c>
      <c r="U33" s="9" t="str">
        <f>_xlfn.IFNA(IF(VLOOKUP(B33,Tabelle4[#All],2,FALSE)="x",VLOOKUP(B33,'1.4 Analyse &amp; Synthese'!$B$7:$I$47,8,FALSE),""),"")</f>
        <v>Einheitl. Servicebeschreibung</v>
      </c>
      <c r="V33" s="122" t="str">
        <f t="array" ref="V33">_xlfn.IFNA(INDEX($U$5:$U$49,MATCH(0,COUNTIF($V$5:V32,$U$5:$U$49),0),1),"")</f>
        <v/>
      </c>
      <c r="W33" t="str">
        <f t="shared" si="9"/>
        <v/>
      </c>
      <c r="X33" t="str">
        <f t="shared" si="10"/>
        <v/>
      </c>
      <c r="Y33" t="str">
        <f t="shared" si="11"/>
        <v/>
      </c>
      <c r="Z33" t="str">
        <f t="shared" si="23"/>
        <v/>
      </c>
      <c r="AA33" t="str">
        <f t="shared" si="13"/>
        <v/>
      </c>
      <c r="AI33" s="114" t="str">
        <f>_xlfn.IFNA(IF(VLOOKUP(B33,Tabelle4[#All],2,FALSE)="x",VLOOKUP(B33,Tabelle4[#All],6,FALSE),""),"")</f>
        <v>Konferenz</v>
      </c>
      <c r="AJ33" s="101" t="str">
        <f t="array" ref="AJ33">_xlfn.IFNA(INDEX($AI$5:$AI$49,MATCH(0,COUNTIF($AJ$4:AJ32,$AI$5:$AI$49),0),1),"")</f>
        <v/>
      </c>
      <c r="AK33" s="101" t="str">
        <f t="shared" si="3"/>
        <v/>
      </c>
      <c r="AL33" s="117" t="str">
        <f t="array" ref="AL33">_xlfn.IFNA(INDEX($E$5:$E$49,MATCH(0,COUNTIF($AL$4:AL32,$E$5:$E$49),0),1),"")</f>
        <v/>
      </c>
      <c r="AM33" t="str">
        <f t="shared" si="4"/>
        <v/>
      </c>
      <c r="AN33" s="9"/>
      <c r="AS33" t="str">
        <f t="shared" si="5"/>
        <v>Einheitl. Servicebeschreibung</v>
      </c>
      <c r="AT33" s="198" t="str">
        <f t="array" ref="AT33">_xlfn.IFNA(INDEX($AS$5:$AS$49,MATCH(0,COUNTIF($AT$4:AT32,$AS$5:$AS$49),0),1),"")</f>
        <v/>
      </c>
      <c r="AU33" s="202"/>
      <c r="AV33" s="200" t="str">
        <f t="shared" si="6"/>
        <v/>
      </c>
      <c r="AW33" s="101" t="str">
        <f t="array" ref="AW33">_xlfn.IFNA(INDEX($AV$6:$AV$49,MATCH(0,COUNTIF($AW$4:AW32,$AV$6:$AV$49),0),1),"")</f>
        <v/>
      </c>
      <c r="AX33" s="201" t="str">
        <f t="shared" si="17"/>
        <v/>
      </c>
      <c r="AY33" s="204" t="str">
        <f t="shared" si="7"/>
        <v/>
      </c>
      <c r="AZ33" s="101" t="str">
        <f t="array" ref="AZ33">_xlfn.IFNA(INDEX($AY$5:$AY$49,MATCH(0,COUNTIF($AZ$4:AZ32,$AY$5:$AY$49),0),1),"")</f>
        <v/>
      </c>
      <c r="BA33" t="str">
        <f t="shared" si="18"/>
        <v/>
      </c>
      <c r="BB33" s="8" t="str">
        <f t="shared" si="14"/>
        <v/>
      </c>
      <c r="BC33" s="101" t="str">
        <f t="array" ref="BC33">_xlfn.IFNA(INDEX($BB$6:$BB$49,MATCH(0,COUNTIF($BC$4:BC32,$BB$6:$BB$49),0),1),"")</f>
        <v/>
      </c>
      <c r="BD33" t="str">
        <f t="shared" si="19"/>
        <v/>
      </c>
      <c r="BE33" s="209" t="str">
        <f t="shared" si="15"/>
        <v/>
      </c>
      <c r="BF33" s="101" t="str">
        <f t="array" ref="BF33">_xlfn.IFNA(INDEX($BE$5:$BE$49,MATCH(0,COUNTIF($BF$4:BF32,$BE$5:$BE$49),0),1),"")</f>
        <v/>
      </c>
      <c r="BG33" s="201" t="str">
        <f t="shared" si="21"/>
        <v/>
      </c>
      <c r="BI33" s="101" t="str">
        <f t="array" ref="BI33">_xlfn.IFNA(INDEX($F$5:$F$49,MATCH(0,COUNTIF($BI$4:BI32,$F$5:$F$49),0),1),"")</f>
        <v/>
      </c>
      <c r="BJ33" s="206" t="str">
        <f t="shared" si="16"/>
        <v/>
      </c>
      <c r="BO33" s="9"/>
      <c r="BP33" s="372" t="str">
        <f>_xlfn.IFNA(IF(B32&lt;&gt;"",IF(AND(ISBLANK('1.4 Analyse &amp; Synthese'!N34),ISBLANK('1.4 Analyse &amp; Synthese'!O34),ISBLANK('1.4 Analyse &amp; Synthese'!P34)),IF('1.4 Analyse &amp; Synthese'!M34="x",1,0),""),""),"")</f>
        <v/>
      </c>
      <c r="BQ33" s="123">
        <f>_xlfn.IFNA(IF(B32&lt;&gt;"",IF(AND(ISBLANK('1.4 Analyse &amp; Synthese'!M34),ISBLANK('1.4 Analyse &amp; Synthese'!O34),ISBLANK('1.4 Analyse &amp; Synthese'!P34)),IF('1.4 Analyse &amp; Synthese'!N34="x",1,0),""),""),"")</f>
        <v>1</v>
      </c>
      <c r="BR33" s="123" t="str">
        <f>_xlfn.IFNA(IF(B32&lt;&gt;"",IF(AND(ISBLANK('1.4 Analyse &amp; Synthese'!M34),ISBLANK('1.4 Analyse &amp; Synthese'!N34),ISBLANK('1.4 Analyse &amp; Synthese'!P34)),IF('1.4 Analyse &amp; Synthese'!O34="x",1,0),""),""),"")</f>
        <v/>
      </c>
      <c r="BS33" s="123">
        <f>_xlfn.IFNA(IF(B32&lt;&gt;"",IF(AND('1.4 Analyse &amp; Synthese'!M34="X",'1.4 Analyse &amp; Synthese'!N34="X",'1.4 Analyse &amp; Synthese'!O34="X"),1,0),""),"")</f>
        <v>0</v>
      </c>
      <c r="BT33" s="123">
        <f>_xlfn.IFNA(IF(B32&lt;&gt;"",IF(AND(ISBLANK('1.4 Analyse &amp; Synthese'!M34),ISBLANK('1.4 Analyse &amp; Synthese'!N34),ISBLANK('1.4 Analyse &amp; Synthese'!O34)),1,0),""),"")</f>
        <v>0</v>
      </c>
      <c r="BU33" s="123">
        <f>_xlfn.IFNA(IF(B32&lt;&gt;"",IF(OR(AND('1.4 Analyse &amp; Synthese'!M34="X",'1.4 Analyse &amp; Synthese'!N34="X",'1.4 Analyse &amp; Synthese'!O34=""),AND('1.4 Analyse &amp; Synthese'!M34="X",'1.4 Analyse &amp; Synthese'!N34="",'1.4 Analyse &amp; Synthese'!O34="X"),AND('1.4 Analyse &amp; Synthese'!M34="",'1.4 Analyse &amp; Synthese'!N34="X",'1.4 Analyse &amp; Synthese'!O34="X")),1,0),0),"")</f>
        <v>0</v>
      </c>
      <c r="BV33" s="373" t="str">
        <f>_xlfn.IFNA(IF(B32&lt;&gt;"",IF(AND(ISBLANK('1.4 Analyse &amp; Synthese'!M34),ISBLANK('1.4 Analyse &amp; Synthese'!N34),ISBLANK('1.4 Analyse &amp; Synthese'!O34)),IF('1.4 Analyse &amp; Synthese'!P34="x",1,0),""),""),"")</f>
        <v/>
      </c>
    </row>
    <row r="34" spans="2:74" x14ac:dyDescent="0.2">
      <c r="B34" s="127">
        <f>IF('1.4 Analyse &amp; Synthese'!B36&lt;&gt;0,'1.4 Analyse &amp; Synthese'!B36,"")</f>
        <v>30</v>
      </c>
      <c r="C34" t="str">
        <f>_xlfn.IFNA(IF(B34&lt;&gt;0,VLOOKUP($B34,Tabelle3[[1]:[3]],2)),"")</f>
        <v>Satzger</v>
      </c>
      <c r="D34">
        <f>_xlfn.IFNA(IF(B34&lt;&gt;0,VLOOKUP($B34,Tabelle3[[1]:[3]],3)),"")</f>
        <v>2013</v>
      </c>
      <c r="E34" t="str">
        <f>_xlfn.IFNA(IF(B34&lt;&gt;0,VLOOKUP($B34,Tabelle3[[1]:[4]],4)),"")</f>
        <v>Standardization (I)</v>
      </c>
      <c r="F34" t="str">
        <f>_xlfn.IFNA(IF(B34&lt;&gt;0,VLOOKUP($B34,Tabelle3[[1]:[5]],5)),"")</f>
        <v>Empfehlung</v>
      </c>
      <c r="G34" s="101">
        <f>_xlfn.IFNA(IF(B34&lt;&gt;0,VLOOKUP($B34,Tabelle3[[1]:[Aggregator/Integrator]],10)),"")</f>
        <v>0</v>
      </c>
      <c r="H34" s="101" t="str">
        <f>_xlfn.IFNA(IF(B34&lt;&gt;0,VLOOKUP($B34,Tabelle3[[1]:[ITSVN Akteure]],11)),"")</f>
        <v>x</v>
      </c>
      <c r="I34" s="101" t="str">
        <f>_xlfn.IFNA(IF(B34&lt;&gt;0,VLOOKUP($B34,Tabelle3[[1]:[IaaS]],12)),"")</f>
        <v>x</v>
      </c>
      <c r="J34" s="101">
        <f>_xlfn.IFNA(IF(B34&lt;&gt;0,VLOOKUP($B34,Tabelle3[[1]:[PaaS]],13)),"")</f>
        <v>0</v>
      </c>
      <c r="K34" s="101">
        <f>_xlfn.IFNA(IF(B34&lt;&gt;0,VLOOKUP($B34,Tabelle3[[1]:[SaaS]],14)),"")</f>
        <v>0</v>
      </c>
      <c r="L34" s="101">
        <f>_xlfn.IFNA(IF(B34&lt;&gt;0,VLOOKUP($B34,Tabelle3[[1]:[DaaS]],15)),"")</f>
        <v>0</v>
      </c>
      <c r="M34" s="117">
        <f>IF(B34&lt;&gt;0,COUNTIF('1.4 Analyse &amp; Synthese'!Q36:AJ36,1))</f>
        <v>3</v>
      </c>
      <c r="N34" s="101">
        <f>IF(B34&lt;&gt;0,COUNTIF('1.4 Analyse &amp; Synthese'!Q36:AJ36,3))</f>
        <v>3</v>
      </c>
      <c r="O34" s="101" t="str">
        <f t="array" ref="O34">_xlfn.IFNA(INDEX($D$5:$D$49,MATCH(0,COUNTIF($O$4:O33,$D$5:$D$49),0),1),"")</f>
        <v/>
      </c>
      <c r="P34" s="101" t="str">
        <f t="shared" si="0"/>
        <v/>
      </c>
      <c r="Q34" s="101" t="str">
        <f t="shared" si="1"/>
        <v/>
      </c>
      <c r="R34" s="128" t="str">
        <f>_xlfn.IFNA(IF(VLOOKUP(B34,Tabelle4[#All],2,FALSE)="x",VLOOKUP(B34,'1.4 Analyse &amp; Synthese'!$B$7:$G$47,6,FALSE),""),"")</f>
        <v>Portierbarkeit</v>
      </c>
      <c r="S34" s="101" t="str">
        <f t="array" ref="S34">_xlfn.IFNA(INDEX($R$5:$R$49,MATCH(0,COUNTIF($S$4:S33,$R$5:$R$49),0),1),"")</f>
        <v/>
      </c>
      <c r="T34" s="101" t="str">
        <f t="shared" si="2"/>
        <v/>
      </c>
      <c r="U34" s="9" t="str">
        <f>_xlfn.IFNA(IF(VLOOKUP(B34,Tabelle4[#All],2,FALSE)="x",VLOOKUP(B34,'1.4 Analyse &amp; Synthese'!$B$7:$I$47,8,FALSE),""),"")</f>
        <v>Meta Cloud API</v>
      </c>
      <c r="V34" s="122" t="str">
        <f t="array" ref="V34">_xlfn.IFNA(INDEX($U$5:$U$49,MATCH(0,COUNTIF($V$5:V33,$U$5:$U$49),0),1),"")</f>
        <v/>
      </c>
      <c r="W34" t="str">
        <f t="shared" si="9"/>
        <v/>
      </c>
      <c r="X34" t="str">
        <f t="shared" si="10"/>
        <v/>
      </c>
      <c r="Y34" t="str">
        <f t="shared" si="11"/>
        <v/>
      </c>
      <c r="Z34" t="str">
        <f t="shared" si="23"/>
        <v/>
      </c>
      <c r="AA34" t="str">
        <f t="shared" si="13"/>
        <v/>
      </c>
      <c r="AI34" s="114" t="str">
        <f>_xlfn.IFNA(IF(VLOOKUP(B34,Tabelle4[#All],2,FALSE)="x",VLOOKUP(B34,Tabelle4[#All],6,FALSE),""),"")</f>
        <v>Konferenz</v>
      </c>
      <c r="AJ34" s="101" t="str">
        <f t="array" ref="AJ34">_xlfn.IFNA(INDEX($AI$5:$AI$49,MATCH(0,COUNTIF($AJ$4:AJ33,$AI$5:$AI$49),0),1),"")</f>
        <v/>
      </c>
      <c r="AK34" s="101" t="str">
        <f t="shared" si="3"/>
        <v/>
      </c>
      <c r="AL34" s="117" t="str">
        <f t="array" ref="AL34">_xlfn.IFNA(INDEX($E$5:$E$49,MATCH(0,COUNTIF($AL$4:AL33,$E$5:$E$49),0),1),"")</f>
        <v/>
      </c>
      <c r="AM34" t="str">
        <f t="shared" si="4"/>
        <v/>
      </c>
      <c r="AN34" s="9"/>
      <c r="AS34" t="str">
        <f t="shared" si="5"/>
        <v/>
      </c>
      <c r="AT34" s="198" t="str">
        <f t="array" ref="AT34">_xlfn.IFNA(INDEX($AS$5:$AS$49,MATCH(0,COUNTIF($AT$4:AT33,$AS$5:$AS$49),0),1),"")</f>
        <v/>
      </c>
      <c r="AU34" s="202"/>
      <c r="AV34" s="200" t="str">
        <f t="shared" si="6"/>
        <v/>
      </c>
      <c r="AW34" s="101" t="str">
        <f t="array" ref="AW34">_xlfn.IFNA(INDEX($AV$6:$AV$49,MATCH(0,COUNTIF($AW$4:AW33,$AV$6:$AV$49),0),1),"")</f>
        <v/>
      </c>
      <c r="AX34" s="201" t="str">
        <f t="shared" si="17"/>
        <v/>
      </c>
      <c r="AY34" s="204" t="str">
        <f t="shared" si="7"/>
        <v>Meta Cloud API</v>
      </c>
      <c r="AZ34" s="101" t="str">
        <f t="array" ref="AZ34">_xlfn.IFNA(INDEX($AY$5:$AY$49,MATCH(0,COUNTIF($AZ$4:AZ33,$AY$5:$AY$49),0),1),"")</f>
        <v/>
      </c>
      <c r="BA34" t="str">
        <f t="shared" si="18"/>
        <v/>
      </c>
      <c r="BB34" s="8" t="str">
        <f t="shared" si="14"/>
        <v/>
      </c>
      <c r="BC34" s="101" t="str">
        <f t="array" ref="BC34">_xlfn.IFNA(INDEX($BB$6:$BB$49,MATCH(0,COUNTIF($BC$4:BC33,$BB$6:$BB$49),0),1),"")</f>
        <v/>
      </c>
      <c r="BD34" t="str">
        <f t="shared" si="19"/>
        <v/>
      </c>
      <c r="BE34" s="209" t="str">
        <f t="shared" si="15"/>
        <v/>
      </c>
      <c r="BF34" s="101" t="str">
        <f t="array" ref="BF34">_xlfn.IFNA(INDEX($BE$5:$BE$49,MATCH(0,COUNTIF($BF$4:BF33,$BE$5:$BE$49),0),1),"")</f>
        <v/>
      </c>
      <c r="BG34" s="201" t="str">
        <f t="shared" si="21"/>
        <v/>
      </c>
      <c r="BI34" s="101" t="str">
        <f t="array" ref="BI34">_xlfn.IFNA(INDEX($F$5:$F$49,MATCH(0,COUNTIF($BI$4:BI33,$F$5:$F$49),0),1),"")</f>
        <v/>
      </c>
      <c r="BJ34" s="206" t="str">
        <f t="shared" si="16"/>
        <v/>
      </c>
      <c r="BO34" s="9"/>
      <c r="BP34" s="372" t="str">
        <f>_xlfn.IFNA(IF(B33&lt;&gt;"",IF(AND(ISBLANK('1.4 Analyse &amp; Synthese'!N35),ISBLANK('1.4 Analyse &amp; Synthese'!O35),ISBLANK('1.4 Analyse &amp; Synthese'!P35)),IF('1.4 Analyse &amp; Synthese'!M35="x",1,0),""),""),"")</f>
        <v/>
      </c>
      <c r="BQ34" s="123" t="str">
        <f>_xlfn.IFNA(IF(B33&lt;&gt;"",IF(AND(ISBLANK('1.4 Analyse &amp; Synthese'!M35),ISBLANK('1.4 Analyse &amp; Synthese'!O35),ISBLANK('1.4 Analyse &amp; Synthese'!P35)),IF('1.4 Analyse &amp; Synthese'!N35="x",1,0),""),""),"")</f>
        <v/>
      </c>
      <c r="BR34" s="123" t="str">
        <f>_xlfn.IFNA(IF(B33&lt;&gt;"",IF(AND(ISBLANK('1.4 Analyse &amp; Synthese'!M35),ISBLANK('1.4 Analyse &amp; Synthese'!N35),ISBLANK('1.4 Analyse &amp; Synthese'!P35)),IF('1.4 Analyse &amp; Synthese'!O35="x",1,0),""),""),"")</f>
        <v/>
      </c>
      <c r="BS34" s="123">
        <f>_xlfn.IFNA(IF(B33&lt;&gt;"",IF(AND('1.4 Analyse &amp; Synthese'!M35="X",'1.4 Analyse &amp; Synthese'!N35="X",'1.4 Analyse &amp; Synthese'!O35="X"),1,0),""),"")</f>
        <v>1</v>
      </c>
      <c r="BT34" s="123">
        <f>_xlfn.IFNA(IF(B33&lt;&gt;"",IF(AND(ISBLANK('1.4 Analyse &amp; Synthese'!M35),ISBLANK('1.4 Analyse &amp; Synthese'!N35),ISBLANK('1.4 Analyse &amp; Synthese'!O35)),1,0),""),"")</f>
        <v>0</v>
      </c>
      <c r="BU34" s="123">
        <f>_xlfn.IFNA(IF(B33&lt;&gt;"",IF(OR(AND('1.4 Analyse &amp; Synthese'!M35="X",'1.4 Analyse &amp; Synthese'!N35="X",'1.4 Analyse &amp; Synthese'!O35=""),AND('1.4 Analyse &amp; Synthese'!M35="X",'1.4 Analyse &amp; Synthese'!N35="",'1.4 Analyse &amp; Synthese'!O35="X"),AND('1.4 Analyse &amp; Synthese'!M35="",'1.4 Analyse &amp; Synthese'!N35="X",'1.4 Analyse &amp; Synthese'!O35="X")),1,0),0),"")</f>
        <v>0</v>
      </c>
      <c r="BV34" s="373" t="str">
        <f>_xlfn.IFNA(IF(B33&lt;&gt;"",IF(AND(ISBLANK('1.4 Analyse &amp; Synthese'!M35),ISBLANK('1.4 Analyse &amp; Synthese'!N35),ISBLANK('1.4 Analyse &amp; Synthese'!O35)),IF('1.4 Analyse &amp; Synthese'!P35="x",1,0),""),""),"")</f>
        <v/>
      </c>
    </row>
    <row r="35" spans="2:74" x14ac:dyDescent="0.2">
      <c r="B35" s="127">
        <f>IF('1.4 Analyse &amp; Synthese'!B37&lt;&gt;0,'1.4 Analyse &amp; Synthese'!B37,"")</f>
        <v>31</v>
      </c>
      <c r="C35" t="str">
        <f>_xlfn.IFNA(IF(B35&lt;&gt;0,VLOOKUP($B35,Tabelle3[[1]:[3]],2)),"")</f>
        <v>Schulte</v>
      </c>
      <c r="D35">
        <f>_xlfn.IFNA(IF(B35&lt;&gt;0,VLOOKUP($B35,Tabelle3[[1]:[3]],3)),"")</f>
        <v>2015</v>
      </c>
      <c r="E35" t="str">
        <f>_xlfn.IFNA(IF(B35&lt;&gt;0,VLOOKUP($B35,Tabelle3[[1]:[4]],4)),"")</f>
        <v>Rückwärtssuche</v>
      </c>
      <c r="F35" t="str">
        <f>_xlfn.IFNA(IF(B35&lt;&gt;0,VLOOKUP($B35,Tabelle3[[1]:[5]],5)),"")</f>
        <v>Empfehlung</v>
      </c>
      <c r="G35" s="101" t="str">
        <f>_xlfn.IFNA(IF(B35&lt;&gt;0,VLOOKUP($B35,Tabelle3[[1]:[Aggregator/Integrator]],10)),"")</f>
        <v>x</v>
      </c>
      <c r="H35" s="101">
        <f>_xlfn.IFNA(IF(B35&lt;&gt;0,VLOOKUP($B35,Tabelle3[[1]:[ITSVN Akteure]],11)),"")</f>
        <v>0</v>
      </c>
      <c r="I35" s="101" t="str">
        <f>_xlfn.IFNA(IF(B35&lt;&gt;0,VLOOKUP($B35,Tabelle3[[1]:[IaaS]],12)),"")</f>
        <v>x</v>
      </c>
      <c r="J35" s="101">
        <f>_xlfn.IFNA(IF(B35&lt;&gt;0,VLOOKUP($B35,Tabelle3[[1]:[PaaS]],13)),"")</f>
        <v>0</v>
      </c>
      <c r="K35" s="101">
        <f>_xlfn.IFNA(IF(B35&lt;&gt;0,VLOOKUP($B35,Tabelle3[[1]:[SaaS]],14)),"")</f>
        <v>0</v>
      </c>
      <c r="L35" s="101">
        <f>_xlfn.IFNA(IF(B35&lt;&gt;0,VLOOKUP($B35,Tabelle3[[1]:[DaaS]],15)),"")</f>
        <v>0</v>
      </c>
      <c r="M35" s="117">
        <f>IF(B35&lt;&gt;0,COUNTIF('1.4 Analyse &amp; Synthese'!Q37:AJ37,1))</f>
        <v>1</v>
      </c>
      <c r="N35" s="101">
        <f>IF(B35&lt;&gt;0,COUNTIF('1.4 Analyse &amp; Synthese'!Q37:AJ37,3))</f>
        <v>2</v>
      </c>
      <c r="O35" s="101" t="str">
        <f t="array" ref="O35">_xlfn.IFNA(INDEX($D$5:$D$49,MATCH(0,COUNTIF($O$4:O34,$D$5:$D$49),0),1),"")</f>
        <v/>
      </c>
      <c r="P35" s="101" t="str">
        <f t="shared" si="0"/>
        <v/>
      </c>
      <c r="Q35" s="101" t="str">
        <f t="shared" si="1"/>
        <v/>
      </c>
      <c r="R35" s="128" t="str">
        <f>_xlfn.IFNA(IF(VLOOKUP(B35,Tabelle4[#All],2,FALSE)="x",VLOOKUP(B35,'1.4 Analyse &amp; Synthese'!$B$7:$G$47,6,FALSE),""),"")</f>
        <v>Kompatibilität</v>
      </c>
      <c r="S35" s="101" t="str">
        <f t="array" ref="S35">_xlfn.IFNA(INDEX($R$5:$R$49,MATCH(0,COUNTIF($S$4:S34,$R$5:$R$49),0),1),"")</f>
        <v/>
      </c>
      <c r="T35" s="101" t="str">
        <f t="shared" si="2"/>
        <v/>
      </c>
      <c r="U35" s="9" t="str">
        <f>_xlfn.IFNA(IF(VLOOKUP(B35,Tabelle4[#All],2,FALSE)="x",VLOOKUP(B35,'1.4 Analyse &amp; Synthese'!$B$7:$I$47,8,FALSE),""),"")</f>
        <v>Datenintegration</v>
      </c>
      <c r="V35" s="122" t="str">
        <f t="array" ref="V35">_xlfn.IFNA(INDEX($U$5:$U$49,MATCH(0,COUNTIF($V$5:V34,$U$5:$U$49),0),1),"")</f>
        <v/>
      </c>
      <c r="W35" t="str">
        <f t="shared" si="9"/>
        <v/>
      </c>
      <c r="X35" t="str">
        <f t="shared" si="10"/>
        <v/>
      </c>
      <c r="Y35" t="str">
        <f t="shared" si="11"/>
        <v/>
      </c>
      <c r="Z35" t="str">
        <f t="shared" si="23"/>
        <v/>
      </c>
      <c r="AA35" t="str">
        <f t="shared" si="13"/>
        <v/>
      </c>
      <c r="AI35" s="114" t="str">
        <f>_xlfn.IFNA(IF(VLOOKUP(B35,Tabelle4[#All],2,FALSE)="x",VLOOKUP(B35,Tabelle4[#All],6,FALSE),""),"")</f>
        <v>Konferenz</v>
      </c>
      <c r="AJ35" s="101" t="str">
        <f t="array" ref="AJ35">_xlfn.IFNA(INDEX($AI$5:$AI$49,MATCH(0,COUNTIF($AJ$4:AJ34,$AI$5:$AI$49),0),1),"")</f>
        <v/>
      </c>
      <c r="AK35" s="101" t="str">
        <f t="shared" si="3"/>
        <v/>
      </c>
      <c r="AL35" s="117" t="str">
        <f t="array" ref="AL35">_xlfn.IFNA(INDEX($E$5:$E$49,MATCH(0,COUNTIF($AL$4:AL34,$E$5:$E$49),0),1),"")</f>
        <v/>
      </c>
      <c r="AM35" t="str">
        <f t="shared" si="4"/>
        <v/>
      </c>
      <c r="AN35" s="9"/>
      <c r="AS35" t="str">
        <f t="shared" si="5"/>
        <v/>
      </c>
      <c r="AT35" s="198" t="str">
        <f t="array" ref="AT35">_xlfn.IFNA(INDEX($AS$5:$AS$49,MATCH(0,COUNTIF($AT$4:AT34,$AS$5:$AS$49),0),1),"")</f>
        <v/>
      </c>
      <c r="AU35" s="202"/>
      <c r="AV35" s="200" t="str">
        <f t="shared" si="6"/>
        <v>Datenintegration</v>
      </c>
      <c r="AW35" s="101" t="str">
        <f t="array" ref="AW35">_xlfn.IFNA(INDEX($AV$6:$AV$49,MATCH(0,COUNTIF($AW$5:AW34,$AV$6:$AV$49),0),1),"")</f>
        <v/>
      </c>
      <c r="AX35" s="201" t="str">
        <f t="shared" si="17"/>
        <v/>
      </c>
      <c r="AY35" s="204" t="str">
        <f t="shared" si="7"/>
        <v/>
      </c>
      <c r="AZ35" s="101" t="str">
        <f t="array" ref="AZ35">_xlfn.IFNA(INDEX($AY$5:$AY$49,MATCH(0,COUNTIF($AZ$4:AZ34,$AY$5:$AY$49),0),1),"")</f>
        <v/>
      </c>
      <c r="BA35" t="str">
        <f t="shared" si="18"/>
        <v/>
      </c>
      <c r="BB35" s="8" t="str">
        <f t="shared" si="14"/>
        <v/>
      </c>
      <c r="BC35" s="101" t="str">
        <f t="array" ref="BC35">_xlfn.IFNA(INDEX($BB$6:$BB$49,MATCH(0,COUNTIF($BC$4:BC34,$BB$6:$BB$49),0),1),"")</f>
        <v/>
      </c>
      <c r="BD35" t="str">
        <f t="shared" si="19"/>
        <v/>
      </c>
      <c r="BE35" s="209" t="str">
        <f t="shared" si="15"/>
        <v/>
      </c>
      <c r="BF35" s="101" t="str">
        <f t="array" ref="BF35">_xlfn.IFNA(INDEX($BE$5:$BE$49,MATCH(0,COUNTIF($BF$4:BF34,$BE$5:$BE$49),0),1),"")</f>
        <v/>
      </c>
      <c r="BG35" s="201" t="str">
        <f t="shared" si="21"/>
        <v/>
      </c>
      <c r="BI35" s="101" t="str">
        <f t="array" ref="BI35">_xlfn.IFNA(INDEX($F$5:$F$49,MATCH(0,COUNTIF($BI$4:BI34,$F$5:$F$49),0),1),"")</f>
        <v/>
      </c>
      <c r="BJ35" s="206" t="str">
        <f t="shared" si="16"/>
        <v/>
      </c>
      <c r="BO35" s="9"/>
      <c r="BP35" s="372">
        <f>_xlfn.IFNA(IF(B34&lt;&gt;"",IF(AND(ISBLANK('1.4 Analyse &amp; Synthese'!N36),ISBLANK('1.4 Analyse &amp; Synthese'!O36),ISBLANK('1.4 Analyse &amp; Synthese'!P36)),IF('1.4 Analyse &amp; Synthese'!M36="x",1,0),""),""),"")</f>
        <v>1</v>
      </c>
      <c r="BQ35" s="123" t="str">
        <f>_xlfn.IFNA(IF(B34&lt;&gt;"",IF(AND(ISBLANK('1.4 Analyse &amp; Synthese'!M36),ISBLANK('1.4 Analyse &amp; Synthese'!O36),ISBLANK('1.4 Analyse &amp; Synthese'!P36)),IF('1.4 Analyse &amp; Synthese'!N36="x",1,0),""),""),"")</f>
        <v/>
      </c>
      <c r="BR35" s="123" t="str">
        <f>_xlfn.IFNA(IF(B34&lt;&gt;"",IF(AND(ISBLANK('1.4 Analyse &amp; Synthese'!M36),ISBLANK('1.4 Analyse &amp; Synthese'!N36),ISBLANK('1.4 Analyse &amp; Synthese'!P36)),IF('1.4 Analyse &amp; Synthese'!O36="x",1,0),""),""),"")</f>
        <v/>
      </c>
      <c r="BS35" s="123">
        <f>_xlfn.IFNA(IF(B34&lt;&gt;"",IF(AND('1.4 Analyse &amp; Synthese'!M36="X",'1.4 Analyse &amp; Synthese'!N36="X",'1.4 Analyse &amp; Synthese'!O36="X"),1,0),""),"")</f>
        <v>0</v>
      </c>
      <c r="BT35" s="123">
        <f>_xlfn.IFNA(IF(B34&lt;&gt;"",IF(AND(ISBLANK('1.4 Analyse &amp; Synthese'!M36),ISBLANK('1.4 Analyse &amp; Synthese'!N36),ISBLANK('1.4 Analyse &amp; Synthese'!O36)),1,0),""),"")</f>
        <v>0</v>
      </c>
      <c r="BU35" s="123">
        <f>_xlfn.IFNA(IF(B34&lt;&gt;"",IF(OR(AND('1.4 Analyse &amp; Synthese'!M36="X",'1.4 Analyse &amp; Synthese'!N36="X",'1.4 Analyse &amp; Synthese'!O36=""),AND('1.4 Analyse &amp; Synthese'!M36="X",'1.4 Analyse &amp; Synthese'!N36="",'1.4 Analyse &amp; Synthese'!O36="X"),AND('1.4 Analyse &amp; Synthese'!M36="",'1.4 Analyse &amp; Synthese'!N36="X",'1.4 Analyse &amp; Synthese'!O36="X")),1,0),0),"")</f>
        <v>0</v>
      </c>
      <c r="BV35" s="373" t="str">
        <f>_xlfn.IFNA(IF(B34&lt;&gt;"",IF(AND(ISBLANK('1.4 Analyse &amp; Synthese'!M36),ISBLANK('1.4 Analyse &amp; Synthese'!N36),ISBLANK('1.4 Analyse &amp; Synthese'!O36)),IF('1.4 Analyse &amp; Synthese'!P36="x",1,0),""),""),"")</f>
        <v/>
      </c>
    </row>
    <row r="36" spans="2:74" s="11" customFormat="1" x14ac:dyDescent="0.2">
      <c r="B36" s="127">
        <f>IF('1.4 Analyse &amp; Synthese'!B38&lt;&gt;0,'1.4 Analyse &amp; Synthese'!B38,"")</f>
        <v>32</v>
      </c>
      <c r="C36" t="str">
        <f>_xlfn.IFNA(IF(B36&lt;&gt;0,VLOOKUP($B36,Tabelle3[[1]:[3]],2)),"")</f>
        <v>Stanik</v>
      </c>
      <c r="D36">
        <f>_xlfn.IFNA(IF(B36&lt;&gt;0,VLOOKUP($B36,Tabelle3[[1]:[3]],3)),"")</f>
        <v>2015</v>
      </c>
      <c r="E36" t="str">
        <f>_xlfn.IFNA(IF(B36&lt;&gt;0,VLOOKUP($B36,Tabelle3[[1]:[4]],4)),"")</f>
        <v>SLA regulation (A)</v>
      </c>
      <c r="F36" t="str">
        <f>_xlfn.IFNA(IF(B36&lt;&gt;0,VLOOKUP($B36,Tabelle3[[1]:[5]],5)),"")</f>
        <v>Methode</v>
      </c>
      <c r="G36" s="101">
        <f>_xlfn.IFNA(IF(B36&lt;&gt;0,VLOOKUP($B36,Tabelle3[[1]:[Aggregator/Integrator]],10)),"")</f>
        <v>0</v>
      </c>
      <c r="H36" s="101" t="str">
        <f>_xlfn.IFNA(IF(B36&lt;&gt;0,VLOOKUP($B36,Tabelle3[[1]:[ITSVN Akteure]],11)),"")</f>
        <v>x</v>
      </c>
      <c r="I36" s="101" t="str">
        <f>_xlfn.IFNA(IF(B36&lt;&gt;0,VLOOKUP($B36,Tabelle3[[1]:[IaaS]],12)),"")</f>
        <v>x</v>
      </c>
      <c r="J36" s="101">
        <f>_xlfn.IFNA(IF(B36&lt;&gt;0,VLOOKUP($B36,Tabelle3[[1]:[PaaS]],13)),"")</f>
        <v>0</v>
      </c>
      <c r="K36" s="101">
        <f>_xlfn.IFNA(IF(B36&lt;&gt;0,VLOOKUP($B36,Tabelle3[[1]:[SaaS]],14)),"")</f>
        <v>0</v>
      </c>
      <c r="L36" s="101">
        <f>_xlfn.IFNA(IF(B36&lt;&gt;0,VLOOKUP($B36,Tabelle3[[1]:[DaaS]],15)),"")</f>
        <v>0</v>
      </c>
      <c r="M36" s="117">
        <f>IF(B36&lt;&gt;0,COUNTIF('1.4 Analyse &amp; Synthese'!Q38:AJ38,1))</f>
        <v>4</v>
      </c>
      <c r="N36" s="101">
        <f>IF(B36&lt;&gt;0,COUNTIF('1.4 Analyse &amp; Synthese'!Q38:AJ38,3))</f>
        <v>2</v>
      </c>
      <c r="O36" s="101" t="str">
        <f t="array" ref="O36">_xlfn.IFNA(INDEX($D$5:$D$49,MATCH(0,COUNTIF($O$4:O35,$D$5:$D$49),0),1),"")</f>
        <v/>
      </c>
      <c r="P36" s="101" t="str">
        <f t="shared" si="0"/>
        <v/>
      </c>
      <c r="Q36" s="101" t="str">
        <f t="shared" si="1"/>
        <v/>
      </c>
      <c r="R36" s="128" t="str">
        <f>_xlfn.IFNA(IF(VLOOKUP(B36,Tabelle4[#All],2,FALSE)="x",VLOOKUP(B36,'1.4 Analyse &amp; Synthese'!$B$7:$G$47,6,FALSE),""),"")</f>
        <v>SLA Vereinbarung</v>
      </c>
      <c r="S36" s="101" t="str">
        <f t="array" ref="S36">_xlfn.IFNA(INDEX($R$5:$R$49,MATCH(0,COUNTIF($S$4:S35,$R$5:$R$49),0),1),"")</f>
        <v/>
      </c>
      <c r="T36" s="101" t="str">
        <f t="shared" si="2"/>
        <v/>
      </c>
      <c r="U36" s="9" t="str">
        <f>_xlfn.IFNA(IF(VLOOKUP(B36,Tabelle4[#All],2,FALSE)="x",VLOOKUP(B36,'1.4 Analyse &amp; Synthese'!$B$7:$I$47,8,FALSE),""),"")</f>
        <v>SLA Management Aggregation</v>
      </c>
      <c r="V36" s="122" t="str">
        <f t="array" ref="V36">_xlfn.IFNA(INDEX($U$5:$U$49,MATCH(0,COUNTIF($V$5:V35,$U$5:$U$49),0),1),"")</f>
        <v/>
      </c>
      <c r="W36" t="str">
        <f t="shared" si="9"/>
        <v/>
      </c>
      <c r="X36" t="str">
        <f t="shared" si="10"/>
        <v/>
      </c>
      <c r="Y36" t="str">
        <f t="shared" si="11"/>
        <v/>
      </c>
      <c r="Z36" t="str">
        <f t="shared" si="23"/>
        <v/>
      </c>
      <c r="AA36" t="str">
        <f t="shared" si="13"/>
        <v/>
      </c>
      <c r="AB36"/>
      <c r="AC36"/>
      <c r="AD36"/>
      <c r="AE36"/>
      <c r="AF36"/>
      <c r="AG36"/>
      <c r="AH36"/>
      <c r="AI36" s="114" t="str">
        <f>_xlfn.IFNA(IF(VLOOKUP(B36,Tabelle4[#All],2,FALSE)="x",VLOOKUP(B36,Tabelle4[#All],6,FALSE),""),"")</f>
        <v>Konferenz</v>
      </c>
      <c r="AJ36" s="101" t="str">
        <f t="array" ref="AJ36">_xlfn.IFNA(INDEX($AI$5:$AI$49,MATCH(0,COUNTIF($AJ$4:AJ35,$AI$5:$AI$49),0),1),"")</f>
        <v/>
      </c>
      <c r="AK36" s="101" t="str">
        <f t="shared" si="3"/>
        <v/>
      </c>
      <c r="AL36" s="117" t="str">
        <f t="array" ref="AL36">_xlfn.IFNA(INDEX($E$5:$E$49,MATCH(0,COUNTIF($AL$4:AL35,$E$5:$E$49),0),1),"")</f>
        <v/>
      </c>
      <c r="AM36" t="str">
        <f t="shared" si="4"/>
        <v/>
      </c>
      <c r="AN36" s="9"/>
      <c r="AO36"/>
      <c r="AP36"/>
      <c r="AQ36"/>
      <c r="AR36"/>
      <c r="AS36" t="str">
        <f t="shared" si="5"/>
        <v/>
      </c>
      <c r="AT36" s="198" t="str">
        <f t="array" ref="AT36">_xlfn.IFNA(INDEX($AS$5:$AS$49,MATCH(0,COUNTIF($AT$4:AT35,$AS$5:$AS$49),0),1),"")</f>
        <v/>
      </c>
      <c r="AU36" s="202"/>
      <c r="AV36" s="200" t="str">
        <f t="shared" si="6"/>
        <v/>
      </c>
      <c r="AW36" s="101" t="str">
        <f t="array" ref="AW36">_xlfn.IFNA(INDEX($AV$6:$AV$49,MATCH(0,COUNTIF($AW$5:AW35,$AV$6:$AV$49),0),1),"")</f>
        <v/>
      </c>
      <c r="AX36" s="201" t="str">
        <f t="shared" si="17"/>
        <v/>
      </c>
      <c r="AY36" s="204" t="str">
        <f t="shared" si="7"/>
        <v/>
      </c>
      <c r="AZ36" s="101" t="str">
        <f t="array" ref="AZ36">_xlfn.IFNA(INDEX($AY$5:$AY$49,MATCH(0,COUNTIF($AZ$4:AZ35,$AY$5:$AY$49),0),1),"")</f>
        <v/>
      </c>
      <c r="BA36" t="str">
        <f t="shared" si="18"/>
        <v/>
      </c>
      <c r="BB36" s="8" t="str">
        <f t="shared" si="14"/>
        <v>SLA Management Aggregation</v>
      </c>
      <c r="BC36" s="101" t="str">
        <f t="array" ref="BC36">_xlfn.IFNA(INDEX($BB$6:$BB$49,MATCH(0,COUNTIF($BC$4:BC35,$BB$6:$BB$49),0),1),"")</f>
        <v/>
      </c>
      <c r="BD36" t="str">
        <f t="shared" si="19"/>
        <v/>
      </c>
      <c r="BE36" s="209" t="str">
        <f t="shared" si="15"/>
        <v/>
      </c>
      <c r="BF36" s="101" t="str">
        <f t="array" ref="BF36">_xlfn.IFNA(INDEX($BE$5:$BE$49,MATCH(0,COUNTIF($BF$4:BF35,$BE$5:$BE$49),0),1),"")</f>
        <v/>
      </c>
      <c r="BG36" s="201" t="str">
        <f t="shared" si="21"/>
        <v/>
      </c>
      <c r="BI36" s="101" t="str">
        <f t="array" ref="BI36">_xlfn.IFNA(INDEX($F$5:$F$49,MATCH(0,COUNTIF($BI$4:BI35,$F$5:$F$49),0),1),"")</f>
        <v/>
      </c>
      <c r="BJ36" s="206" t="str">
        <f t="shared" si="16"/>
        <v/>
      </c>
      <c r="BO36" s="271"/>
      <c r="BP36" s="372">
        <f>_xlfn.IFNA(IF(B35&lt;&gt;"",IF(AND(ISBLANK('1.4 Analyse &amp; Synthese'!N37),ISBLANK('1.4 Analyse &amp; Synthese'!O37),ISBLANK('1.4 Analyse &amp; Synthese'!P37)),IF('1.4 Analyse &amp; Synthese'!M37="x",1,0),""),""),"")</f>
        <v>1</v>
      </c>
      <c r="BQ36" s="123" t="str">
        <f>_xlfn.IFNA(IF(B35&lt;&gt;"",IF(AND(ISBLANK('1.4 Analyse &amp; Synthese'!M37),ISBLANK('1.4 Analyse &amp; Synthese'!O37),ISBLANK('1.4 Analyse &amp; Synthese'!P37)),IF('1.4 Analyse &amp; Synthese'!N37="x",1,0),""),""),"")</f>
        <v/>
      </c>
      <c r="BR36" s="123" t="str">
        <f>_xlfn.IFNA(IF(B35&lt;&gt;"",IF(AND(ISBLANK('1.4 Analyse &amp; Synthese'!M37),ISBLANK('1.4 Analyse &amp; Synthese'!N37),ISBLANK('1.4 Analyse &amp; Synthese'!P37)),IF('1.4 Analyse &amp; Synthese'!O37="x",1,0),""),""),"")</f>
        <v/>
      </c>
      <c r="BS36" s="123">
        <f>_xlfn.IFNA(IF(B35&lt;&gt;"",IF(AND('1.4 Analyse &amp; Synthese'!M37="X",'1.4 Analyse &amp; Synthese'!N37="X",'1.4 Analyse &amp; Synthese'!O37="X"),1,0),""),"")</f>
        <v>0</v>
      </c>
      <c r="BT36" s="123">
        <f>_xlfn.IFNA(IF(B35&lt;&gt;"",IF(AND(ISBLANK('1.4 Analyse &amp; Synthese'!M37),ISBLANK('1.4 Analyse &amp; Synthese'!N37),ISBLANK('1.4 Analyse &amp; Synthese'!O37)),1,0),""),"")</f>
        <v>0</v>
      </c>
      <c r="BU36" s="123">
        <f>_xlfn.IFNA(IF(B35&lt;&gt;"",IF(OR(AND('1.4 Analyse &amp; Synthese'!M37="X",'1.4 Analyse &amp; Synthese'!N37="X",'1.4 Analyse &amp; Synthese'!O37=""),AND('1.4 Analyse &amp; Synthese'!M37="X",'1.4 Analyse &amp; Synthese'!N37="",'1.4 Analyse &amp; Synthese'!O37="X"),AND('1.4 Analyse &amp; Synthese'!M37="",'1.4 Analyse &amp; Synthese'!N37="X",'1.4 Analyse &amp; Synthese'!O37="X")),1,0),0),"")</f>
        <v>0</v>
      </c>
      <c r="BV36" s="373" t="str">
        <f>_xlfn.IFNA(IF(B35&lt;&gt;"",IF(AND(ISBLANK('1.4 Analyse &amp; Synthese'!M37),ISBLANK('1.4 Analyse &amp; Synthese'!N37),ISBLANK('1.4 Analyse &amp; Synthese'!O37)),IF('1.4 Analyse &amp; Synthese'!P37="x",1,0),""),""),"")</f>
        <v/>
      </c>
    </row>
    <row r="37" spans="2:74" x14ac:dyDescent="0.2">
      <c r="B37" s="127">
        <f>IF('1.4 Analyse &amp; Synthese'!B39&lt;&gt;0,'1.4 Analyse &amp; Synthese'!B39,"")</f>
        <v>33</v>
      </c>
      <c r="C37" t="str">
        <f>_xlfn.IFNA(IF(B37&lt;&gt;0,VLOOKUP($B37,Tabelle3[[1]:[3]],2)),"")</f>
        <v>Stefano</v>
      </c>
      <c r="D37">
        <f>_xlfn.IFNA(IF(B37&lt;&gt;0,VLOOKUP($B37,Tabelle3[[1]:[3]],3)),"")</f>
        <v>2013</v>
      </c>
      <c r="E37" t="str">
        <f>_xlfn.IFNA(IF(B37&lt;&gt;0,VLOOKUP($B37,Tabelle3[[1]:[4]],4)),"")</f>
        <v>Data integrity (I)</v>
      </c>
      <c r="F37" t="str">
        <f>_xlfn.IFNA(IF(B37&lt;&gt;0,VLOOKUP($B37,Tabelle3[[1]:[5]],5)),"")</f>
        <v>Empfehlung</v>
      </c>
      <c r="G37" s="101" t="str">
        <f>_xlfn.IFNA(IF(B37&lt;&gt;0,VLOOKUP($B37,Tabelle3[[1]:[Aggregator/Integrator]],10)),"")</f>
        <v>x</v>
      </c>
      <c r="H37" s="101">
        <f>_xlfn.IFNA(IF(B37&lt;&gt;0,VLOOKUP($B37,Tabelle3[[1]:[ITSVN Akteure]],11)),"")</f>
        <v>0</v>
      </c>
      <c r="I37" s="101" t="str">
        <f>_xlfn.IFNA(IF(B37&lt;&gt;0,VLOOKUP($B37,Tabelle3[[1]:[IaaS]],12)),"")</f>
        <v>x</v>
      </c>
      <c r="J37" s="101">
        <f>_xlfn.IFNA(IF(B37&lt;&gt;0,VLOOKUP($B37,Tabelle3[[1]:[PaaS]],13)),"")</f>
        <v>0</v>
      </c>
      <c r="K37" s="101">
        <f>_xlfn.IFNA(IF(B37&lt;&gt;0,VLOOKUP($B37,Tabelle3[[1]:[SaaS]],14)),"")</f>
        <v>0</v>
      </c>
      <c r="L37" s="101">
        <f>_xlfn.IFNA(IF(B37&lt;&gt;0,VLOOKUP($B37,Tabelle3[[1]:[DaaS]],15)),"")</f>
        <v>0</v>
      </c>
      <c r="M37" s="117">
        <f>IF(B37&lt;&gt;0,COUNTIF('1.4 Analyse &amp; Synthese'!Q39:AJ39,1))</f>
        <v>4</v>
      </c>
      <c r="N37" s="101">
        <f>IF(B37&lt;&gt;0,COUNTIF('1.4 Analyse &amp; Synthese'!Q39:AJ39,3))</f>
        <v>0</v>
      </c>
      <c r="O37" s="101" t="str">
        <f t="array" ref="O37">_xlfn.IFNA(INDEX($D$5:$D$49,MATCH(0,COUNTIF($O$4:O36,$D$5:$D$49),0),1),"")</f>
        <v/>
      </c>
      <c r="P37" s="101" t="str">
        <f t="shared" si="0"/>
        <v/>
      </c>
      <c r="Q37" s="101" t="str">
        <f t="shared" si="1"/>
        <v/>
      </c>
      <c r="R37" s="128" t="str">
        <f>_xlfn.IFNA(IF(VLOOKUP(B37,Tabelle4[#All],2,FALSE)="x",VLOOKUP(B37,'1.4 Analyse &amp; Synthese'!$B$7:$G$47,6,FALSE),""),"")</f>
        <v>Kompatibilität</v>
      </c>
      <c r="S37" s="101" t="str">
        <f t="array" ref="S37">_xlfn.IFNA(INDEX($R$5:$R$49,MATCH(0,COUNTIF($S$4:S36,$R$5:$R$49),0),1),"")</f>
        <v/>
      </c>
      <c r="T37" s="101" t="str">
        <f t="shared" si="2"/>
        <v/>
      </c>
      <c r="U37" s="9" t="str">
        <f>_xlfn.IFNA(IF(VLOOKUP(B37,Tabelle4[#All],2,FALSE)="x",VLOOKUP(B37,'1.4 Analyse &amp; Synthese'!$B$7:$I$47,8,FALSE),""),"")</f>
        <v>Monitoring System</v>
      </c>
      <c r="V37" s="122" t="str">
        <f t="array" ref="V37">_xlfn.IFNA(INDEX($U$5:$U$49,MATCH(0,COUNTIF($V$5:V36,$U$5:$U$49),0),1),"")</f>
        <v/>
      </c>
      <c r="W37" t="str">
        <f t="shared" si="9"/>
        <v/>
      </c>
      <c r="X37" t="str">
        <f t="shared" si="10"/>
        <v/>
      </c>
      <c r="Y37" t="str">
        <f t="shared" si="11"/>
        <v/>
      </c>
      <c r="Z37" t="str">
        <f t="shared" si="23"/>
        <v/>
      </c>
      <c r="AA37" t="str">
        <f t="shared" si="13"/>
        <v/>
      </c>
      <c r="AI37" s="114" t="str">
        <f>_xlfn.IFNA(IF(VLOOKUP(B37,Tabelle4[#All],2,FALSE)="x",VLOOKUP(B37,Tabelle4[#All],6,FALSE),""),"")</f>
        <v>Konferenz</v>
      </c>
      <c r="AJ37" s="101" t="str">
        <f t="array" ref="AJ37">_xlfn.IFNA(INDEX($AI$5:$AI$49,MATCH(0,COUNTIF($AJ$4:AJ36,$AI$5:$AI$49),0),1),"")</f>
        <v/>
      </c>
      <c r="AK37" s="101" t="str">
        <f t="shared" si="3"/>
        <v/>
      </c>
      <c r="AL37" s="117" t="str">
        <f t="array" ref="AL37">_xlfn.IFNA(INDEX($E$5:$E$49,MATCH(0,COUNTIF($AL$4:AL36,$E$5:$E$49),0),1),"")</f>
        <v/>
      </c>
      <c r="AM37" t="str">
        <f t="shared" si="4"/>
        <v/>
      </c>
      <c r="AN37" s="9"/>
      <c r="AS37" t="str">
        <f t="shared" si="5"/>
        <v/>
      </c>
      <c r="AT37" s="198" t="str">
        <f t="array" ref="AT37">_xlfn.IFNA(INDEX($AS$5:$AS$49,MATCH(0,COUNTIF($AT$4:AT36,$AS$5:$AS$49),0),1),"")</f>
        <v/>
      </c>
      <c r="AU37" s="202"/>
      <c r="AV37" s="200" t="str">
        <f t="shared" si="6"/>
        <v>Monitoring System</v>
      </c>
      <c r="AW37" s="101" t="str">
        <f t="array" ref="AW37">_xlfn.IFNA(INDEX($AV$6:$AV$49,MATCH(0,COUNTIF($AW$5:AW36,$AV$6:$AV$49),0),1),"")</f>
        <v/>
      </c>
      <c r="AX37" s="201" t="str">
        <f t="shared" si="17"/>
        <v/>
      </c>
      <c r="AY37" s="204" t="str">
        <f t="shared" si="7"/>
        <v/>
      </c>
      <c r="AZ37" s="101" t="str">
        <f t="array" ref="AZ37">_xlfn.IFNA(INDEX($AY$5:$AY$49,MATCH(0,COUNTIF($AZ$4:AZ36,$AY$5:$AY$49),0),1),"")</f>
        <v/>
      </c>
      <c r="BA37" t="str">
        <f t="shared" si="18"/>
        <v/>
      </c>
      <c r="BB37" s="8" t="str">
        <f t="shared" si="14"/>
        <v/>
      </c>
      <c r="BC37" s="101" t="str">
        <f t="array" ref="BC37">_xlfn.IFNA(INDEX($BB$6:$BB$49,MATCH(0,COUNTIF($BC$4:BC36,$BB$6:$BB$49),0),1),"")</f>
        <v/>
      </c>
      <c r="BD37" t="str">
        <f t="shared" si="19"/>
        <v/>
      </c>
      <c r="BE37" s="209" t="str">
        <f t="shared" si="15"/>
        <v/>
      </c>
      <c r="BF37" s="101" t="str">
        <f t="array" ref="BF37">_xlfn.IFNA(INDEX($BE$5:$BE$49,MATCH(0,COUNTIF($BF$4:BF36,$BE$5:$BE$49),0),1),"")</f>
        <v/>
      </c>
      <c r="BG37" s="201" t="str">
        <f t="shared" si="21"/>
        <v/>
      </c>
      <c r="BI37" s="101" t="str">
        <f t="array" ref="BI37">_xlfn.IFNA(INDEX($F$5:$F$49,MATCH(0,COUNTIF($BI$4:BI36,$F$5:$F$49),0),1),"")</f>
        <v/>
      </c>
      <c r="BJ37" s="206" t="str">
        <f t="shared" si="16"/>
        <v/>
      </c>
      <c r="BO37" s="9"/>
      <c r="BP37" s="372">
        <f>_xlfn.IFNA(IF(B36&lt;&gt;"",IF(AND(ISBLANK('1.4 Analyse &amp; Synthese'!N38),ISBLANK('1.4 Analyse &amp; Synthese'!O38),ISBLANK('1.4 Analyse &amp; Synthese'!P38)),IF('1.4 Analyse &amp; Synthese'!M38="x",1,0),""),""),"")</f>
        <v>1</v>
      </c>
      <c r="BQ37" s="123" t="str">
        <f>_xlfn.IFNA(IF(B36&lt;&gt;"",IF(AND(ISBLANK('1.4 Analyse &amp; Synthese'!M38),ISBLANK('1.4 Analyse &amp; Synthese'!O38),ISBLANK('1.4 Analyse &amp; Synthese'!P38)),IF('1.4 Analyse &amp; Synthese'!N38="x",1,0),""),""),"")</f>
        <v/>
      </c>
      <c r="BR37" s="123" t="str">
        <f>_xlfn.IFNA(IF(B36&lt;&gt;"",IF(AND(ISBLANK('1.4 Analyse &amp; Synthese'!M38),ISBLANK('1.4 Analyse &amp; Synthese'!N38),ISBLANK('1.4 Analyse &amp; Synthese'!P38)),IF('1.4 Analyse &amp; Synthese'!O38="x",1,0),""),""),"")</f>
        <v/>
      </c>
      <c r="BS37" s="123">
        <f>_xlfn.IFNA(IF(B36&lt;&gt;"",IF(AND('1.4 Analyse &amp; Synthese'!M38="X",'1.4 Analyse &amp; Synthese'!N38="X",'1.4 Analyse &amp; Synthese'!O38="X"),1,0),""),"")</f>
        <v>0</v>
      </c>
      <c r="BT37" s="123">
        <f>_xlfn.IFNA(IF(B36&lt;&gt;"",IF(AND(ISBLANK('1.4 Analyse &amp; Synthese'!M38),ISBLANK('1.4 Analyse &amp; Synthese'!N38),ISBLANK('1.4 Analyse &amp; Synthese'!O38)),1,0),""),"")</f>
        <v>0</v>
      </c>
      <c r="BU37" s="123">
        <f>_xlfn.IFNA(IF(B36&lt;&gt;"",IF(OR(AND('1.4 Analyse &amp; Synthese'!M38="X",'1.4 Analyse &amp; Synthese'!N38="X",'1.4 Analyse &amp; Synthese'!O38=""),AND('1.4 Analyse &amp; Synthese'!M38="X",'1.4 Analyse &amp; Synthese'!N38="",'1.4 Analyse &amp; Synthese'!O38="X"),AND('1.4 Analyse &amp; Synthese'!M38="",'1.4 Analyse &amp; Synthese'!N38="X",'1.4 Analyse &amp; Synthese'!O38="X")),1,0),0),"")</f>
        <v>0</v>
      </c>
      <c r="BV37" s="373" t="str">
        <f>_xlfn.IFNA(IF(B36&lt;&gt;"",IF(AND(ISBLANK('1.4 Analyse &amp; Synthese'!M38),ISBLANK('1.4 Analyse &amp; Synthese'!N38),ISBLANK('1.4 Analyse &amp; Synthese'!O38)),IF('1.4 Analyse &amp; Synthese'!P38="x",1,0),""),""),"")</f>
        <v/>
      </c>
    </row>
    <row r="38" spans="2:74" x14ac:dyDescent="0.2">
      <c r="B38" s="127">
        <f>IF('1.4 Analyse &amp; Synthese'!B40&lt;&gt;0,'1.4 Analyse &amp; Synthese'!B40,"")</f>
        <v>34</v>
      </c>
      <c r="C38" t="str">
        <f>_xlfn.IFNA(IF(B38&lt;&gt;0,VLOOKUP($B38,Tabelle3[[1]:[3]],2)),"")</f>
        <v>Su</v>
      </c>
      <c r="D38">
        <f>_xlfn.IFNA(IF(B38&lt;&gt;0,VLOOKUP($B38,Tabelle3[[1]:[3]],3)),"")</f>
        <v>2015</v>
      </c>
      <c r="E38" t="str">
        <f>_xlfn.IFNA(IF(B38&lt;&gt;0,VLOOKUP($B38,Tabelle3[[1]:[4]],4)),"")</f>
        <v>Cultural background (A)</v>
      </c>
      <c r="F38" t="str">
        <f>_xlfn.IFNA(IF(B38&lt;&gt;0,VLOOKUP($B38,Tabelle3[[1]:[5]],5)),"")</f>
        <v>Empfehlung</v>
      </c>
      <c r="G38" s="101">
        <f>_xlfn.IFNA(IF(B38&lt;&gt;0,VLOOKUP($B38,Tabelle3[[1]:[Aggregator/Integrator]],10)),"")</f>
        <v>0</v>
      </c>
      <c r="H38" s="101" t="str">
        <f>_xlfn.IFNA(IF(B38&lt;&gt;0,VLOOKUP($B38,Tabelle3[[1]:[ITSVN Akteure]],11)),"")</f>
        <v>x</v>
      </c>
      <c r="I38" s="101">
        <f>_xlfn.IFNA(IF(B38&lt;&gt;0,VLOOKUP($B38,Tabelle3[[1]:[IaaS]],12)),"")</f>
        <v>0</v>
      </c>
      <c r="J38" s="101">
        <f>_xlfn.IFNA(IF(B38&lt;&gt;0,VLOOKUP($B38,Tabelle3[[1]:[PaaS]],13)),"")</f>
        <v>0</v>
      </c>
      <c r="K38" s="101">
        <f>_xlfn.IFNA(IF(B38&lt;&gt;0,VLOOKUP($B38,Tabelle3[[1]:[SaaS]],14)),"")</f>
        <v>0</v>
      </c>
      <c r="L38" s="101">
        <f>_xlfn.IFNA(IF(B38&lt;&gt;0,VLOOKUP($B38,Tabelle3[[1]:[DaaS]],15)),"")</f>
        <v>0</v>
      </c>
      <c r="M38" s="117">
        <f>IF(B38&lt;&gt;0,COUNTIF('1.4 Analyse &amp; Synthese'!Q40:AJ40,1))</f>
        <v>1</v>
      </c>
      <c r="N38" s="101">
        <f>IF(B38&lt;&gt;0,COUNTIF('1.4 Analyse &amp; Synthese'!Q40:AJ40,3))</f>
        <v>1</v>
      </c>
      <c r="O38" s="101" t="str">
        <f t="array" ref="O38">_xlfn.IFNA(INDEX($D$5:$D$49,MATCH(0,COUNTIF($O$4:O37,$D$5:$D$49),0),1),"")</f>
        <v/>
      </c>
      <c r="P38" s="101" t="str">
        <f t="shared" si="0"/>
        <v/>
      </c>
      <c r="Q38" s="101" t="str">
        <f t="shared" si="1"/>
        <v/>
      </c>
      <c r="R38" s="128" t="str">
        <f>_xlfn.IFNA(IF(VLOOKUP(B38,Tabelle4[#All],2,FALSE)="x",VLOOKUP(B38,'1.4 Analyse &amp; Synthese'!$B$7:$G$47,6,FALSE),""),"")</f>
        <v>Sonstiges</v>
      </c>
      <c r="S38" s="101" t="str">
        <f t="array" ref="S38">_xlfn.IFNA(INDEX($R$5:$R$49,MATCH(0,COUNTIF($S$4:S37,$R$5:$R$49),0),1),"")</f>
        <v/>
      </c>
      <c r="T38" s="101" t="str">
        <f t="shared" si="2"/>
        <v/>
      </c>
      <c r="U38" s="9" t="str">
        <f>_xlfn.IFNA(IF(VLOOKUP(B38,Tabelle4[#All],2,FALSE)="x",VLOOKUP(B38,'1.4 Analyse &amp; Synthese'!$B$7:$I$47,8,FALSE),""),"")</f>
        <v>Cultural Frames</v>
      </c>
      <c r="V38" s="122" t="str">
        <f t="array" ref="V38">_xlfn.IFNA(INDEX($U$5:$U$49,MATCH(0,COUNTIF($V$5:V37,$U$5:$U$49),0),1),"")</f>
        <v/>
      </c>
      <c r="W38" t="str">
        <f t="shared" si="9"/>
        <v/>
      </c>
      <c r="X38" t="str">
        <f t="shared" si="10"/>
        <v/>
      </c>
      <c r="Y38" t="str">
        <f t="shared" si="11"/>
        <v/>
      </c>
      <c r="Z38" t="str">
        <f t="shared" si="23"/>
        <v/>
      </c>
      <c r="AA38" t="str">
        <f t="shared" si="13"/>
        <v/>
      </c>
      <c r="AI38" s="114" t="str">
        <f>_xlfn.IFNA(IF(VLOOKUP(B38,Tabelle4[#All],2,FALSE)="x",VLOOKUP(B38,Tabelle4[#All],6,FALSE),""),"")</f>
        <v>Journal</v>
      </c>
      <c r="AJ38" s="101" t="str">
        <f t="array" ref="AJ38">_xlfn.IFNA(INDEX($AI$5:$AI$49,MATCH(0,COUNTIF($AJ$4:AJ37,$AI$5:$AI$49),0),1),"")</f>
        <v/>
      </c>
      <c r="AK38" s="101" t="str">
        <f t="shared" si="3"/>
        <v/>
      </c>
      <c r="AL38" s="117" t="str">
        <f t="array" ref="AL38">_xlfn.IFNA(INDEX($E$5:$E$49,MATCH(0,COUNTIF($AL$4:AL37,$E$5:$E$49),0),1),"")</f>
        <v/>
      </c>
      <c r="AM38" t="str">
        <f t="shared" si="4"/>
        <v/>
      </c>
      <c r="AN38" s="9"/>
      <c r="AS38" t="str">
        <f t="shared" si="5"/>
        <v/>
      </c>
      <c r="AT38" s="198" t="str">
        <f t="array" ref="AT38">_xlfn.IFNA(INDEX($AS$5:$AS$49,MATCH(0,COUNTIF($AT$4:AT37,$AS$5:$AS$49),0),1),"")</f>
        <v/>
      </c>
      <c r="AU38" s="202"/>
      <c r="AV38" s="200" t="str">
        <f t="shared" si="6"/>
        <v/>
      </c>
      <c r="AW38" s="101" t="str">
        <f t="array" ref="AW38">_xlfn.IFNA(INDEX($AV$6:$AV$49,MATCH(0,COUNTIF($AW$4:AW36,$AV$6:$AV$49),0),1),"")</f>
        <v/>
      </c>
      <c r="AX38" s="201" t="str">
        <f t="shared" si="17"/>
        <v/>
      </c>
      <c r="AY38" s="204" t="str">
        <f t="shared" si="7"/>
        <v/>
      </c>
      <c r="AZ38" s="101" t="str">
        <f t="array" ref="AZ38">_xlfn.IFNA(INDEX($AY$5:$AY$49,MATCH(0,COUNTIF($AZ$4:AZ37,$AY$5:$AY$49),0),1),"")</f>
        <v/>
      </c>
      <c r="BA38" t="str">
        <f t="shared" si="18"/>
        <v/>
      </c>
      <c r="BB38" s="8" t="str">
        <f t="shared" si="14"/>
        <v/>
      </c>
      <c r="BC38" s="101" t="str">
        <f t="array" ref="BC38">_xlfn.IFNA(INDEX($BB$6:$BB$49,MATCH(0,COUNTIF($BC$4:BC37,$BB$6:$BB$49),0),1),"")</f>
        <v/>
      </c>
      <c r="BD38" t="str">
        <f t="shared" si="19"/>
        <v/>
      </c>
      <c r="BE38" s="209" t="str">
        <f t="shared" si="15"/>
        <v>Cultural Frames</v>
      </c>
      <c r="BF38" s="101" t="str">
        <f t="array" ref="BF38">_xlfn.IFNA(INDEX($BE$5:$BE$49,MATCH(0,COUNTIF($BF$4:BF37,$BE$5:$BE$49),0),1),"")</f>
        <v/>
      </c>
      <c r="BG38" s="201" t="str">
        <f t="shared" si="21"/>
        <v/>
      </c>
      <c r="BI38" s="101" t="str">
        <f t="array" ref="BI38">_xlfn.IFNA(INDEX($F$5:$F$49,MATCH(0,COUNTIF($BI$4:BI37,$F$5:$F$49),0),1),"")</f>
        <v/>
      </c>
      <c r="BJ38" s="206" t="str">
        <f t="shared" si="16"/>
        <v/>
      </c>
      <c r="BO38" s="9"/>
      <c r="BP38" s="372">
        <f>_xlfn.IFNA(IF(B37&lt;&gt;"",IF(AND(ISBLANK('1.4 Analyse &amp; Synthese'!N39),ISBLANK('1.4 Analyse &amp; Synthese'!O39),ISBLANK('1.4 Analyse &amp; Synthese'!P39)),IF('1.4 Analyse &amp; Synthese'!M39="x",1,0),""),""),"")</f>
        <v>1</v>
      </c>
      <c r="BQ38" s="123" t="str">
        <f>_xlfn.IFNA(IF(B37&lt;&gt;"",IF(AND(ISBLANK('1.4 Analyse &amp; Synthese'!M39),ISBLANK('1.4 Analyse &amp; Synthese'!O39),ISBLANK('1.4 Analyse &amp; Synthese'!P39)),IF('1.4 Analyse &amp; Synthese'!N39="x",1,0),""),""),"")</f>
        <v/>
      </c>
      <c r="BR38" s="123" t="str">
        <f>_xlfn.IFNA(IF(B37&lt;&gt;"",IF(AND(ISBLANK('1.4 Analyse &amp; Synthese'!M39),ISBLANK('1.4 Analyse &amp; Synthese'!N39),ISBLANK('1.4 Analyse &amp; Synthese'!P39)),IF('1.4 Analyse &amp; Synthese'!O39="x",1,0),""),""),"")</f>
        <v/>
      </c>
      <c r="BS38" s="123">
        <f>_xlfn.IFNA(IF(B37&lt;&gt;"",IF(AND('1.4 Analyse &amp; Synthese'!M39="X",'1.4 Analyse &amp; Synthese'!N39="X",'1.4 Analyse &amp; Synthese'!O39="X"),1,0),""),"")</f>
        <v>0</v>
      </c>
      <c r="BT38" s="123">
        <f>_xlfn.IFNA(IF(B37&lt;&gt;"",IF(AND(ISBLANK('1.4 Analyse &amp; Synthese'!M39),ISBLANK('1.4 Analyse &amp; Synthese'!N39),ISBLANK('1.4 Analyse &amp; Synthese'!O39)),1,0),""),"")</f>
        <v>0</v>
      </c>
      <c r="BU38" s="123">
        <f>_xlfn.IFNA(IF(B37&lt;&gt;"",IF(OR(AND('1.4 Analyse &amp; Synthese'!M39="X",'1.4 Analyse &amp; Synthese'!N39="X",'1.4 Analyse &amp; Synthese'!O39=""),AND('1.4 Analyse &amp; Synthese'!M39="X",'1.4 Analyse &amp; Synthese'!N39="",'1.4 Analyse &amp; Synthese'!O39="X"),AND('1.4 Analyse &amp; Synthese'!M39="",'1.4 Analyse &amp; Synthese'!N39="X",'1.4 Analyse &amp; Synthese'!O39="X")),1,0),0),"")</f>
        <v>0</v>
      </c>
      <c r="BV38" s="373" t="str">
        <f>_xlfn.IFNA(IF(B37&lt;&gt;"",IF(AND(ISBLANK('1.4 Analyse &amp; Synthese'!M39),ISBLANK('1.4 Analyse &amp; Synthese'!N39),ISBLANK('1.4 Analyse &amp; Synthese'!O39)),IF('1.4 Analyse &amp; Synthese'!P39="x",1,0),""),""),"")</f>
        <v/>
      </c>
    </row>
    <row r="39" spans="2:74" x14ac:dyDescent="0.2">
      <c r="B39" s="127">
        <f>IF('1.4 Analyse &amp; Synthese'!B41&lt;&gt;0,'1.4 Analyse &amp; Synthese'!B41,"")</f>
        <v>35</v>
      </c>
      <c r="C39" t="str">
        <f>_xlfn.IFNA(IF(B39&lt;&gt;0,VLOOKUP($B39,Tabelle3[[1]:[3]],2)),"")</f>
        <v>Tata</v>
      </c>
      <c r="D39">
        <f>_xlfn.IFNA(IF(B39&lt;&gt;0,VLOOKUP($B39,Tabelle3[[1]:[3]],3)),"")</f>
        <v>2016</v>
      </c>
      <c r="E39" t="str">
        <f>_xlfn.IFNA(IF(B39&lt;&gt;0,VLOOKUP($B39,Tabelle3[[1]:[4]],4)),"")</f>
        <v>SLA regulation (A)</v>
      </c>
      <c r="F39" t="str">
        <f>_xlfn.IFNA(IF(B39&lt;&gt;0,VLOOKUP($B39,Tabelle3[[1]:[5]],5)),"")</f>
        <v>Methode</v>
      </c>
      <c r="G39" s="101" t="str">
        <f>_xlfn.IFNA(IF(B39&lt;&gt;0,VLOOKUP($B39,Tabelle3[[1]:[Aggregator/Integrator]],10)),"")</f>
        <v>x</v>
      </c>
      <c r="H39" s="101">
        <f>_xlfn.IFNA(IF(B39&lt;&gt;0,VLOOKUP($B39,Tabelle3[[1]:[ITSVN Akteure]],11)),"")</f>
        <v>0</v>
      </c>
      <c r="I39" s="101">
        <f>_xlfn.IFNA(IF(B39&lt;&gt;0,VLOOKUP($B39,Tabelle3[[1]:[IaaS]],12)),"")</f>
        <v>0</v>
      </c>
      <c r="J39" s="101" t="str">
        <f>_xlfn.IFNA(IF(B39&lt;&gt;0,VLOOKUP($B39,Tabelle3[[1]:[PaaS]],13)),"")</f>
        <v>x</v>
      </c>
      <c r="K39" s="101" t="str">
        <f>_xlfn.IFNA(IF(B39&lt;&gt;0,VLOOKUP($B39,Tabelle3[[1]:[SaaS]],14)),"")</f>
        <v>x</v>
      </c>
      <c r="L39" s="101">
        <f>_xlfn.IFNA(IF(B39&lt;&gt;0,VLOOKUP($B39,Tabelle3[[1]:[DaaS]],15)),"")</f>
        <v>0</v>
      </c>
      <c r="M39" s="117">
        <f>IF(B39&lt;&gt;0,COUNTIF('1.4 Analyse &amp; Synthese'!Q41:AJ41,1))</f>
        <v>2</v>
      </c>
      <c r="N39" s="101">
        <f>IF(B39&lt;&gt;0,COUNTIF('1.4 Analyse &amp; Synthese'!Q41:AJ41,3))</f>
        <v>5</v>
      </c>
      <c r="O39" s="101" t="str">
        <f t="array" ref="O39">_xlfn.IFNA(INDEX($D$5:$D$49,MATCH(0,COUNTIF($O$4:O38,$D$5:$D$49),0),1),"")</f>
        <v/>
      </c>
      <c r="P39" s="101" t="str">
        <f t="shared" si="0"/>
        <v/>
      </c>
      <c r="Q39" s="101" t="str">
        <f t="shared" si="1"/>
        <v/>
      </c>
      <c r="R39" s="128" t="str">
        <f>_xlfn.IFNA(IF(VLOOKUP(B39,Tabelle4[#All],2,FALSE)="x",VLOOKUP(B39,'1.4 Analyse &amp; Synthese'!$B$7:$G$47,6,FALSE),""),"")</f>
        <v>Portierbarkeit</v>
      </c>
      <c r="S39" s="101" t="str">
        <f t="array" ref="S39">_xlfn.IFNA(INDEX($R$5:$R$49,MATCH(0,COUNTIF($S$4:S38,$R$5:$R$49),0),1),"")</f>
        <v/>
      </c>
      <c r="T39" s="101" t="str">
        <f t="shared" si="2"/>
        <v/>
      </c>
      <c r="U39" s="9" t="str">
        <f>_xlfn.IFNA(IF(VLOOKUP(B39,Tabelle4[#All],2,FALSE)="x",VLOOKUP(B39,'1.4 Analyse &amp; Synthese'!$B$7:$I$47,8,FALSE),""),"")</f>
        <v>Monitoring System</v>
      </c>
      <c r="V39" s="122" t="str">
        <f t="array" ref="V39">_xlfn.IFNA(INDEX($U$5:$U$49,MATCH(0,COUNTIF($V$5:V38,$U$5:$U$49),0),1),"")</f>
        <v/>
      </c>
      <c r="W39" t="str">
        <f t="shared" si="9"/>
        <v/>
      </c>
      <c r="X39" t="str">
        <f t="shared" si="10"/>
        <v/>
      </c>
      <c r="Y39" t="str">
        <f t="shared" si="11"/>
        <v/>
      </c>
      <c r="Z39" t="str">
        <f t="shared" si="23"/>
        <v/>
      </c>
      <c r="AA39" t="str">
        <f t="shared" si="13"/>
        <v/>
      </c>
      <c r="AI39" s="114" t="str">
        <f>_xlfn.IFNA(IF(VLOOKUP(B39,Tabelle4[#All],2,FALSE)="x",VLOOKUP(B39,Tabelle4[#All],6,FALSE),""),"")</f>
        <v>Journal</v>
      </c>
      <c r="AJ39" s="101" t="str">
        <f t="array" ref="AJ39">_xlfn.IFNA(INDEX($AI$5:$AI$49,MATCH(0,COUNTIF($AJ$4:AJ38,$AI$5:$AI$49),0),1),"")</f>
        <v/>
      </c>
      <c r="AK39" s="101" t="str">
        <f t="shared" si="3"/>
        <v/>
      </c>
      <c r="AL39" s="117" t="str">
        <f t="array" ref="AL39">_xlfn.IFNA(INDEX($E$5:$E$49,MATCH(0,COUNTIF($AL$4:AL38,$E$5:$E$49),0),1),"")</f>
        <v/>
      </c>
      <c r="AM39" t="str">
        <f t="shared" si="4"/>
        <v/>
      </c>
      <c r="AN39" s="9"/>
      <c r="AS39" t="str">
        <f t="shared" si="5"/>
        <v/>
      </c>
      <c r="AT39" s="198" t="str">
        <f t="array" ref="AT39">_xlfn.IFNA(INDEX($AS$5:$AS$49,MATCH(0,COUNTIF($AT$4:AT38,$AS$5:$AS$49),0),1),"")</f>
        <v/>
      </c>
      <c r="AU39" s="202"/>
      <c r="AV39" s="200" t="str">
        <f t="shared" si="6"/>
        <v/>
      </c>
      <c r="AW39" s="101" t="str">
        <f t="array" ref="AW39">_xlfn.IFNA(INDEX($AV$6:$AV$49,MATCH(0,COUNTIF($AW$4:AW37,$AV$6:$AV$49),0),1),"")</f>
        <v/>
      </c>
      <c r="AX39" s="201" t="str">
        <f t="shared" si="17"/>
        <v/>
      </c>
      <c r="AY39" s="204" t="str">
        <f t="shared" si="7"/>
        <v>Monitoring System</v>
      </c>
      <c r="AZ39" s="101" t="str">
        <f t="array" ref="AZ39">_xlfn.IFNA(INDEX($AY$5:$AY$49,MATCH(0,COUNTIF($AZ$4:AZ38,$AY$5:$AY$49),0),1),"")</f>
        <v/>
      </c>
      <c r="BA39" t="str">
        <f t="shared" si="18"/>
        <v/>
      </c>
      <c r="BB39" s="8" t="str">
        <f t="shared" si="14"/>
        <v/>
      </c>
      <c r="BC39" s="101" t="str">
        <f t="array" ref="BC39">_xlfn.IFNA(INDEX($BB$6:$BB$49,MATCH(0,COUNTIF($BC$4:BC38,$BB$6:$BB$49),0),1),"")</f>
        <v/>
      </c>
      <c r="BD39" t="str">
        <f t="shared" si="19"/>
        <v/>
      </c>
      <c r="BE39" s="209" t="str">
        <f t="shared" si="15"/>
        <v/>
      </c>
      <c r="BF39" s="101" t="str">
        <f t="array" ref="BF39">_xlfn.IFNA(INDEX($BE$5:$BE$49,MATCH(0,COUNTIF($BF$4:BF38,$BE$5:$BE$49),0),1),"")</f>
        <v/>
      </c>
      <c r="BG39" s="201" t="str">
        <f t="shared" si="21"/>
        <v/>
      </c>
      <c r="BI39" s="101" t="str">
        <f t="array" ref="BI39">_xlfn.IFNA(INDEX($F$5:$F$49,MATCH(0,COUNTIF($BI$4:BI38,$F$5:$F$49),0),1),"")</f>
        <v/>
      </c>
      <c r="BJ39" s="206" t="str">
        <f t="shared" si="16"/>
        <v/>
      </c>
      <c r="BO39" s="9"/>
      <c r="BP39" s="372">
        <f>_xlfn.IFNA(IF(B38&lt;&gt;"",IF(AND(ISBLANK('1.4 Analyse &amp; Synthese'!N40),ISBLANK('1.4 Analyse &amp; Synthese'!O40),ISBLANK('1.4 Analyse &amp; Synthese'!P40)),IF('1.4 Analyse &amp; Synthese'!M40="x",1,0),""),""),"")</f>
        <v>0</v>
      </c>
      <c r="BQ39" s="123">
        <f>_xlfn.IFNA(IF(B38&lt;&gt;"",IF(AND(ISBLANK('1.4 Analyse &amp; Synthese'!M40),ISBLANK('1.4 Analyse &amp; Synthese'!O40),ISBLANK('1.4 Analyse &amp; Synthese'!P40)),IF('1.4 Analyse &amp; Synthese'!N40="x",1,0),""),""),"")</f>
        <v>0</v>
      </c>
      <c r="BR39" s="123">
        <f>_xlfn.IFNA(IF(B38&lt;&gt;"",IF(AND(ISBLANK('1.4 Analyse &amp; Synthese'!M40),ISBLANK('1.4 Analyse &amp; Synthese'!N40),ISBLANK('1.4 Analyse &amp; Synthese'!P40)),IF('1.4 Analyse &amp; Synthese'!O40="x",1,0),""),""),"")</f>
        <v>0</v>
      </c>
      <c r="BS39" s="123">
        <f>_xlfn.IFNA(IF(B38&lt;&gt;"",IF(AND('1.4 Analyse &amp; Synthese'!M40="X",'1.4 Analyse &amp; Synthese'!N40="X",'1.4 Analyse &amp; Synthese'!O40="X"),1,0),""),"")</f>
        <v>0</v>
      </c>
      <c r="BT39" s="123">
        <f>_xlfn.IFNA(IF(B38&lt;&gt;"",IF(AND(ISBLANK('1.4 Analyse &amp; Synthese'!M40),ISBLANK('1.4 Analyse &amp; Synthese'!N40),ISBLANK('1.4 Analyse &amp; Synthese'!O40)),1,0),""),"")</f>
        <v>1</v>
      </c>
      <c r="BU39" s="123">
        <f>_xlfn.IFNA(IF(B38&lt;&gt;"",IF(OR(AND('1.4 Analyse &amp; Synthese'!M40="X",'1.4 Analyse &amp; Synthese'!N40="X",'1.4 Analyse &amp; Synthese'!O40=""),AND('1.4 Analyse &amp; Synthese'!M40="X",'1.4 Analyse &amp; Synthese'!N40="",'1.4 Analyse &amp; Synthese'!O40="X"),AND('1.4 Analyse &amp; Synthese'!M40="",'1.4 Analyse &amp; Synthese'!N40="X",'1.4 Analyse &amp; Synthese'!O40="X")),1,0),0),"")</f>
        <v>0</v>
      </c>
      <c r="BV39" s="373">
        <f>_xlfn.IFNA(IF(B38&lt;&gt;"",IF(AND(ISBLANK('1.4 Analyse &amp; Synthese'!M40),ISBLANK('1.4 Analyse &amp; Synthese'!N40),ISBLANK('1.4 Analyse &amp; Synthese'!O40)),IF('1.4 Analyse &amp; Synthese'!P40="x",1,0),""),""),"")</f>
        <v>0</v>
      </c>
    </row>
    <row r="40" spans="2:74" x14ac:dyDescent="0.2">
      <c r="B40" s="127">
        <f>IF('1.4 Analyse &amp; Synthese'!B42&lt;&gt;0,'1.4 Analyse &amp; Synthese'!B42,"")</f>
        <v>36</v>
      </c>
      <c r="C40" t="str">
        <f>_xlfn.IFNA(IF(B40&lt;&gt;0,VLOOKUP($B40,Tabelle3[[1]:[3]],2)),"")</f>
        <v>Ul Haq</v>
      </c>
      <c r="D40">
        <f>_xlfn.IFNA(IF(B40&lt;&gt;0,VLOOKUP($B40,Tabelle3[[1]:[3]],3)),"")</f>
        <v>2009</v>
      </c>
      <c r="E40" t="str">
        <f>_xlfn.IFNA(IF(B40&lt;&gt;0,VLOOKUP($B40,Tabelle3[[1]:[4]],4)),"")</f>
        <v>SLA regulation (A)</v>
      </c>
      <c r="F40" t="str">
        <f>_xlfn.IFNA(IF(B40&lt;&gt;0,VLOOKUP($B40,Tabelle3[[1]:[5]],5)),"")</f>
        <v>Methode</v>
      </c>
      <c r="G40" s="101">
        <f>_xlfn.IFNA(IF(B40&lt;&gt;0,VLOOKUP($B40,Tabelle3[[1]:[Aggregator/Integrator]],10)),"")</f>
        <v>0</v>
      </c>
      <c r="H40" s="101" t="str">
        <f>_xlfn.IFNA(IF(B40&lt;&gt;0,VLOOKUP($B40,Tabelle3[[1]:[ITSVN Akteure]],11)),"")</f>
        <v>x</v>
      </c>
      <c r="I40" s="101" t="str">
        <f>_xlfn.IFNA(IF(B40&lt;&gt;0,VLOOKUP($B40,Tabelle3[[1]:[IaaS]],12)),"")</f>
        <v>x</v>
      </c>
      <c r="J40" s="101" t="str">
        <f>_xlfn.IFNA(IF(B40&lt;&gt;0,VLOOKUP($B40,Tabelle3[[1]:[PaaS]],13)),"")</f>
        <v>x</v>
      </c>
      <c r="K40" s="101" t="str">
        <f>_xlfn.IFNA(IF(B40&lt;&gt;0,VLOOKUP($B40,Tabelle3[[1]:[SaaS]],14)),"")</f>
        <v>x</v>
      </c>
      <c r="L40" s="101">
        <f>_xlfn.IFNA(IF(B40&lt;&gt;0,VLOOKUP($B40,Tabelle3[[1]:[DaaS]],15)),"")</f>
        <v>0</v>
      </c>
      <c r="M40" s="117">
        <f>IF(B40&lt;&gt;0,COUNTIF('1.4 Analyse &amp; Synthese'!Q42:AJ42,1))</f>
        <v>2</v>
      </c>
      <c r="N40" s="101">
        <f>IF(B40&lt;&gt;0,COUNTIF('1.4 Analyse &amp; Synthese'!Q42:AJ42,3))</f>
        <v>3</v>
      </c>
      <c r="O40" s="101" t="str">
        <f t="array" ref="O40">_xlfn.IFNA(INDEX($D$5:$D$49,MATCH(0,COUNTIF($O$4:O39,$D$5:$D$49),0),1),"")</f>
        <v/>
      </c>
      <c r="P40" s="101" t="str">
        <f t="shared" si="0"/>
        <v/>
      </c>
      <c r="Q40" s="101" t="str">
        <f t="shared" si="1"/>
        <v/>
      </c>
      <c r="R40" s="128" t="str">
        <f>_xlfn.IFNA(IF(VLOOKUP(B40,Tabelle4[#All],2,FALSE)="x",VLOOKUP(B40,'1.4 Analyse &amp; Synthese'!$B$7:$G$47,6,FALSE),""),"")</f>
        <v>SLA Vereinbarung</v>
      </c>
      <c r="S40" s="101" t="str">
        <f t="array" ref="S40">_xlfn.IFNA(INDEX($R$5:$R$49,MATCH(0,COUNTIF($S$4:S39,$R$5:$R$49),0),1),"")</f>
        <v/>
      </c>
      <c r="T40" s="101" t="str">
        <f t="shared" si="2"/>
        <v/>
      </c>
      <c r="U40" s="9" t="str">
        <f>_xlfn.IFNA(IF(VLOOKUP(B40,Tabelle4[#All],2,FALSE)="x",VLOOKUP(B40,'1.4 Analyse &amp; Synthese'!$B$7:$I$47,8,FALSE),""),"")</f>
        <v>SLA Management Aggregation</v>
      </c>
      <c r="V40" s="122" t="str">
        <f t="array" ref="V40">_xlfn.IFNA(INDEX($U$5:$U$49,MATCH(0,COUNTIF($V$5:V39,$U$5:$U$49),0),1),"")</f>
        <v/>
      </c>
      <c r="W40" t="str">
        <f t="shared" si="9"/>
        <v/>
      </c>
      <c r="X40" t="str">
        <f t="shared" si="10"/>
        <v/>
      </c>
      <c r="Y40" t="str">
        <f t="shared" si="11"/>
        <v/>
      </c>
      <c r="Z40" t="str">
        <f t="shared" si="23"/>
        <v/>
      </c>
      <c r="AA40" t="str">
        <f t="shared" si="13"/>
        <v/>
      </c>
      <c r="AI40" s="114" t="str">
        <f>_xlfn.IFNA(IF(VLOOKUP(B40,Tabelle4[#All],2,FALSE)="x",VLOOKUP(B40,Tabelle4[#All],6,FALSE),""),"")</f>
        <v>Konferenz</v>
      </c>
      <c r="AJ40" s="101" t="str">
        <f t="array" ref="AJ40">_xlfn.IFNA(INDEX($AI$5:$AI$49,MATCH(0,COUNTIF($AJ$4:AJ39,$AI$5:$AI$49),0),1),"")</f>
        <v/>
      </c>
      <c r="AK40" s="101" t="str">
        <f t="shared" si="3"/>
        <v/>
      </c>
      <c r="AL40" s="117" t="str">
        <f t="array" ref="AL40">_xlfn.IFNA(INDEX($E$5:$E$49,MATCH(0,COUNTIF($AL$4:AL39,$E$5:$E$49),0),1),"")</f>
        <v/>
      </c>
      <c r="AM40" t="str">
        <f t="shared" si="4"/>
        <v/>
      </c>
      <c r="AN40" s="9"/>
      <c r="AS40" t="str">
        <f t="shared" si="5"/>
        <v/>
      </c>
      <c r="AT40" s="198" t="str">
        <f t="array" ref="AT40">_xlfn.IFNA(INDEX($AS$5:$AS$49,MATCH(0,COUNTIF($AT$4:AT39,$AS$5:$AS$49),0),1),"")</f>
        <v/>
      </c>
      <c r="AU40" s="202"/>
      <c r="AV40" s="200" t="str">
        <f t="shared" si="6"/>
        <v/>
      </c>
      <c r="AW40" s="101" t="str">
        <f t="array" ref="AW40">_xlfn.IFNA(INDEX($AV$6:$AV$49,MATCH(0,COUNTIF($AW$4:AW38,$AV$6:$AV$49),0),1),"")</f>
        <v/>
      </c>
      <c r="AX40" s="201" t="str">
        <f t="shared" si="17"/>
        <v/>
      </c>
      <c r="AY40" s="204" t="str">
        <f t="shared" si="7"/>
        <v/>
      </c>
      <c r="AZ40" s="101" t="str">
        <f t="array" ref="AZ40">_xlfn.IFNA(INDEX($AY$5:$AY$49,MATCH(0,COUNTIF($AZ$4:AZ39,$AY$5:$AY$49),0),1),"")</f>
        <v/>
      </c>
      <c r="BA40" t="str">
        <f t="shared" si="18"/>
        <v/>
      </c>
      <c r="BB40" s="8" t="str">
        <f t="shared" si="14"/>
        <v>SLA Management Aggregation</v>
      </c>
      <c r="BC40" s="101" t="str">
        <f t="array" ref="BC40">_xlfn.IFNA(INDEX($BB$6:$BB$49,MATCH(0,COUNTIF($BC$4:BC39,$BB$6:$BB$49),0),1),"")</f>
        <v/>
      </c>
      <c r="BD40" t="str">
        <f t="shared" si="19"/>
        <v/>
      </c>
      <c r="BE40" s="209" t="str">
        <f t="shared" si="15"/>
        <v/>
      </c>
      <c r="BF40" s="101" t="str">
        <f t="array" ref="BF40">_xlfn.IFNA(INDEX($BE$5:$BE$49,MATCH(0,COUNTIF($BF$4:BF39,$BE$5:$BE$49),0),1),"")</f>
        <v/>
      </c>
      <c r="BG40" s="201" t="str">
        <f t="shared" si="21"/>
        <v/>
      </c>
      <c r="BI40" s="101" t="str">
        <f t="array" ref="BI40">_xlfn.IFNA(INDEX($F$5:$F$49,MATCH(0,COUNTIF($BI$4:BI39,$F$5:$F$49),0),1),"")</f>
        <v/>
      </c>
      <c r="BJ40" s="206" t="str">
        <f t="shared" si="16"/>
        <v/>
      </c>
      <c r="BO40" s="9"/>
      <c r="BP40" s="372" t="str">
        <f>_xlfn.IFNA(IF(B39&lt;&gt;"",IF(AND(ISBLANK('1.4 Analyse &amp; Synthese'!N41),ISBLANK('1.4 Analyse &amp; Synthese'!O41),ISBLANK('1.4 Analyse &amp; Synthese'!P41)),IF('1.4 Analyse &amp; Synthese'!M41="x",1,0),""),""),"")</f>
        <v/>
      </c>
      <c r="BQ40" s="123" t="str">
        <f>_xlfn.IFNA(IF(B39&lt;&gt;"",IF(AND(ISBLANK('1.4 Analyse &amp; Synthese'!M41),ISBLANK('1.4 Analyse &amp; Synthese'!O41),ISBLANK('1.4 Analyse &amp; Synthese'!P41)),IF('1.4 Analyse &amp; Synthese'!N41="x",1,0),""),""),"")</f>
        <v/>
      </c>
      <c r="BR40" s="123" t="str">
        <f>_xlfn.IFNA(IF(B39&lt;&gt;"",IF(AND(ISBLANK('1.4 Analyse &amp; Synthese'!M41),ISBLANK('1.4 Analyse &amp; Synthese'!N41),ISBLANK('1.4 Analyse &amp; Synthese'!P41)),IF('1.4 Analyse &amp; Synthese'!O41="x",1,0),""),""),"")</f>
        <v/>
      </c>
      <c r="BS40" s="123">
        <f>_xlfn.IFNA(IF(B39&lt;&gt;"",IF(AND('1.4 Analyse &amp; Synthese'!M41="X",'1.4 Analyse &amp; Synthese'!N41="X",'1.4 Analyse &amp; Synthese'!O41="X"),1,0),""),"")</f>
        <v>0</v>
      </c>
      <c r="BT40" s="123">
        <f>_xlfn.IFNA(IF(B39&lt;&gt;"",IF(AND(ISBLANK('1.4 Analyse &amp; Synthese'!M41),ISBLANK('1.4 Analyse &amp; Synthese'!N41),ISBLANK('1.4 Analyse &amp; Synthese'!O41)),1,0),""),"")</f>
        <v>0</v>
      </c>
      <c r="BU40" s="123">
        <f>_xlfn.IFNA(IF(B39&lt;&gt;"",IF(OR(AND('1.4 Analyse &amp; Synthese'!M41="X",'1.4 Analyse &amp; Synthese'!N41="X",'1.4 Analyse &amp; Synthese'!O41=""),AND('1.4 Analyse &amp; Synthese'!M41="X",'1.4 Analyse &amp; Synthese'!N41="",'1.4 Analyse &amp; Synthese'!O41="X"),AND('1.4 Analyse &amp; Synthese'!M41="",'1.4 Analyse &amp; Synthese'!N41="X",'1.4 Analyse &amp; Synthese'!O41="X")),1,0),0),"")</f>
        <v>1</v>
      </c>
      <c r="BV40" s="373" t="str">
        <f>_xlfn.IFNA(IF(B39&lt;&gt;"",IF(AND(ISBLANK('1.4 Analyse &amp; Synthese'!M41),ISBLANK('1.4 Analyse &amp; Synthese'!N41),ISBLANK('1.4 Analyse &amp; Synthese'!O41)),IF('1.4 Analyse &amp; Synthese'!P41="x",1,0),""),""),"")</f>
        <v/>
      </c>
    </row>
    <row r="41" spans="2:74" x14ac:dyDescent="0.2">
      <c r="B41" s="127">
        <f>IF('1.4 Analyse &amp; Synthese'!B43&lt;&gt;0,'1.4 Analyse &amp; Synthese'!B43,"")</f>
        <v>37</v>
      </c>
      <c r="C41" t="str">
        <f>_xlfn.IFNA(IF(B41&lt;&gt;0,VLOOKUP($B41,Tabelle3[[1]:[3]],2)),"")</f>
        <v>Vernik</v>
      </c>
      <c r="D41">
        <f>_xlfn.IFNA(IF(B41&lt;&gt;0,VLOOKUP($B41,Tabelle3[[1]:[3]],3)),"")</f>
        <v>2013</v>
      </c>
      <c r="E41" t="str">
        <f>_xlfn.IFNA(IF(B41&lt;&gt;0,VLOOKUP($B41,Tabelle3[[1]:[4]],4)),"")</f>
        <v>Rückwärtssuche</v>
      </c>
      <c r="F41" t="str">
        <f>_xlfn.IFNA(IF(B41&lt;&gt;0,VLOOKUP($B41,Tabelle3[[1]:[5]],5)),"")</f>
        <v>Werkzeug</v>
      </c>
      <c r="G41" s="101">
        <f>_xlfn.IFNA(IF(B41&lt;&gt;0,VLOOKUP($B41,Tabelle3[[1]:[Aggregator/Integrator]],10)),"")</f>
        <v>0</v>
      </c>
      <c r="H41" s="101" t="str">
        <f>_xlfn.IFNA(IF(B41&lt;&gt;0,VLOOKUP($B41,Tabelle3[[1]:[ITSVN Akteure]],11)),"")</f>
        <v>x</v>
      </c>
      <c r="I41" s="101" t="str">
        <f>_xlfn.IFNA(IF(B41&lt;&gt;0,VLOOKUP($B41,Tabelle3[[1]:[IaaS]],12)),"")</f>
        <v>x</v>
      </c>
      <c r="J41" s="101">
        <f>_xlfn.IFNA(IF(B41&lt;&gt;0,VLOOKUP($B41,Tabelle3[[1]:[PaaS]],13)),"")</f>
        <v>0</v>
      </c>
      <c r="K41" s="101">
        <f>_xlfn.IFNA(IF(B41&lt;&gt;0,VLOOKUP($B41,Tabelle3[[1]:[SaaS]],14)),"")</f>
        <v>0</v>
      </c>
      <c r="L41" s="101">
        <f>_xlfn.IFNA(IF(B41&lt;&gt;0,VLOOKUP($B41,Tabelle3[[1]:[DaaS]],15)),"")</f>
        <v>0</v>
      </c>
      <c r="M41" s="117">
        <f>IF(B41&lt;&gt;0,COUNTIF('1.4 Analyse &amp; Synthese'!Q43:AJ43,1))</f>
        <v>4</v>
      </c>
      <c r="N41" s="101">
        <f>IF(B41&lt;&gt;0,COUNTIF('1.4 Analyse &amp; Synthese'!Q43:AJ43,3))</f>
        <v>0</v>
      </c>
      <c r="O41" s="101" t="str">
        <f t="array" ref="O41">_xlfn.IFNA(INDEX($D$5:$D$49,MATCH(0,COUNTIF($O$4:O40,$D$5:$D$49),0),1),"")</f>
        <v/>
      </c>
      <c r="P41" s="101" t="str">
        <f t="shared" si="0"/>
        <v/>
      </c>
      <c r="Q41" s="101" t="str">
        <f t="shared" si="1"/>
        <v/>
      </c>
      <c r="R41" s="128" t="str">
        <f>_xlfn.IFNA(IF(VLOOKUP(B41,Tabelle4[#All],2,FALSE)="x",VLOOKUP(B41,'1.4 Analyse &amp; Synthese'!$B$7:$G$47,6,FALSE),""),"")</f>
        <v>Portierbarkeit</v>
      </c>
      <c r="S41" s="101" t="str">
        <f t="array" ref="S41">_xlfn.IFNA(INDEX($R$5:$R$49,MATCH(0,COUNTIF($S$4:S40,$R$5:$R$49),0),1),"")</f>
        <v/>
      </c>
      <c r="T41" s="101" t="str">
        <f t="shared" si="2"/>
        <v/>
      </c>
      <c r="U41" s="9" t="str">
        <f>_xlfn.IFNA(IF(VLOOKUP(B41,Tabelle4[#All],2,FALSE)="x",VLOOKUP(B41,'1.4 Analyse &amp; Synthese'!$B$7:$I$47,8,FALSE),""),"")</f>
        <v>Datenintegration</v>
      </c>
      <c r="V41" s="122" t="str">
        <f t="array" ref="V41">_xlfn.IFNA(INDEX($U$5:$U$49,MATCH(0,COUNTIF($V$5:V40,$U$5:$U$49),0),1),"")</f>
        <v/>
      </c>
      <c r="W41" t="str">
        <f t="shared" si="9"/>
        <v/>
      </c>
      <c r="X41" t="str">
        <f t="shared" si="10"/>
        <v/>
      </c>
      <c r="Y41" t="str">
        <f t="shared" si="11"/>
        <v/>
      </c>
      <c r="Z41" t="str">
        <f t="shared" si="23"/>
        <v/>
      </c>
      <c r="AA41" t="str">
        <f t="shared" si="13"/>
        <v/>
      </c>
      <c r="AI41" s="114" t="str">
        <f>_xlfn.IFNA(IF(VLOOKUP(B41,Tabelle4[#All],2,FALSE)="x",VLOOKUP(B41,Tabelle4[#All],6,FALSE),""),"")</f>
        <v>Konferenz</v>
      </c>
      <c r="AJ41" s="101" t="str">
        <f t="array" ref="AJ41">_xlfn.IFNA(INDEX($AI$5:$AI$49,MATCH(0,COUNTIF($AJ$4:AJ40,$AI$5:$AI$49),0),1),"")</f>
        <v/>
      </c>
      <c r="AK41" s="101" t="str">
        <f t="shared" si="3"/>
        <v/>
      </c>
      <c r="AL41" s="117" t="str">
        <f t="array" ref="AL41">_xlfn.IFNA(INDEX($E$5:$E$49,MATCH(0,COUNTIF($AL$4:AL40,$E$5:$E$49),0),1),"")</f>
        <v/>
      </c>
      <c r="AM41" t="str">
        <f t="shared" si="4"/>
        <v/>
      </c>
      <c r="AN41" s="9"/>
      <c r="AS41" t="str">
        <f t="shared" si="5"/>
        <v/>
      </c>
      <c r="AT41" s="198" t="str">
        <f t="array" ref="AT41">_xlfn.IFNA(INDEX($AS$5:$AS$49,MATCH(0,COUNTIF($AT$4:AT40,$AS$5:$AS$49),0),1),"")</f>
        <v/>
      </c>
      <c r="AU41" s="202"/>
      <c r="AV41" s="200" t="str">
        <f t="shared" si="6"/>
        <v/>
      </c>
      <c r="AW41" s="101" t="str">
        <f t="array" ref="AW41">_xlfn.IFNA(INDEX($AV$6:$AV$49,MATCH(0,COUNTIF($AW$4:AW39,$AV$6:$AV$49),0),1),"")</f>
        <v/>
      </c>
      <c r="AX41" s="201" t="str">
        <f t="shared" si="17"/>
        <v/>
      </c>
      <c r="AY41" s="204" t="str">
        <f t="shared" si="7"/>
        <v>Datenintegration</v>
      </c>
      <c r="AZ41" s="101" t="str">
        <f t="array" ref="AZ41">_xlfn.IFNA(INDEX($AY$5:$AY$49,MATCH(0,COUNTIF($AZ$4:AZ40,$AY$5:$AY$49),0),1),"")</f>
        <v/>
      </c>
      <c r="BA41" t="str">
        <f t="shared" si="18"/>
        <v/>
      </c>
      <c r="BB41" s="8" t="str">
        <f t="shared" si="14"/>
        <v/>
      </c>
      <c r="BC41" s="101" t="str">
        <f t="array" ref="BC41">_xlfn.IFNA(INDEX($BB$6:$BB$49,MATCH(0,COUNTIF($BC$4:BC40,$BB$6:$BB$49),0),1),"")</f>
        <v/>
      </c>
      <c r="BD41" t="str">
        <f t="shared" si="19"/>
        <v/>
      </c>
      <c r="BE41" s="209" t="str">
        <f t="shared" si="15"/>
        <v/>
      </c>
      <c r="BF41" s="101" t="str">
        <f t="array" ref="BF41">_xlfn.IFNA(INDEX($BE$5:$BE$49,MATCH(0,COUNTIF($BF$4:BF40,$BE$5:$BE$49),0),1),"")</f>
        <v/>
      </c>
      <c r="BG41" s="201" t="str">
        <f t="shared" si="21"/>
        <v/>
      </c>
      <c r="BI41" s="101" t="str">
        <f t="array" ref="BI41">_xlfn.IFNA(INDEX($F$5:$F$49,MATCH(0,COUNTIF($BI$4:BI40,$F$5:$F$49),0),1),"")</f>
        <v/>
      </c>
      <c r="BJ41" s="206" t="str">
        <f t="shared" si="16"/>
        <v/>
      </c>
      <c r="BO41" s="9"/>
      <c r="BP41" s="372" t="str">
        <f>_xlfn.IFNA(IF(B40&lt;&gt;"",IF(AND(ISBLANK('1.4 Analyse &amp; Synthese'!N42),ISBLANK('1.4 Analyse &amp; Synthese'!O42),ISBLANK('1.4 Analyse &amp; Synthese'!P42)),IF('1.4 Analyse &amp; Synthese'!M42="x",1,0),""),""),"")</f>
        <v/>
      </c>
      <c r="BQ41" s="123" t="str">
        <f>_xlfn.IFNA(IF(B40&lt;&gt;"",IF(AND(ISBLANK('1.4 Analyse &amp; Synthese'!M42),ISBLANK('1.4 Analyse &amp; Synthese'!O42),ISBLANK('1.4 Analyse &amp; Synthese'!P42)),IF('1.4 Analyse &amp; Synthese'!N42="x",1,0),""),""),"")</f>
        <v/>
      </c>
      <c r="BR41" s="123" t="str">
        <f>_xlfn.IFNA(IF(B40&lt;&gt;"",IF(AND(ISBLANK('1.4 Analyse &amp; Synthese'!M42),ISBLANK('1.4 Analyse &amp; Synthese'!N42),ISBLANK('1.4 Analyse &amp; Synthese'!P42)),IF('1.4 Analyse &amp; Synthese'!O42="x",1,0),""),""),"")</f>
        <v/>
      </c>
      <c r="BS41" s="123">
        <f>_xlfn.IFNA(IF(B40&lt;&gt;"",IF(AND('1.4 Analyse &amp; Synthese'!M42="X",'1.4 Analyse &amp; Synthese'!N42="X",'1.4 Analyse &amp; Synthese'!O42="X"),1,0),""),"")</f>
        <v>1</v>
      </c>
      <c r="BT41" s="123">
        <f>_xlfn.IFNA(IF(B40&lt;&gt;"",IF(AND(ISBLANK('1.4 Analyse &amp; Synthese'!M42),ISBLANK('1.4 Analyse &amp; Synthese'!N42),ISBLANK('1.4 Analyse &amp; Synthese'!O42)),1,0),""),"")</f>
        <v>0</v>
      </c>
      <c r="BU41" s="123">
        <f>_xlfn.IFNA(IF(B40&lt;&gt;"",IF(OR(AND('1.4 Analyse &amp; Synthese'!M42="X",'1.4 Analyse &amp; Synthese'!N42="X",'1.4 Analyse &amp; Synthese'!O42=""),AND('1.4 Analyse &amp; Synthese'!M42="X",'1.4 Analyse &amp; Synthese'!N42="",'1.4 Analyse &amp; Synthese'!O42="X"),AND('1.4 Analyse &amp; Synthese'!M42="",'1.4 Analyse &amp; Synthese'!N42="X",'1.4 Analyse &amp; Synthese'!O42="X")),1,0),0),"")</f>
        <v>0</v>
      </c>
      <c r="BV41" s="373" t="str">
        <f>_xlfn.IFNA(IF(B40&lt;&gt;"",IF(AND(ISBLANK('1.4 Analyse &amp; Synthese'!M42),ISBLANK('1.4 Analyse &amp; Synthese'!N42),ISBLANK('1.4 Analyse &amp; Synthese'!O42)),IF('1.4 Analyse &amp; Synthese'!P42="x",1,0),""),""),"")</f>
        <v/>
      </c>
    </row>
    <row r="42" spans="2:74" x14ac:dyDescent="0.2">
      <c r="B42" s="127">
        <f>IF('1.4 Analyse &amp; Synthese'!B44&lt;&gt;0,'1.4 Analyse &amp; Synthese'!B44,"")</f>
        <v>38</v>
      </c>
      <c r="C42" t="str">
        <f>_xlfn.IFNA(IF(B42&lt;&gt;0,VLOOKUP($B42,Tabelle3[[1]:[3]],2)),"")</f>
        <v xml:space="preserve">Vukovic </v>
      </c>
      <c r="D42">
        <f>_xlfn.IFNA(IF(B42&lt;&gt;0,VLOOKUP($B42,Tabelle3[[1]:[3]],3)),"")</f>
        <v>2016</v>
      </c>
      <c r="E42" t="str">
        <f>_xlfn.IFNA(IF(B42&lt;&gt;0,VLOOKUP($B42,Tabelle3[[1]:[4]],4)),"")</f>
        <v>Ecosystem (A)</v>
      </c>
      <c r="F42" t="str">
        <f>_xlfn.IFNA(IF(B42&lt;&gt;0,VLOOKUP($B42,Tabelle3[[1]:[5]],5)),"")</f>
        <v>Werkzeug</v>
      </c>
      <c r="G42" s="101" t="str">
        <f>_xlfn.IFNA(IF(B42&lt;&gt;0,VLOOKUP($B42,Tabelle3[[1]:[Aggregator/Integrator]],10)),"")</f>
        <v>x</v>
      </c>
      <c r="H42" s="101">
        <f>_xlfn.IFNA(IF(B42&lt;&gt;0,VLOOKUP($B42,Tabelle3[[1]:[ITSVN Akteure]],11)),"")</f>
        <v>0</v>
      </c>
      <c r="I42" s="101" t="str">
        <f>_xlfn.IFNA(IF(B42&lt;&gt;0,VLOOKUP($B42,Tabelle3[[1]:[IaaS]],12)),"")</f>
        <v>x</v>
      </c>
      <c r="J42" s="101" t="str">
        <f>_xlfn.IFNA(IF(B42&lt;&gt;0,VLOOKUP($B42,Tabelle3[[1]:[PaaS]],13)),"")</f>
        <v>x</v>
      </c>
      <c r="K42" s="101" t="str">
        <f>_xlfn.IFNA(IF(B42&lt;&gt;0,VLOOKUP($B42,Tabelle3[[1]:[SaaS]],14)),"")</f>
        <v>x</v>
      </c>
      <c r="L42" s="101">
        <f>_xlfn.IFNA(IF(B42&lt;&gt;0,VLOOKUP($B42,Tabelle3[[1]:[DaaS]],15)),"")</f>
        <v>0</v>
      </c>
      <c r="M42" s="117">
        <f>IF(B42&lt;&gt;0,COUNTIF('1.4 Analyse &amp; Synthese'!Q44:AJ44,1))</f>
        <v>2</v>
      </c>
      <c r="N42" s="101">
        <f>IF(B42&lt;&gt;0,COUNTIF('1.4 Analyse &amp; Synthese'!Q44:AJ44,3))</f>
        <v>1</v>
      </c>
      <c r="O42" s="101" t="str">
        <f t="array" ref="O42">_xlfn.IFNA(INDEX($D$5:$D$49,MATCH(0,COUNTIF($O$4:O41,$D$5:$D$49),0),1),"")</f>
        <v/>
      </c>
      <c r="P42" s="101" t="str">
        <f t="shared" si="0"/>
        <v/>
      </c>
      <c r="Q42" s="101" t="str">
        <f t="shared" si="1"/>
        <v/>
      </c>
      <c r="R42" s="128" t="str">
        <f>_xlfn.IFNA(IF(VLOOKUP(B42,Tabelle4[#All],2,FALSE)="x",VLOOKUP(B42,'1.4 Analyse &amp; Synthese'!$B$7:$G$47,6,FALSE),""),"")</f>
        <v>Kompatibilität</v>
      </c>
      <c r="S42" s="101" t="str">
        <f t="array" ref="S42">_xlfn.IFNA(INDEX($R$5:$R$49,MATCH(0,COUNTIF($S$4:S41,$R$5:$R$49),0),1),"")</f>
        <v/>
      </c>
      <c r="T42" s="101" t="str">
        <f t="shared" si="2"/>
        <v/>
      </c>
      <c r="U42" s="9" t="str">
        <f>_xlfn.IFNA(IF(VLOOKUP(B42,Tabelle4[#All],2,FALSE)="x",VLOOKUP(B42,'1.4 Analyse &amp; Synthese'!$B$7:$I$47,8,FALSE),""),"")</f>
        <v>Atificial Intelligence</v>
      </c>
      <c r="V42" s="122" t="str">
        <f t="array" ref="V42">_xlfn.IFNA(INDEX($U$5:$U$49,MATCH(0,COUNTIF($V$5:V41,$U$5:$U$49),0),1),"")</f>
        <v/>
      </c>
      <c r="W42" t="str">
        <f t="shared" si="9"/>
        <v/>
      </c>
      <c r="X42" t="str">
        <f t="shared" si="10"/>
        <v/>
      </c>
      <c r="Y42" t="str">
        <f t="shared" si="11"/>
        <v/>
      </c>
      <c r="Z42" t="str">
        <f t="shared" si="23"/>
        <v/>
      </c>
      <c r="AA42" t="str">
        <f t="shared" si="13"/>
        <v/>
      </c>
      <c r="AI42" s="114" t="str">
        <f>_xlfn.IFNA(IF(VLOOKUP(B42,Tabelle4[#All],2,FALSE)="x",VLOOKUP(B42,Tabelle4[#All],6,FALSE),""),"")</f>
        <v>Journal</v>
      </c>
      <c r="AJ42" s="101" t="str">
        <f t="array" ref="AJ42">_xlfn.IFNA(INDEX($AI$5:$AI$49,MATCH(0,COUNTIF($AJ$4:AJ41,$AI$5:$AI$49),0),1),"")</f>
        <v/>
      </c>
      <c r="AK42" s="101" t="str">
        <f t="shared" si="3"/>
        <v/>
      </c>
      <c r="AL42" s="117" t="str">
        <f t="array" ref="AL42">_xlfn.IFNA(INDEX($E$5:$E$49,MATCH(0,COUNTIF($AL$4:AL41,$E$5:$E$49),0),1),"")</f>
        <v/>
      </c>
      <c r="AM42" t="str">
        <f t="shared" si="4"/>
        <v/>
      </c>
      <c r="AN42" s="9"/>
      <c r="AS42" t="str">
        <f t="shared" si="5"/>
        <v/>
      </c>
      <c r="AT42" s="198" t="str">
        <f t="array" ref="AT42">_xlfn.IFNA(INDEX($AS$5:$AS$49,MATCH(0,COUNTIF($AT$4:AT41,$AS$5:$AS$49),0),1),"")</f>
        <v/>
      </c>
      <c r="AU42" s="202"/>
      <c r="AV42" s="200" t="str">
        <f t="shared" si="6"/>
        <v>Atificial Intelligence</v>
      </c>
      <c r="AW42" s="101" t="str">
        <f t="array" ref="AW42">_xlfn.IFNA(INDEX($AV$6:$AV$49,MATCH(0,COUNTIF($AW$4:AW40,$AV$6:$AV$49),0),1),"")</f>
        <v/>
      </c>
      <c r="AX42" s="201" t="str">
        <f t="shared" si="17"/>
        <v/>
      </c>
      <c r="AY42" s="204" t="str">
        <f t="shared" si="7"/>
        <v/>
      </c>
      <c r="AZ42" s="101" t="str">
        <f t="array" ref="AZ42">_xlfn.IFNA(INDEX($AY$5:$AY$49,MATCH(0,COUNTIF($AZ$4:AZ41,$AY$5:$AY$49),0),1),"")</f>
        <v/>
      </c>
      <c r="BA42" t="str">
        <f t="shared" si="18"/>
        <v/>
      </c>
      <c r="BB42" s="8" t="str">
        <f t="shared" si="14"/>
        <v/>
      </c>
      <c r="BC42" s="101" t="str">
        <f t="array" ref="BC42">_xlfn.IFNA(INDEX($BB$6:$BB$49,MATCH(0,COUNTIF($BC$4:BC41,$BB$6:$BB$49),0),1),"")</f>
        <v/>
      </c>
      <c r="BD42" t="str">
        <f t="shared" si="19"/>
        <v/>
      </c>
      <c r="BE42" s="209" t="str">
        <f t="shared" si="15"/>
        <v/>
      </c>
      <c r="BF42" s="101" t="str">
        <f t="array" ref="BF42">_xlfn.IFNA(INDEX($BE$5:$BE$49,MATCH(0,COUNTIF($BF$4:BF41,$BE$5:$BE$49),0),1),"")</f>
        <v/>
      </c>
      <c r="BG42" s="201" t="str">
        <f t="shared" si="21"/>
        <v/>
      </c>
      <c r="BI42" s="101" t="str">
        <f t="array" ref="BI42">_xlfn.IFNA(INDEX($F$5:$F$49,MATCH(0,COUNTIF($BI$4:BI41,$F$5:$F$49),0),1),"")</f>
        <v/>
      </c>
      <c r="BJ42" s="206" t="str">
        <f t="shared" si="16"/>
        <v/>
      </c>
      <c r="BO42" s="9"/>
      <c r="BP42" s="372">
        <f>_xlfn.IFNA(IF(B41&lt;&gt;"",IF(AND(ISBLANK('1.4 Analyse &amp; Synthese'!N43),ISBLANK('1.4 Analyse &amp; Synthese'!O43),ISBLANK('1.4 Analyse &amp; Synthese'!P43)),IF('1.4 Analyse &amp; Synthese'!M43="x",1,0),""),""),"")</f>
        <v>1</v>
      </c>
      <c r="BQ42" s="123" t="str">
        <f>_xlfn.IFNA(IF(B41&lt;&gt;"",IF(AND(ISBLANK('1.4 Analyse &amp; Synthese'!M43),ISBLANK('1.4 Analyse &amp; Synthese'!O43),ISBLANK('1.4 Analyse &amp; Synthese'!P43)),IF('1.4 Analyse &amp; Synthese'!N43="x",1,0),""),""),"")</f>
        <v/>
      </c>
      <c r="BR42" s="123" t="str">
        <f>_xlfn.IFNA(IF(B41&lt;&gt;"",IF(AND(ISBLANK('1.4 Analyse &amp; Synthese'!M43),ISBLANK('1.4 Analyse &amp; Synthese'!N43),ISBLANK('1.4 Analyse &amp; Synthese'!P43)),IF('1.4 Analyse &amp; Synthese'!O43="x",1,0),""),""),"")</f>
        <v/>
      </c>
      <c r="BS42" s="123">
        <f>_xlfn.IFNA(IF(B41&lt;&gt;"",IF(AND('1.4 Analyse &amp; Synthese'!M43="X",'1.4 Analyse &amp; Synthese'!N43="X",'1.4 Analyse &amp; Synthese'!O43="X"),1,0),""),"")</f>
        <v>0</v>
      </c>
      <c r="BT42" s="123">
        <f>_xlfn.IFNA(IF(B41&lt;&gt;"",IF(AND(ISBLANK('1.4 Analyse &amp; Synthese'!M43),ISBLANK('1.4 Analyse &amp; Synthese'!N43),ISBLANK('1.4 Analyse &amp; Synthese'!O43)),1,0),""),"")</f>
        <v>0</v>
      </c>
      <c r="BU42" s="123">
        <f>_xlfn.IFNA(IF(B41&lt;&gt;"",IF(OR(AND('1.4 Analyse &amp; Synthese'!M43="X",'1.4 Analyse &amp; Synthese'!N43="X",'1.4 Analyse &amp; Synthese'!O43=""),AND('1.4 Analyse &amp; Synthese'!M43="X",'1.4 Analyse &amp; Synthese'!N43="",'1.4 Analyse &amp; Synthese'!O43="X"),AND('1.4 Analyse &amp; Synthese'!M43="",'1.4 Analyse &amp; Synthese'!N43="X",'1.4 Analyse &amp; Synthese'!O43="X")),1,0),0),"")</f>
        <v>0</v>
      </c>
      <c r="BV42" s="373" t="str">
        <f>_xlfn.IFNA(IF(B41&lt;&gt;"",IF(AND(ISBLANK('1.4 Analyse &amp; Synthese'!M43),ISBLANK('1.4 Analyse &amp; Synthese'!N43),ISBLANK('1.4 Analyse &amp; Synthese'!O43)),IF('1.4 Analyse &amp; Synthese'!P43="x",1,0),""),""),"")</f>
        <v/>
      </c>
    </row>
    <row r="43" spans="2:74" x14ac:dyDescent="0.2">
      <c r="B43" s="127">
        <f>IF('1.4 Analyse &amp; Synthese'!B45&lt;&gt;0,'1.4 Analyse &amp; Synthese'!B45,"")</f>
        <v>39</v>
      </c>
      <c r="C43" t="str">
        <f>_xlfn.IFNA(IF(B43&lt;&gt;0,VLOOKUP($B43,Tabelle3[[1]:[3]],2)),"")</f>
        <v>Xia</v>
      </c>
      <c r="D43">
        <f>_xlfn.IFNA(IF(B43&lt;&gt;0,VLOOKUP($B43,Tabelle3[[1]:[3]],3)),"")</f>
        <v>2014</v>
      </c>
      <c r="E43" t="str">
        <f>_xlfn.IFNA(IF(B43&lt;&gt;0,VLOOKUP($B43,Tabelle3[[1]:[4]],4)),"")</f>
        <v>Support process (A)</v>
      </c>
      <c r="F43" t="str">
        <f>_xlfn.IFNA(IF(B43&lt;&gt;0,VLOOKUP($B43,Tabelle3[[1]:[5]],5)),"")</f>
        <v>Werkzeug</v>
      </c>
      <c r="G43" s="101" t="str">
        <f>_xlfn.IFNA(IF(B43&lt;&gt;0,VLOOKUP($B43,Tabelle3[[1]:[Aggregator/Integrator]],10)),"")</f>
        <v>x</v>
      </c>
      <c r="H43" s="101">
        <f>_xlfn.IFNA(IF(B43&lt;&gt;0,VLOOKUP($B43,Tabelle3[[1]:[ITSVN Akteure]],11)),"")</f>
        <v>0</v>
      </c>
      <c r="I43" s="101">
        <f>_xlfn.IFNA(IF(B43&lt;&gt;0,VLOOKUP($B43,Tabelle3[[1]:[IaaS]],12)),"")</f>
        <v>0</v>
      </c>
      <c r="J43" s="101">
        <f>_xlfn.IFNA(IF(B43&lt;&gt;0,VLOOKUP($B43,Tabelle3[[1]:[PaaS]],13)),"")</f>
        <v>0</v>
      </c>
      <c r="K43" s="101" t="str">
        <f>_xlfn.IFNA(IF(B43&lt;&gt;0,VLOOKUP($B43,Tabelle3[[1]:[SaaS]],14)),"")</f>
        <v>x</v>
      </c>
      <c r="L43" s="101">
        <f>_xlfn.IFNA(IF(B43&lt;&gt;0,VLOOKUP($B43,Tabelle3[[1]:[DaaS]],15)),"")</f>
        <v>0</v>
      </c>
      <c r="M43" s="117">
        <f>IF(B43&lt;&gt;0,COUNTIF('1.4 Analyse &amp; Synthese'!Q45:AJ45,1))</f>
        <v>4</v>
      </c>
      <c r="N43" s="101">
        <f>IF(B43&lt;&gt;0,COUNTIF('1.4 Analyse &amp; Synthese'!Q45:AJ45,3))</f>
        <v>0</v>
      </c>
      <c r="O43" s="101" t="str">
        <f t="array" ref="O43">_xlfn.IFNA(INDEX($D$5:$D$49,MATCH(0,COUNTIF($O$4:O42,$D$5:$D$49),0),1),"")</f>
        <v/>
      </c>
      <c r="P43" s="101" t="str">
        <f t="shared" si="0"/>
        <v/>
      </c>
      <c r="Q43" s="101" t="str">
        <f t="shared" si="1"/>
        <v/>
      </c>
      <c r="R43" s="128" t="str">
        <f>_xlfn.IFNA(IF(VLOOKUP(B43,Tabelle4[#All],2,FALSE)="x",VLOOKUP(B43,'1.4 Analyse &amp; Synthese'!$B$7:$G$47,6,FALSE),""),"")</f>
        <v>Kompatibilität</v>
      </c>
      <c r="S43" s="101" t="str">
        <f t="array" ref="S43">_xlfn.IFNA(INDEX($R$5:$R$49,MATCH(0,COUNTIF($S$4:S42,$R$5:$R$49),0),1),"")</f>
        <v/>
      </c>
      <c r="T43" s="101" t="str">
        <f t="shared" si="2"/>
        <v/>
      </c>
      <c r="U43" s="9" t="str">
        <f>_xlfn.IFNA(IF(VLOOKUP(B43,Tabelle4[#All],2,FALSE)="x",VLOOKUP(B43,'1.4 Analyse &amp; Synthese'!$B$7:$I$47,8,FALSE),""),"")</f>
        <v>Collaboration SaaS</v>
      </c>
      <c r="V43" s="122" t="str">
        <f t="array" ref="V43">_xlfn.IFNA(INDEX($U$5:$U$49,MATCH(0,COUNTIF($V$5:V42,$U$5:$U$49),0),1),"")</f>
        <v/>
      </c>
      <c r="W43" t="str">
        <f t="shared" si="9"/>
        <v/>
      </c>
      <c r="X43" t="str">
        <f t="shared" si="10"/>
        <v/>
      </c>
      <c r="Y43" t="str">
        <f t="shared" si="11"/>
        <v/>
      </c>
      <c r="Z43" t="str">
        <f t="shared" si="23"/>
        <v/>
      </c>
      <c r="AA43" t="str">
        <f t="shared" si="13"/>
        <v/>
      </c>
      <c r="AI43" s="114" t="str">
        <f>_xlfn.IFNA(IF(VLOOKUP(B43,Tabelle4[#All],2,FALSE)="x",VLOOKUP(B43,Tabelle4[#All],6,FALSE),""),"")</f>
        <v>Journal</v>
      </c>
      <c r="AJ43" s="101" t="str">
        <f t="array" ref="AJ43">_xlfn.IFNA(INDEX($AI$5:$AI$49,MATCH(0,COUNTIF($AJ$4:AJ42,$AI$5:$AI$49),0),1),"")</f>
        <v/>
      </c>
      <c r="AK43" s="101" t="str">
        <f t="shared" si="3"/>
        <v/>
      </c>
      <c r="AL43" s="117" t="str">
        <f t="array" ref="AL43">_xlfn.IFNA(INDEX($E$5:$E$49,MATCH(0,COUNTIF($AL$4:AL42,$E$5:$E$49),0),1),"")</f>
        <v/>
      </c>
      <c r="AM43" t="str">
        <f t="shared" si="4"/>
        <v/>
      </c>
      <c r="AS43" t="str">
        <f t="shared" ref="AS43:AS49" si="24">IF($AT$5=R41,U41,"")</f>
        <v/>
      </c>
      <c r="AT43" s="198" t="str">
        <f t="array" ref="AT43">_xlfn.IFNA(INDEX($AS$5:$AS$49,MATCH(0,COUNTIF($AT$4:AT42,$AS$5:$AS$49),0),1),"")</f>
        <v/>
      </c>
      <c r="AV43" s="200" t="str">
        <f t="shared" si="6"/>
        <v>Collaboration SaaS</v>
      </c>
      <c r="AW43" s="101" t="str">
        <f t="array" ref="AW43">_xlfn.IFNA(INDEX($AV$6:$AV$49,MATCH(0,COUNTIF($AW$4:AW41,$AV$6:$AV$49),0),1),"")</f>
        <v/>
      </c>
      <c r="AX43" s="201" t="str">
        <f t="shared" si="17"/>
        <v/>
      </c>
      <c r="AY43" s="204" t="str">
        <f t="shared" si="7"/>
        <v/>
      </c>
      <c r="AZ43" s="101" t="str">
        <f t="array" ref="AZ43">_xlfn.IFNA(INDEX($AY$5:$AY$49,MATCH(0,COUNTIF($AZ$4:AZ42,$AY$5:$AY$49),0),1),"")</f>
        <v/>
      </c>
      <c r="BA43" t="str">
        <f t="shared" si="18"/>
        <v/>
      </c>
      <c r="BB43" s="8" t="str">
        <f t="shared" si="14"/>
        <v/>
      </c>
      <c r="BC43" s="101" t="str">
        <f t="array" ref="BC43">_xlfn.IFNA(INDEX($BB$6:$BB$49,MATCH(0,COUNTIF($BC$4:BC42,$BB$6:$BB$49),0),1),"")</f>
        <v/>
      </c>
      <c r="BD43" t="str">
        <f t="shared" si="19"/>
        <v/>
      </c>
      <c r="BE43" s="209" t="str">
        <f t="shared" ref="BE43:BE49" si="25">IF($BF$5=R43,U43,"")</f>
        <v/>
      </c>
      <c r="BF43" s="101" t="str">
        <f t="array" ref="BF43">_xlfn.IFNA(INDEX($BE$5:$BE$49,MATCH(0,COUNTIF($BF$4:BF42,$BE$5:$BE$49),0),1),"")</f>
        <v/>
      </c>
      <c r="BG43" s="201" t="str">
        <f t="shared" si="21"/>
        <v/>
      </c>
      <c r="BI43" s="101" t="str">
        <f t="array" ref="BI43">_xlfn.IFNA(INDEX($F$5:$F$49,MATCH(0,COUNTIF($BI$4:BI42,$F$5:$F$49),0),1),"")</f>
        <v/>
      </c>
      <c r="BJ43" s="206" t="str">
        <f t="shared" si="16"/>
        <v/>
      </c>
      <c r="BO43" s="9"/>
      <c r="BP43" s="372" t="str">
        <f>_xlfn.IFNA(IF(B42&lt;&gt;"",IF(AND(ISBLANK('1.4 Analyse &amp; Synthese'!N44),ISBLANK('1.4 Analyse &amp; Synthese'!O44),ISBLANK('1.4 Analyse &amp; Synthese'!P44)),IF('1.4 Analyse &amp; Synthese'!M44="x",1,0),""),""),"")</f>
        <v/>
      </c>
      <c r="BQ43" s="123" t="str">
        <f>_xlfn.IFNA(IF(B42&lt;&gt;"",IF(AND(ISBLANK('1.4 Analyse &amp; Synthese'!M44),ISBLANK('1.4 Analyse &amp; Synthese'!O44),ISBLANK('1.4 Analyse &amp; Synthese'!P44)),IF('1.4 Analyse &amp; Synthese'!N44="x",1,0),""),""),"")</f>
        <v/>
      </c>
      <c r="BR43" s="123" t="str">
        <f>_xlfn.IFNA(IF(B42&lt;&gt;"",IF(AND(ISBLANK('1.4 Analyse &amp; Synthese'!M44),ISBLANK('1.4 Analyse &amp; Synthese'!N44),ISBLANK('1.4 Analyse &amp; Synthese'!P44)),IF('1.4 Analyse &amp; Synthese'!O44="x",1,0),""),""),"")</f>
        <v/>
      </c>
      <c r="BS43" s="123">
        <f>_xlfn.IFNA(IF(B42&lt;&gt;"",IF(AND('1.4 Analyse &amp; Synthese'!M44="X",'1.4 Analyse &amp; Synthese'!N44="X",'1.4 Analyse &amp; Synthese'!O44="X"),1,0),""),"")</f>
        <v>1</v>
      </c>
      <c r="BT43" s="123">
        <f>_xlfn.IFNA(IF(B42&lt;&gt;"",IF(AND(ISBLANK('1.4 Analyse &amp; Synthese'!M44),ISBLANK('1.4 Analyse &amp; Synthese'!N44),ISBLANK('1.4 Analyse &amp; Synthese'!O44)),1,0),""),"")</f>
        <v>0</v>
      </c>
      <c r="BU43" s="123">
        <f>_xlfn.IFNA(IF(B42&lt;&gt;"",IF(OR(AND('1.4 Analyse &amp; Synthese'!M44="X",'1.4 Analyse &amp; Synthese'!N44="X",'1.4 Analyse &amp; Synthese'!O44=""),AND('1.4 Analyse &amp; Synthese'!M44="X",'1.4 Analyse &amp; Synthese'!N44="",'1.4 Analyse &amp; Synthese'!O44="X"),AND('1.4 Analyse &amp; Synthese'!M44="",'1.4 Analyse &amp; Synthese'!N44="X",'1.4 Analyse &amp; Synthese'!O44="X")),1,0),0),"")</f>
        <v>0</v>
      </c>
      <c r="BV43" s="373" t="str">
        <f>_xlfn.IFNA(IF(B42&lt;&gt;"",IF(AND(ISBLANK('1.4 Analyse &amp; Synthese'!M44),ISBLANK('1.4 Analyse &amp; Synthese'!N44),ISBLANK('1.4 Analyse &amp; Synthese'!O44)),IF('1.4 Analyse &amp; Synthese'!P44="x",1,0),""),""),"")</f>
        <v/>
      </c>
    </row>
    <row r="44" spans="2:74" x14ac:dyDescent="0.2">
      <c r="B44" s="127">
        <f>IF('1.4 Analyse &amp; Synthese'!B46&lt;&gt;0,'1.4 Analyse &amp; Synthese'!B46,"")</f>
        <v>40</v>
      </c>
      <c r="C44" t="str">
        <f>_xlfn.IFNA(IF(B44&lt;&gt;0,VLOOKUP($B44,Tabelle3[[1]:[3]],2)),"")</f>
        <v>Yangui</v>
      </c>
      <c r="D44">
        <f>_xlfn.IFNA(IF(B44&lt;&gt;0,VLOOKUP($B44,Tabelle3[[1]:[3]],3)),"")</f>
        <v>2013</v>
      </c>
      <c r="E44" t="str">
        <f>_xlfn.IFNA(IF(B44&lt;&gt;0,VLOOKUP($B44,Tabelle3[[1]:[4]],4)),"")</f>
        <v>Interfacing Mechanisms (I)</v>
      </c>
      <c r="F44" t="str">
        <f>_xlfn.IFNA(IF(B44&lt;&gt;0,VLOOKUP($B44,Tabelle3[[1]:[5]],5)),"")</f>
        <v>Werkzeug</v>
      </c>
      <c r="G44" s="101" t="str">
        <f>_xlfn.IFNA(IF(B44&lt;&gt;0,VLOOKUP($B44,Tabelle3[[1]:[Aggregator/Integrator]],10)),"")</f>
        <v>x</v>
      </c>
      <c r="H44" s="101">
        <f>_xlfn.IFNA(IF(B44&lt;&gt;0,VLOOKUP($B44,Tabelle3[[1]:[ITSVN Akteure]],11)),"")</f>
        <v>0</v>
      </c>
      <c r="I44" s="101">
        <f>_xlfn.IFNA(IF(B44&lt;&gt;0,VLOOKUP($B44,Tabelle3[[1]:[IaaS]],12)),"")</f>
        <v>0</v>
      </c>
      <c r="J44" s="101" t="str">
        <f>_xlfn.IFNA(IF(B44&lt;&gt;0,VLOOKUP($B44,Tabelle3[[1]:[PaaS]],13)),"")</f>
        <v>x</v>
      </c>
      <c r="K44" s="101">
        <f>_xlfn.IFNA(IF(B44&lt;&gt;0,VLOOKUP($B44,Tabelle3[[1]:[SaaS]],14)),"")</f>
        <v>0</v>
      </c>
      <c r="L44" s="101">
        <f>_xlfn.IFNA(IF(B44&lt;&gt;0,VLOOKUP($B44,Tabelle3[[1]:[DaaS]],15)),"")</f>
        <v>0</v>
      </c>
      <c r="M44" s="117">
        <f>IF(B44&lt;&gt;0,COUNTIF('1.4 Analyse &amp; Synthese'!Q46:AJ46,1))</f>
        <v>4</v>
      </c>
      <c r="N44" s="101">
        <f>IF(B44&lt;&gt;0,COUNTIF('1.4 Analyse &amp; Synthese'!Q46:AJ46,3))</f>
        <v>4</v>
      </c>
      <c r="O44" s="101" t="str">
        <f t="array" ref="O44">_xlfn.IFNA(INDEX($D$5:$D$49,MATCH(0,COUNTIF($O$4:O43,$D$5:$D$49),0),1),"")</f>
        <v/>
      </c>
      <c r="P44" s="101" t="str">
        <f t="shared" si="0"/>
        <v/>
      </c>
      <c r="Q44" s="101" t="str">
        <f t="shared" si="1"/>
        <v/>
      </c>
      <c r="R44" s="128" t="str">
        <f>_xlfn.IFNA(IF(VLOOKUP(B44,Tabelle4[#All],2,FALSE)="x",VLOOKUP(B44,'1.4 Analyse &amp; Synthese'!$B$7:$G$47,6,FALSE),""),"")</f>
        <v>Kompatibilität</v>
      </c>
      <c r="S44" s="101" t="str">
        <f t="array" ref="S44">_xlfn.IFNA(INDEX($R$5:$R$49,MATCH(0,COUNTIF($S$4:S43,$R$5:$R$49),0),1),"")</f>
        <v/>
      </c>
      <c r="T44" s="101" t="str">
        <f t="shared" si="2"/>
        <v/>
      </c>
      <c r="U44" s="9" t="str">
        <f>_xlfn.IFNA(IF(VLOOKUP(B44,Tabelle4[#All],2,FALSE)="x",VLOOKUP(B44,'1.4 Analyse &amp; Synthese'!$B$7:$I$47,8,FALSE),""),"")</f>
        <v>Open-Source Plattform</v>
      </c>
      <c r="V44" s="122" t="str">
        <f t="array" ref="V44">_xlfn.IFNA(INDEX($U$5:$U$49,MATCH(0,COUNTIF($V$5:V43,$U$5:$U$49),0),1),"")</f>
        <v/>
      </c>
      <c r="W44" t="str">
        <f t="shared" si="9"/>
        <v/>
      </c>
      <c r="X44" t="str">
        <f t="shared" si="10"/>
        <v/>
      </c>
      <c r="Y44" t="str">
        <f t="shared" si="11"/>
        <v/>
      </c>
      <c r="Z44" t="str">
        <f t="shared" si="23"/>
        <v/>
      </c>
      <c r="AA44" t="str">
        <f t="shared" si="13"/>
        <v/>
      </c>
      <c r="AI44" s="114" t="str">
        <f>_xlfn.IFNA(IF(VLOOKUP(B44,Tabelle4[#All],2,FALSE)="x",VLOOKUP(B44,Tabelle4[#All],6,FALSE),""),"")</f>
        <v>Journal</v>
      </c>
      <c r="AJ44" s="101" t="str">
        <f t="array" ref="AJ44">_xlfn.IFNA(INDEX($AI$5:$AI$49,MATCH(0,COUNTIF($AJ$4:AJ43,$AI$5:$AI$49),0),1),"")</f>
        <v/>
      </c>
      <c r="AK44" s="101" t="str">
        <f t="shared" si="3"/>
        <v/>
      </c>
      <c r="AL44" s="117" t="str">
        <f t="array" ref="AL44">_xlfn.IFNA(INDEX($E$5:$E$49,MATCH(0,COUNTIF($AL$4:AL43,$E$5:$E$49),0),1),"")</f>
        <v/>
      </c>
      <c r="AM44" t="str">
        <f t="shared" si="4"/>
        <v/>
      </c>
      <c r="AS44" t="str">
        <f t="shared" si="24"/>
        <v/>
      </c>
      <c r="AT44" s="198" t="str">
        <f t="array" ref="AT44">_xlfn.IFNA(INDEX($AS$5:$AS$49,MATCH(0,COUNTIF($AT$4:AT43,$AS$5:$AS$49),0),1),"")</f>
        <v/>
      </c>
      <c r="AV44" s="200" t="str">
        <f t="shared" si="6"/>
        <v>Open-Source Plattform</v>
      </c>
      <c r="AW44" s="101" t="str">
        <f t="array" ref="AW44">_xlfn.IFNA(INDEX($AV$6:$AV$49,MATCH(0,COUNTIF($AW$4:AW42,$AV$6:$AV$49),0),1),"")</f>
        <v/>
      </c>
      <c r="AX44" s="201" t="str">
        <f t="shared" si="17"/>
        <v/>
      </c>
      <c r="AY44" s="204" t="str">
        <f t="shared" si="7"/>
        <v/>
      </c>
      <c r="AZ44" s="101" t="str">
        <f t="array" ref="AZ44">_xlfn.IFNA(INDEX($AY$5:$AY$49,MATCH(0,COUNTIF($AZ$4:AZ43,$AY$5:$AY$49),0),1),"")</f>
        <v/>
      </c>
      <c r="BA44" t="str">
        <f t="shared" si="18"/>
        <v/>
      </c>
      <c r="BB44" s="8" t="str">
        <f t="shared" si="14"/>
        <v/>
      </c>
      <c r="BC44" s="101" t="str">
        <f t="array" ref="BC44">_xlfn.IFNA(INDEX($BB$6:$BB$49,MATCH(0,COUNTIF($BC$4:BC43,$BB$6:$BB$49),0),1),"")</f>
        <v/>
      </c>
      <c r="BD44" t="str">
        <f t="shared" si="19"/>
        <v/>
      </c>
      <c r="BE44" s="209" t="str">
        <f t="shared" si="25"/>
        <v/>
      </c>
      <c r="BF44" s="101" t="str">
        <f t="array" ref="BF44">_xlfn.IFNA(INDEX($BE$5:$BE$49,MATCH(0,COUNTIF($BF$4:BF43,$BE$5:$BE$49),0),1),"")</f>
        <v/>
      </c>
      <c r="BG44" s="201" t="str">
        <f t="shared" si="21"/>
        <v/>
      </c>
      <c r="BI44" s="101" t="str">
        <f t="array" ref="BI44">_xlfn.IFNA(INDEX($F$5:$F$49,MATCH(0,COUNTIF($BI$4:BI43,$F$5:$F$49),0),1),"")</f>
        <v/>
      </c>
      <c r="BJ44" s="206" t="str">
        <f t="shared" si="16"/>
        <v/>
      </c>
      <c r="BO44" s="9"/>
      <c r="BP44" s="372" t="str">
        <f>_xlfn.IFNA(IF(B43&lt;&gt;"",IF(AND(ISBLANK('1.4 Analyse &amp; Synthese'!N45),ISBLANK('1.4 Analyse &amp; Synthese'!O45),ISBLANK('1.4 Analyse &amp; Synthese'!P45)),IF('1.4 Analyse &amp; Synthese'!M45="x",1,0),""),""),"")</f>
        <v/>
      </c>
      <c r="BQ44" s="123" t="str">
        <f>_xlfn.IFNA(IF(B43&lt;&gt;"",IF(AND(ISBLANK('1.4 Analyse &amp; Synthese'!M45),ISBLANK('1.4 Analyse &amp; Synthese'!O45),ISBLANK('1.4 Analyse &amp; Synthese'!P45)),IF('1.4 Analyse &amp; Synthese'!N45="x",1,0),""),""),"")</f>
        <v/>
      </c>
      <c r="BR44" s="123">
        <f>_xlfn.IFNA(IF(B43&lt;&gt;"",IF(AND(ISBLANK('1.4 Analyse &amp; Synthese'!M45),ISBLANK('1.4 Analyse &amp; Synthese'!N45),ISBLANK('1.4 Analyse &amp; Synthese'!P45)),IF('1.4 Analyse &amp; Synthese'!O45="x",1,0),""),""),"")</f>
        <v>1</v>
      </c>
      <c r="BS44" s="123">
        <f>_xlfn.IFNA(IF(B43&lt;&gt;"",IF(AND('1.4 Analyse &amp; Synthese'!M45="X",'1.4 Analyse &amp; Synthese'!N45="X",'1.4 Analyse &amp; Synthese'!O45="X"),1,0),""),"")</f>
        <v>0</v>
      </c>
      <c r="BT44" s="123">
        <f>_xlfn.IFNA(IF(B43&lt;&gt;"",IF(AND(ISBLANK('1.4 Analyse &amp; Synthese'!M45),ISBLANK('1.4 Analyse &amp; Synthese'!N45),ISBLANK('1.4 Analyse &amp; Synthese'!O45)),1,0),""),"")</f>
        <v>0</v>
      </c>
      <c r="BU44" s="123">
        <f>_xlfn.IFNA(IF(B43&lt;&gt;"",IF(OR(AND('1.4 Analyse &amp; Synthese'!M45="X",'1.4 Analyse &amp; Synthese'!N45="X",'1.4 Analyse &amp; Synthese'!O45=""),AND('1.4 Analyse &amp; Synthese'!M45="X",'1.4 Analyse &amp; Synthese'!N45="",'1.4 Analyse &amp; Synthese'!O45="X"),AND('1.4 Analyse &amp; Synthese'!M45="",'1.4 Analyse &amp; Synthese'!N45="X",'1.4 Analyse &amp; Synthese'!O45="X")),1,0),0),"")</f>
        <v>0</v>
      </c>
      <c r="BV44" s="373" t="str">
        <f>_xlfn.IFNA(IF(B43&lt;&gt;"",IF(AND(ISBLANK('1.4 Analyse &amp; Synthese'!M45),ISBLANK('1.4 Analyse &amp; Synthese'!N45),ISBLANK('1.4 Analyse &amp; Synthese'!O45)),IF('1.4 Analyse &amp; Synthese'!P45="x",1,0),""),""),"")</f>
        <v/>
      </c>
    </row>
    <row r="45" spans="2:74" x14ac:dyDescent="0.2">
      <c r="B45" s="127">
        <f>IF('1.4 Analyse &amp; Synthese'!B47&lt;&gt;0,'1.4 Analyse &amp; Synthese'!B47,"")</f>
        <v>41</v>
      </c>
      <c r="C45" t="str">
        <f>_xlfn.IFNA(IF(B45&lt;&gt;0,VLOOKUP($B45,Tabelle3[[1]:[3]],2)),"")</f>
        <v>Zangara</v>
      </c>
      <c r="D45">
        <f>_xlfn.IFNA(IF(B45&lt;&gt;0,VLOOKUP($B45,Tabelle3[[1]:[3]],3)),"")</f>
        <v>2015</v>
      </c>
      <c r="E45" t="str">
        <f>_xlfn.IFNA(IF(B45&lt;&gt;0,VLOOKUP($B45,Tabelle3[[1]:[4]],4)),"")</f>
        <v>Pricing Policy (A)</v>
      </c>
      <c r="F45" t="str">
        <f>_xlfn.IFNA(IF(B45&lt;&gt;0,VLOOKUP($B45,Tabelle3[[1]:[5]],5)),"")</f>
        <v>Werkzeug</v>
      </c>
      <c r="G45" s="101">
        <f>_xlfn.IFNA(IF(B45&lt;&gt;0,VLOOKUP($B45,Tabelle3[[1]:[Aggregator/Integrator]],10)),"")</f>
        <v>0</v>
      </c>
      <c r="H45" s="101" t="str">
        <f>_xlfn.IFNA(IF(B45&lt;&gt;0,VLOOKUP($B45,Tabelle3[[1]:[ITSVN Akteure]],11)),"")</f>
        <v>x</v>
      </c>
      <c r="I45" s="101" t="str">
        <f>_xlfn.IFNA(IF(B45&lt;&gt;0,VLOOKUP($B45,Tabelle3[[1]:[IaaS]],12)),"")</f>
        <v>x</v>
      </c>
      <c r="J45" s="101" t="str">
        <f>_xlfn.IFNA(IF(B45&lt;&gt;0,VLOOKUP($B45,Tabelle3[[1]:[PaaS]],13)),"")</f>
        <v>x</v>
      </c>
      <c r="K45" s="101">
        <f>_xlfn.IFNA(IF(B45&lt;&gt;0,VLOOKUP($B45,Tabelle3[[1]:[SaaS]],14)),"")</f>
        <v>0</v>
      </c>
      <c r="L45" s="101">
        <f>_xlfn.IFNA(IF(B45&lt;&gt;0,VLOOKUP($B45,Tabelle3[[1]:[DaaS]],15)),"")</f>
        <v>0</v>
      </c>
      <c r="M45" s="117">
        <f>IF(B45&lt;&gt;0,COUNTIF('1.4 Analyse &amp; Synthese'!Q47:AJ47,1))</f>
        <v>5</v>
      </c>
      <c r="N45" s="101">
        <f>IF(B45&lt;&gt;0,COUNTIF('1.4 Analyse &amp; Synthese'!Q47:AJ47,3))</f>
        <v>5</v>
      </c>
      <c r="O45" s="101" t="str">
        <f t="array" ref="O45">_xlfn.IFNA(INDEX($D$5:$D$49,MATCH(0,COUNTIF($O$4:O44,$D$5:$D$49),0),1),"")</f>
        <v/>
      </c>
      <c r="P45" s="101" t="str">
        <f t="shared" si="0"/>
        <v/>
      </c>
      <c r="Q45" s="101" t="str">
        <f t="shared" si="1"/>
        <v/>
      </c>
      <c r="R45" s="128" t="str">
        <f>_xlfn.IFNA(IF(VLOOKUP(B45,Tabelle4[#All],2,FALSE)="x",VLOOKUP(B45,'1.4 Analyse &amp; Synthese'!$B$7:$G$47,6,FALSE),""),"")</f>
        <v>Kompatibilität</v>
      </c>
      <c r="S45" s="101" t="str">
        <f t="array" ref="S45">_xlfn.IFNA(INDEX($R$5:$R$49,MATCH(0,COUNTIF($S$4:S44,$R$5:$R$49),0),1),"")</f>
        <v/>
      </c>
      <c r="T45" s="101" t="str">
        <f t="shared" si="2"/>
        <v/>
      </c>
      <c r="U45" s="9" t="str">
        <f>_xlfn.IFNA(IF(VLOOKUP(B45,Tabelle4[#All],2,FALSE)="x",VLOOKUP(B45,'1.4 Analyse &amp; Synthese'!$B$7:$I$47,8,FALSE),""),"")</f>
        <v>Open-Source Plattform</v>
      </c>
      <c r="V45" s="122" t="str">
        <f t="array" ref="V45">_xlfn.IFNA(INDEX($U$5:$U$49,MATCH(0,COUNTIF($V$5:V44,$U$5:$U$49),0),1),"")</f>
        <v/>
      </c>
      <c r="W45" t="str">
        <f t="shared" si="9"/>
        <v/>
      </c>
      <c r="X45" t="str">
        <f t="shared" si="10"/>
        <v/>
      </c>
      <c r="Y45" t="str">
        <f t="shared" si="11"/>
        <v/>
      </c>
      <c r="Z45" t="str">
        <f t="shared" si="23"/>
        <v/>
      </c>
      <c r="AA45" t="str">
        <f t="shared" si="13"/>
        <v/>
      </c>
      <c r="AI45" s="114" t="str">
        <f>_xlfn.IFNA(IF(VLOOKUP(B45,Tabelle4[#All],2,FALSE)="x",VLOOKUP(B45,Tabelle4[#All],6,FALSE),""),"")</f>
        <v>Journal</v>
      </c>
      <c r="AJ45" s="101" t="str">
        <f t="array" ref="AJ45">_xlfn.IFNA(INDEX($AI$5:$AI$49,MATCH(0,COUNTIF($AJ$4:AJ44,$AI$5:$AI$49),0),1),"")</f>
        <v/>
      </c>
      <c r="AK45" s="101" t="str">
        <f t="shared" si="3"/>
        <v/>
      </c>
      <c r="AL45" s="117" t="str">
        <f t="array" ref="AL45">_xlfn.IFNA(INDEX($E$5:$E$49,MATCH(0,COUNTIF($AL$4:AL44,$E$5:$E$49),0),1),"")</f>
        <v/>
      </c>
      <c r="AM45" t="str">
        <f t="shared" si="4"/>
        <v/>
      </c>
      <c r="AS45" t="str">
        <f t="shared" si="24"/>
        <v/>
      </c>
      <c r="AT45" s="198" t="str">
        <f t="array" ref="AT45">_xlfn.IFNA(INDEX($AS$5:$AS$49,MATCH(0,COUNTIF($AT$4:AT44,$AS$5:$AS$49),0),1),"")</f>
        <v/>
      </c>
      <c r="AV45" s="200" t="str">
        <f t="shared" si="6"/>
        <v>Open-Source Plattform</v>
      </c>
      <c r="AW45" s="101" t="str">
        <f t="array" ref="AW45">_xlfn.IFNA(INDEX($AV$6:$AV$49,MATCH(0,COUNTIF($AW$4:AW43,$AV$6:$AV$49),0),1),"")</f>
        <v/>
      </c>
      <c r="AX45" s="201" t="str">
        <f t="shared" si="17"/>
        <v/>
      </c>
      <c r="AY45" s="204" t="str">
        <f t="shared" si="7"/>
        <v/>
      </c>
      <c r="AZ45" s="101" t="str">
        <f t="array" ref="AZ45">_xlfn.IFNA(INDEX($AY$5:$AY$49,MATCH(0,COUNTIF($AZ$4:AZ44,$AY$5:$AY$49),0),1),"")</f>
        <v/>
      </c>
      <c r="BA45" t="str">
        <f t="shared" si="18"/>
        <v/>
      </c>
      <c r="BB45" s="8" t="str">
        <f t="shared" si="14"/>
        <v/>
      </c>
      <c r="BC45" s="101" t="str">
        <f t="array" ref="BC45">_xlfn.IFNA(INDEX($BB$6:$BB$49,MATCH(0,COUNTIF($BC$4:BC44,$BB$6:$BB$49),0),1),"")</f>
        <v/>
      </c>
      <c r="BD45" t="str">
        <f t="shared" si="19"/>
        <v/>
      </c>
      <c r="BE45" s="209" t="str">
        <f t="shared" si="25"/>
        <v/>
      </c>
      <c r="BF45" s="101" t="str">
        <f t="array" ref="BF45">_xlfn.IFNA(INDEX($BE$5:$BE$49,MATCH(0,COUNTIF($BF$4:BF44,$BE$5:$BE$49),0),1),"")</f>
        <v/>
      </c>
      <c r="BG45" s="201" t="str">
        <f t="shared" si="21"/>
        <v/>
      </c>
      <c r="BI45" s="101" t="str">
        <f t="array" ref="BI45">_xlfn.IFNA(INDEX($F$5:$F$49,MATCH(0,COUNTIF($BI$4:BI44,$F$5:$F$49),0),1),"")</f>
        <v/>
      </c>
      <c r="BJ45" s="206" t="str">
        <f t="shared" si="16"/>
        <v/>
      </c>
      <c r="BO45" s="9"/>
      <c r="BP45" s="372" t="str">
        <f>_xlfn.IFNA(IF(B44&lt;&gt;"",IF(AND(ISBLANK('1.4 Analyse &amp; Synthese'!N46),ISBLANK('1.4 Analyse &amp; Synthese'!O46),ISBLANK('1.4 Analyse &amp; Synthese'!P46)),IF('1.4 Analyse &amp; Synthese'!M46="x",1,0),""),""),"")</f>
        <v/>
      </c>
      <c r="BQ45" s="123">
        <f>_xlfn.IFNA(IF(B44&lt;&gt;"",IF(AND(ISBLANK('1.4 Analyse &amp; Synthese'!M46),ISBLANK('1.4 Analyse &amp; Synthese'!O46),ISBLANK('1.4 Analyse &amp; Synthese'!P46)),IF('1.4 Analyse &amp; Synthese'!N46="x",1,0),""),""),"")</f>
        <v>1</v>
      </c>
      <c r="BR45" s="123" t="str">
        <f>_xlfn.IFNA(IF(B44&lt;&gt;"",IF(AND(ISBLANK('1.4 Analyse &amp; Synthese'!M46),ISBLANK('1.4 Analyse &amp; Synthese'!N46),ISBLANK('1.4 Analyse &amp; Synthese'!P46)),IF('1.4 Analyse &amp; Synthese'!O46="x",1,0),""),""),"")</f>
        <v/>
      </c>
      <c r="BS45" s="123">
        <f>_xlfn.IFNA(IF(B44&lt;&gt;"",IF(AND('1.4 Analyse &amp; Synthese'!M46="X",'1.4 Analyse &amp; Synthese'!N46="X",'1.4 Analyse &amp; Synthese'!O46="X"),1,0),""),"")</f>
        <v>0</v>
      </c>
      <c r="BT45" s="123">
        <f>_xlfn.IFNA(IF(B44&lt;&gt;"",IF(AND(ISBLANK('1.4 Analyse &amp; Synthese'!M46),ISBLANK('1.4 Analyse &amp; Synthese'!N46),ISBLANK('1.4 Analyse &amp; Synthese'!O46)),1,0),""),"")</f>
        <v>0</v>
      </c>
      <c r="BU45" s="123">
        <f>_xlfn.IFNA(IF(B44&lt;&gt;"",IF(OR(AND('1.4 Analyse &amp; Synthese'!M46="X",'1.4 Analyse &amp; Synthese'!N46="X",'1.4 Analyse &amp; Synthese'!O46=""),AND('1.4 Analyse &amp; Synthese'!M46="X",'1.4 Analyse &amp; Synthese'!N46="",'1.4 Analyse &amp; Synthese'!O46="X"),AND('1.4 Analyse &amp; Synthese'!M46="",'1.4 Analyse &amp; Synthese'!N46="X",'1.4 Analyse &amp; Synthese'!O46="X")),1,0),0),"")</f>
        <v>0</v>
      </c>
      <c r="BV45" s="373" t="str">
        <f>_xlfn.IFNA(IF(B44&lt;&gt;"",IF(AND(ISBLANK('1.4 Analyse &amp; Synthese'!M46),ISBLANK('1.4 Analyse &amp; Synthese'!N46),ISBLANK('1.4 Analyse &amp; Synthese'!O46)),IF('1.4 Analyse &amp; Synthese'!P46="x",1,0),""),""),"")</f>
        <v/>
      </c>
    </row>
    <row r="46" spans="2:74" x14ac:dyDescent="0.2">
      <c r="B46" s="127" t="str">
        <f>IF('1.4 Analyse &amp; Synthese'!B48&lt;&gt;0,'1.4 Analyse &amp; Synthese'!B48,"")</f>
        <v/>
      </c>
      <c r="C46" t="str">
        <f>_xlfn.IFNA(IF(B46&lt;&gt;0,VLOOKUP($B46,Tabelle3[[1]:[3]],2)),"")</f>
        <v/>
      </c>
      <c r="D46" t="str">
        <f>_xlfn.IFNA(IF(B46&lt;&gt;0,VLOOKUP($B46,Tabelle3[[1]:[3]],3)),"")</f>
        <v/>
      </c>
      <c r="E46" t="str">
        <f>_xlfn.IFNA(IF(B46&lt;&gt;0,VLOOKUP($B46,Tabelle3[[1]:[4]],4)),"")</f>
        <v/>
      </c>
      <c r="F46" t="str">
        <f>_xlfn.IFNA(IF(B46&lt;&gt;0,VLOOKUP($B46,Tabelle3[[1]:[5]],5)),"")</f>
        <v/>
      </c>
      <c r="G46" s="101" t="str">
        <f>_xlfn.IFNA(IF(B46&lt;&gt;0,VLOOKUP($B46,Tabelle3[[1]:[Aggregator/Integrator]],10)),"")</f>
        <v/>
      </c>
      <c r="H46" s="101" t="str">
        <f>_xlfn.IFNA(IF(B46&lt;&gt;0,VLOOKUP($B46,Tabelle3[[1]:[ITSVN Akteure]],11)),"")</f>
        <v/>
      </c>
      <c r="I46" s="101" t="str">
        <f>_xlfn.IFNA(IF(B46&lt;&gt;0,VLOOKUP($B46,Tabelle3[[1]:[IaaS]],12)),"")</f>
        <v/>
      </c>
      <c r="J46" s="101" t="str">
        <f>_xlfn.IFNA(IF(B46&lt;&gt;0,VLOOKUP($B46,Tabelle3[[1]:[PaaS]],13)),"")</f>
        <v/>
      </c>
      <c r="K46" s="101" t="str">
        <f>_xlfn.IFNA(IF(B46&lt;&gt;0,VLOOKUP($B46,Tabelle3[[1]:[SaaS]],14)),"")</f>
        <v/>
      </c>
      <c r="L46" s="101" t="str">
        <f>_xlfn.IFNA(IF(B46&lt;&gt;0,VLOOKUP($B46,Tabelle3[[1]:[DaaS]],15)),"")</f>
        <v/>
      </c>
      <c r="M46" s="117">
        <f>IF(B46&lt;&gt;0,COUNTIF('1.4 Analyse &amp; Synthese'!Q48:AJ48,1))</f>
        <v>0</v>
      </c>
      <c r="N46" s="101">
        <f>IF(B46&lt;&gt;0,COUNTIF('1.4 Analyse &amp; Synthese'!Q48:AJ48,3))</f>
        <v>0</v>
      </c>
      <c r="O46" s="101" t="str">
        <f t="array" ref="O46">_xlfn.IFNA(INDEX($D$5:$D$49,MATCH(0,COUNTIF($O$4:O45,$D$5:$D$49),0),1),"")</f>
        <v/>
      </c>
      <c r="P46" s="101" t="str">
        <f t="shared" si="0"/>
        <v/>
      </c>
      <c r="Q46" s="101" t="str">
        <f t="shared" si="1"/>
        <v/>
      </c>
      <c r="R46" s="128" t="str">
        <f>_xlfn.IFNA(IF(VLOOKUP(B46,Tabelle4[#All],2,FALSE)="x",VLOOKUP(B46,'1.4 Analyse &amp; Synthese'!$B$7:$G$47,6,FALSE),""),"")</f>
        <v/>
      </c>
      <c r="S46" s="101" t="str">
        <f t="array" ref="S46">_xlfn.IFNA(INDEX($R$5:$R$49,MATCH(0,COUNTIF($S$4:S45,$R$5:$R$49),0),1),"")</f>
        <v/>
      </c>
      <c r="T46" s="101" t="str">
        <f t="shared" si="2"/>
        <v/>
      </c>
      <c r="U46" s="9" t="str">
        <f>_xlfn.IFNA(IF(VLOOKUP(B46,Tabelle4[#All],2,FALSE)="x",VLOOKUP(B46,'1.4 Analyse &amp; Synthese'!$B$7:$I$47,8,FALSE),""),"")</f>
        <v/>
      </c>
      <c r="V46" s="122" t="str">
        <f t="array" ref="V46">_xlfn.IFNA(INDEX($U$5:$U$49,MATCH(0,COUNTIF($V$5:V45,$U$5:$U$49),0),1),"")</f>
        <v/>
      </c>
      <c r="W46" t="str">
        <f t="shared" si="9"/>
        <v/>
      </c>
      <c r="X46" t="str">
        <f t="shared" si="10"/>
        <v/>
      </c>
      <c r="Y46" t="str">
        <f t="shared" si="11"/>
        <v/>
      </c>
      <c r="Z46" t="str">
        <f t="shared" si="23"/>
        <v/>
      </c>
      <c r="AA46" t="str">
        <f t="shared" si="13"/>
        <v/>
      </c>
      <c r="AI46" s="114" t="str">
        <f>_xlfn.IFNA(IF(VLOOKUP(B46,Tabelle4[#All],2,FALSE)="x",VLOOKUP(B46,Tabelle4[#All],6,FALSE),""),"")</f>
        <v/>
      </c>
      <c r="AJ46" s="101" t="str">
        <f t="array" ref="AJ46">_xlfn.IFNA(INDEX($AI$5:$AI$49,MATCH(0,COUNTIF($AJ$4:AJ45,$AI$5:$AI$49),0),1),"")</f>
        <v/>
      </c>
      <c r="AK46" s="101" t="str">
        <f t="shared" si="3"/>
        <v/>
      </c>
      <c r="AL46" s="117" t="str">
        <f t="array" ref="AL46">_xlfn.IFNA(INDEX($E$5:$E$49,MATCH(0,COUNTIF($AL$4:AL45,$E$5:$E$49),0),1),"")</f>
        <v/>
      </c>
      <c r="AM46" t="str">
        <f t="shared" si="4"/>
        <v/>
      </c>
      <c r="AS46" t="str">
        <f t="shared" si="24"/>
        <v/>
      </c>
      <c r="AT46" s="198" t="str">
        <f t="array" ref="AT46">_xlfn.IFNA(INDEX($AS$5:$AS$49,MATCH(0,COUNTIF($AT$4:AT45,$AS$5:$AS$49),0),1),"")</f>
        <v/>
      </c>
      <c r="AV46" s="200" t="str">
        <f t="shared" si="6"/>
        <v/>
      </c>
      <c r="AW46" s="101" t="str">
        <f t="array" ref="AW46">_xlfn.IFNA(INDEX($AV$6:$AV$49,MATCH(0,COUNTIF($AW$4:AW44,$AV$6:$AV$49),0),1),"")</f>
        <v/>
      </c>
      <c r="AX46" s="201" t="str">
        <f t="shared" si="17"/>
        <v/>
      </c>
      <c r="AY46" s="204" t="str">
        <f t="shared" si="7"/>
        <v/>
      </c>
      <c r="AZ46" s="101" t="str">
        <f t="array" ref="AZ46">_xlfn.IFNA(INDEX($AY$5:$AY$49,MATCH(0,COUNTIF($AZ$4:AZ45,$AY$5:$AY$49),0),1),"")</f>
        <v/>
      </c>
      <c r="BA46" t="str">
        <f t="shared" si="18"/>
        <v/>
      </c>
      <c r="BB46" s="8" t="str">
        <f t="shared" si="14"/>
        <v/>
      </c>
      <c r="BC46" s="101" t="str">
        <f t="array" ref="BC46">_xlfn.IFNA(INDEX($BB$6:$BB$49,MATCH(0,COUNTIF($BC$4:BC45,$BB$6:$BB$49),0),1),"")</f>
        <v/>
      </c>
      <c r="BD46" t="str">
        <f t="shared" si="19"/>
        <v/>
      </c>
      <c r="BE46" s="209" t="str">
        <f t="shared" si="25"/>
        <v/>
      </c>
      <c r="BF46" s="101" t="str">
        <f t="array" ref="BF46">_xlfn.IFNA(INDEX($BE$5:$BE$49,MATCH(0,COUNTIF($BF$4:BF45,$BE$5:$BE$49),0),1),"")</f>
        <v/>
      </c>
      <c r="BG46" s="201" t="str">
        <f t="shared" si="21"/>
        <v/>
      </c>
      <c r="BI46" s="101" t="str">
        <f t="array" ref="BI46">_xlfn.IFNA(INDEX($F$5:$F$49,MATCH(0,COUNTIF($BI$4:BI45,$F$5:$F$49),0),1),"")</f>
        <v/>
      </c>
      <c r="BJ46" s="206" t="str">
        <f t="shared" si="16"/>
        <v/>
      </c>
      <c r="BO46" s="8"/>
      <c r="BP46" s="372" t="str">
        <f>_xlfn.IFNA(IF(B45&lt;&gt;"",IF(AND(ISBLANK('1.4 Analyse &amp; Synthese'!N47),ISBLANK('1.4 Analyse &amp; Synthese'!O47),ISBLANK('1.4 Analyse &amp; Synthese'!P47)),IF('1.4 Analyse &amp; Synthese'!M47="x",1,0),""),""),"")</f>
        <v/>
      </c>
      <c r="BQ46" s="123" t="str">
        <f>_xlfn.IFNA(IF(B45&lt;&gt;"",IF(AND(ISBLANK('1.4 Analyse &amp; Synthese'!M47),ISBLANK('1.4 Analyse &amp; Synthese'!O47),ISBLANK('1.4 Analyse &amp; Synthese'!P47)),IF('1.4 Analyse &amp; Synthese'!N47="x",1,0),""),""),"")</f>
        <v/>
      </c>
      <c r="BR46" s="123" t="str">
        <f>_xlfn.IFNA(IF(B45&lt;&gt;"",IF(AND(ISBLANK('1.4 Analyse &amp; Synthese'!M47),ISBLANK('1.4 Analyse &amp; Synthese'!N47),ISBLANK('1.4 Analyse &amp; Synthese'!P47)),IF('1.4 Analyse &amp; Synthese'!O47="x",1,0),""),""),"")</f>
        <v/>
      </c>
      <c r="BS46" s="123">
        <f>_xlfn.IFNA(IF(B45&lt;&gt;"",IF(AND('1.4 Analyse &amp; Synthese'!M47="X",'1.4 Analyse &amp; Synthese'!N47="X",'1.4 Analyse &amp; Synthese'!O47="X"),1,0),""),"")</f>
        <v>0</v>
      </c>
      <c r="BT46" s="123">
        <f>_xlfn.IFNA(IF(B45&lt;&gt;"",IF(AND(ISBLANK('1.4 Analyse &amp; Synthese'!M47),ISBLANK('1.4 Analyse &amp; Synthese'!N47),ISBLANK('1.4 Analyse &amp; Synthese'!O47)),1,0),""),"")</f>
        <v>0</v>
      </c>
      <c r="BU46" s="123">
        <f>_xlfn.IFNA(IF(B45&lt;&gt;"",IF(OR(AND('1.4 Analyse &amp; Synthese'!M47="X",'1.4 Analyse &amp; Synthese'!N47="X",'1.4 Analyse &amp; Synthese'!O47=""),AND('1.4 Analyse &amp; Synthese'!M47="X",'1.4 Analyse &amp; Synthese'!N47="",'1.4 Analyse &amp; Synthese'!O47="X"),AND('1.4 Analyse &amp; Synthese'!M47="",'1.4 Analyse &amp; Synthese'!N47="X",'1.4 Analyse &amp; Synthese'!O47="X")),1,0),0),"")</f>
        <v>1</v>
      </c>
      <c r="BV46" s="373" t="str">
        <f>_xlfn.IFNA(IF(B45&lt;&gt;"",IF(AND(ISBLANK('1.4 Analyse &amp; Synthese'!M47),ISBLANK('1.4 Analyse &amp; Synthese'!N47),ISBLANK('1.4 Analyse &amp; Synthese'!O47)),IF('1.4 Analyse &amp; Synthese'!P47="x",1,0),""),""),"")</f>
        <v/>
      </c>
    </row>
    <row r="47" spans="2:74" x14ac:dyDescent="0.2">
      <c r="B47" s="127" t="str">
        <f>IF('1.4 Analyse &amp; Synthese'!B49&lt;&gt;0,'1.4 Analyse &amp; Synthese'!B49,"")</f>
        <v/>
      </c>
      <c r="C47" t="str">
        <f>_xlfn.IFNA(IF(B47&lt;&gt;0,VLOOKUP($B47,Tabelle3[[1]:[3]],2)),"")</f>
        <v/>
      </c>
      <c r="D47" t="str">
        <f>_xlfn.IFNA(IF(B47&lt;&gt;0,VLOOKUP($B47,Tabelle3[[1]:[3]],3)),"")</f>
        <v/>
      </c>
      <c r="E47" t="str">
        <f>_xlfn.IFNA(IF(B47&lt;&gt;0,VLOOKUP($B47,Tabelle3[[1]:[4]],4)),"")</f>
        <v/>
      </c>
      <c r="F47" t="str">
        <f>_xlfn.IFNA(IF(B47&lt;&gt;0,VLOOKUP($B47,Tabelle3[[1]:[5]],5)),"")</f>
        <v/>
      </c>
      <c r="G47" s="101" t="str">
        <f>_xlfn.IFNA(IF(B47&lt;&gt;0,VLOOKUP($B47,Tabelle3[[1]:[Aggregator/Integrator]],10)),"")</f>
        <v/>
      </c>
      <c r="H47" s="101" t="str">
        <f>_xlfn.IFNA(IF(B47&lt;&gt;0,VLOOKUP($B47,Tabelle3[[1]:[ITSVN Akteure]],11)),"")</f>
        <v/>
      </c>
      <c r="I47" s="101" t="str">
        <f>_xlfn.IFNA(IF(B47&lt;&gt;0,VLOOKUP($B47,Tabelle3[[1]:[IaaS]],12)),"")</f>
        <v/>
      </c>
      <c r="J47" s="101" t="str">
        <f>_xlfn.IFNA(IF(B47&lt;&gt;0,VLOOKUP($B47,Tabelle3[[1]:[PaaS]],13)),"")</f>
        <v/>
      </c>
      <c r="K47" s="101" t="str">
        <f>_xlfn.IFNA(IF(B47&lt;&gt;0,VLOOKUP($B47,Tabelle3[[1]:[SaaS]],14)),"")</f>
        <v/>
      </c>
      <c r="L47" s="101" t="str">
        <f>_xlfn.IFNA(IF(B47&lt;&gt;0,VLOOKUP($B47,Tabelle3[[1]:[DaaS]],15)),"")</f>
        <v/>
      </c>
      <c r="M47" s="117">
        <f>IF(B47&lt;&gt;0,COUNTIF('1.4 Analyse &amp; Synthese'!Q49:AJ49,1))</f>
        <v>0</v>
      </c>
      <c r="N47" s="101">
        <f>IF(B47&lt;&gt;0,COUNTIF('1.4 Analyse &amp; Synthese'!Q49:AJ49,3))</f>
        <v>0</v>
      </c>
      <c r="O47" s="101" t="str">
        <f t="array" ref="O47">_xlfn.IFNA(INDEX($D$5:$D$49,MATCH(0,COUNTIF($O$4:O46,$D$5:$D$49),0),1),"")</f>
        <v/>
      </c>
      <c r="P47" s="101" t="str">
        <f t="shared" si="0"/>
        <v/>
      </c>
      <c r="Q47" s="101" t="str">
        <f t="shared" si="1"/>
        <v/>
      </c>
      <c r="R47" s="128" t="str">
        <f>_xlfn.IFNA(IF(VLOOKUP(B47,Tabelle4[#All],2,FALSE)="x",VLOOKUP(B47,'1.4 Analyse &amp; Synthese'!$B$7:$G$47,6,FALSE),""),"")</f>
        <v/>
      </c>
      <c r="S47" s="101" t="str">
        <f t="array" ref="S47">_xlfn.IFNA(INDEX($R$5:$R$49,MATCH(0,COUNTIF($S$4:S46,$R$5:$R$49),0),1),"")</f>
        <v/>
      </c>
      <c r="T47" s="101" t="str">
        <f t="shared" si="2"/>
        <v/>
      </c>
      <c r="U47" s="9" t="str">
        <f>_xlfn.IFNA(IF(VLOOKUP(B47,Tabelle4[#All],2,FALSE)="x",VLOOKUP(B47,'1.4 Analyse &amp; Synthese'!$B$7:$I$47,8,FALSE),""),"")</f>
        <v/>
      </c>
      <c r="V47" s="122" t="str">
        <f t="array" ref="V47">_xlfn.IFNA(INDEX($U$5:$U$49,MATCH(0,COUNTIF($V$5:V46,$U$5:$U$49),0),1),"")</f>
        <v/>
      </c>
      <c r="W47" t="str">
        <f t="shared" si="9"/>
        <v/>
      </c>
      <c r="X47" t="str">
        <f t="shared" si="10"/>
        <v/>
      </c>
      <c r="Y47" t="str">
        <f t="shared" si="11"/>
        <v/>
      </c>
      <c r="Z47" t="str">
        <f t="shared" si="23"/>
        <v/>
      </c>
      <c r="AA47" t="str">
        <f t="shared" si="13"/>
        <v/>
      </c>
      <c r="AI47" s="114" t="str">
        <f>_xlfn.IFNA(IF(VLOOKUP(B47,Tabelle4[#All],2,FALSE)="x",VLOOKUP(B47,Tabelle4[#All],6,FALSE),""),"")</f>
        <v/>
      </c>
      <c r="AJ47" s="101" t="str">
        <f t="array" ref="AJ47">_xlfn.IFNA(INDEX($AI$5:$AI$49,MATCH(0,COUNTIF($AJ$4:AJ46,$AI$5:$AI$49),0),1),"")</f>
        <v/>
      </c>
      <c r="AK47" s="101" t="str">
        <f t="shared" si="3"/>
        <v/>
      </c>
      <c r="AL47" s="117" t="str">
        <f t="array" ref="AL47">_xlfn.IFNA(INDEX($E$5:$E$49,MATCH(0,COUNTIF($AL$4:AL46,$E$5:$E$49),0),1),"")</f>
        <v/>
      </c>
      <c r="AM47" t="str">
        <f t="shared" si="4"/>
        <v/>
      </c>
      <c r="AS47" t="str">
        <f t="shared" si="24"/>
        <v/>
      </c>
      <c r="AT47" s="198" t="str">
        <f t="array" ref="AT47">_xlfn.IFNA(INDEX($AS$5:$AS$49,MATCH(0,COUNTIF($AT$4:AT46,$AS$5:$AS$49),0),1),"")</f>
        <v/>
      </c>
      <c r="AV47" s="200" t="str">
        <f t="shared" si="6"/>
        <v/>
      </c>
      <c r="AW47" s="101" t="str">
        <f t="array" ref="AW47">_xlfn.IFNA(INDEX($AV$6:$AV$49,MATCH(0,COUNTIF($AW$4:AW45,$AV$6:$AV$49),0),1),"")</f>
        <v/>
      </c>
      <c r="AX47" s="201" t="str">
        <f t="shared" si="17"/>
        <v/>
      </c>
      <c r="AY47" s="204" t="str">
        <f t="shared" si="7"/>
        <v/>
      </c>
      <c r="AZ47" s="101" t="str">
        <f t="array" ref="AZ47">_xlfn.IFNA(INDEX($AY$5:$AY$49,MATCH(0,COUNTIF($AZ$4:AZ46,$AY$5:$AY$49),0),1),"")</f>
        <v/>
      </c>
      <c r="BA47" t="str">
        <f t="shared" si="18"/>
        <v/>
      </c>
      <c r="BB47" s="8" t="str">
        <f t="shared" si="14"/>
        <v/>
      </c>
      <c r="BC47" s="101" t="str">
        <f t="array" ref="BC47">_xlfn.IFNA(INDEX($BB$6:$BB$49,MATCH(0,COUNTIF($BC$4:BC46,$BB$6:$BB$49),0),1),"")</f>
        <v/>
      </c>
      <c r="BD47" t="str">
        <f t="shared" si="19"/>
        <v/>
      </c>
      <c r="BE47" s="209" t="str">
        <f t="shared" si="25"/>
        <v/>
      </c>
      <c r="BF47" s="101" t="str">
        <f t="array" ref="BF47">_xlfn.IFNA(INDEX($BE$5:$BE$49,MATCH(0,COUNTIF($BF$4:BF46,$BE$5:$BE$49),0),1),"")</f>
        <v/>
      </c>
      <c r="BG47" s="201" t="str">
        <f t="shared" si="21"/>
        <v/>
      </c>
      <c r="BI47" s="101" t="str">
        <f t="array" ref="BI47">_xlfn.IFNA(INDEX($F$5:$F$49,MATCH(0,COUNTIF($BI$4:BI46,$F$5:$F$49),0),1),"")</f>
        <v/>
      </c>
      <c r="BJ47" s="206" t="str">
        <f t="shared" si="16"/>
        <v/>
      </c>
      <c r="BO47" s="8"/>
      <c r="BP47" s="372" t="str">
        <f>_xlfn.IFNA(IF(B46&lt;&gt;"",IF(AND(ISBLANK('1.4 Analyse &amp; Synthese'!N48),ISBLANK('1.4 Analyse &amp; Synthese'!O48),ISBLANK('1.4 Analyse &amp; Synthese'!P48)),IF('1.4 Analyse &amp; Synthese'!M48="x",1,0),""),""),"")</f>
        <v/>
      </c>
      <c r="BQ47" s="123" t="str">
        <f>_xlfn.IFNA(IF(B46&lt;&gt;"",IF(AND(ISBLANK('1.4 Analyse &amp; Synthese'!M48),ISBLANK('1.4 Analyse &amp; Synthese'!O48),ISBLANK('1.4 Analyse &amp; Synthese'!P48)),IF('1.4 Analyse &amp; Synthese'!N48="x",1,0),""),""),"")</f>
        <v/>
      </c>
      <c r="BR47" s="123" t="str">
        <f>_xlfn.IFNA(IF(B46&lt;&gt;"",IF(AND(ISBLANK('1.4 Analyse &amp; Synthese'!M48),ISBLANK('1.4 Analyse &amp; Synthese'!N48),ISBLANK('1.4 Analyse &amp; Synthese'!P48)),IF('1.4 Analyse &amp; Synthese'!O48="x",1,0),""),""),"")</f>
        <v/>
      </c>
      <c r="BS47" s="123" t="str">
        <f>_xlfn.IFNA(IF(B46&lt;&gt;"",IF(AND('1.4 Analyse &amp; Synthese'!M48="X",'1.4 Analyse &amp; Synthese'!N48="X",'1.4 Analyse &amp; Synthese'!O48="X"),1,0),""),"")</f>
        <v/>
      </c>
      <c r="BT47" s="123" t="str">
        <f>_xlfn.IFNA(IF(B46&lt;&gt;"",IF(AND(ISBLANK('1.4 Analyse &amp; Synthese'!M48),ISBLANK('1.4 Analyse &amp; Synthese'!N48),ISBLANK('1.4 Analyse &amp; Synthese'!O48)),1,0),""),"")</f>
        <v/>
      </c>
      <c r="BU47" s="123">
        <f>_xlfn.IFNA(IF(B46&lt;&gt;"",IF(OR(AND('1.4 Analyse &amp; Synthese'!M48="X",'1.4 Analyse &amp; Synthese'!N48="X",'1.4 Analyse &amp; Synthese'!O48=""),AND('1.4 Analyse &amp; Synthese'!M48="X",'1.4 Analyse &amp; Synthese'!N48="",'1.4 Analyse &amp; Synthese'!O48="X"),AND('1.4 Analyse &amp; Synthese'!M48="",'1.4 Analyse &amp; Synthese'!N48="X",'1.4 Analyse &amp; Synthese'!O48="X")),1,0),0),"")</f>
        <v>0</v>
      </c>
      <c r="BV47" s="373" t="str">
        <f>_xlfn.IFNA(IF(B46&lt;&gt;"",IF(AND(ISBLANK('1.4 Analyse &amp; Synthese'!M48),ISBLANK('1.4 Analyse &amp; Synthese'!N48),ISBLANK('1.4 Analyse &amp; Synthese'!O48)),IF('1.4 Analyse &amp; Synthese'!P48="x",1,0),""),""),"")</f>
        <v/>
      </c>
    </row>
    <row r="48" spans="2:74" x14ac:dyDescent="0.2">
      <c r="B48" s="127" t="str">
        <f>IF('1.4 Analyse &amp; Synthese'!B50&lt;&gt;0,'1.4 Analyse &amp; Synthese'!B50,"")</f>
        <v/>
      </c>
      <c r="C48" t="str">
        <f>_xlfn.IFNA(IF(B48&lt;&gt;0,VLOOKUP($B48,Tabelle3[[1]:[3]],2)),"")</f>
        <v/>
      </c>
      <c r="D48" t="str">
        <f>_xlfn.IFNA(IF(B48&lt;&gt;0,VLOOKUP($B48,Tabelle3[[1]:[3]],3)),"")</f>
        <v/>
      </c>
      <c r="E48" t="str">
        <f>_xlfn.IFNA(IF(B48&lt;&gt;0,VLOOKUP($B48,Tabelle3[[1]:[4]],4)),"")</f>
        <v/>
      </c>
      <c r="F48" t="str">
        <f>_xlfn.IFNA(IF(B48&lt;&gt;0,VLOOKUP($B48,Tabelle3[[1]:[5]],5)),"")</f>
        <v/>
      </c>
      <c r="G48" s="101" t="str">
        <f>_xlfn.IFNA(IF(B48&lt;&gt;0,VLOOKUP($B48,Tabelle3[[1]:[Aggregator/Integrator]],10)),"")</f>
        <v/>
      </c>
      <c r="H48" s="101" t="str">
        <f>_xlfn.IFNA(IF(B48&lt;&gt;0,VLOOKUP($B48,Tabelle3[[1]:[ITSVN Akteure]],11)),"")</f>
        <v/>
      </c>
      <c r="I48" s="101" t="str">
        <f>_xlfn.IFNA(IF(B48&lt;&gt;0,VLOOKUP($B48,Tabelle3[[1]:[IaaS]],12)),"")</f>
        <v/>
      </c>
      <c r="J48" s="101" t="str">
        <f>_xlfn.IFNA(IF(B48&lt;&gt;0,VLOOKUP($B48,Tabelle3[[1]:[PaaS]],13)),"")</f>
        <v/>
      </c>
      <c r="K48" s="101" t="str">
        <f>_xlfn.IFNA(IF(B48&lt;&gt;0,VLOOKUP($B48,Tabelle3[[1]:[SaaS]],14)),"")</f>
        <v/>
      </c>
      <c r="L48" s="101" t="str">
        <f>_xlfn.IFNA(IF(B48&lt;&gt;0,VLOOKUP($B48,Tabelle3[[1]:[DaaS]],15)),"")</f>
        <v/>
      </c>
      <c r="M48" s="117">
        <f>IF(B48&lt;&gt;0,COUNTIF('1.4 Analyse &amp; Synthese'!Q50:AJ50,1))</f>
        <v>0</v>
      </c>
      <c r="N48" s="101">
        <f>IF(B48&lt;&gt;0,COUNTIF('1.4 Analyse &amp; Synthese'!Q50:AJ50,3))</f>
        <v>0</v>
      </c>
      <c r="O48" s="101" t="str">
        <f t="array" ref="O48">_xlfn.IFNA(INDEX($D$5:$D$49,MATCH(0,COUNTIF($O$4:O47,$D$5:$D$49),0),1),"")</f>
        <v/>
      </c>
      <c r="P48" s="101" t="str">
        <f t="shared" si="0"/>
        <v/>
      </c>
      <c r="Q48" s="101" t="str">
        <f t="shared" si="1"/>
        <v/>
      </c>
      <c r="R48" s="128" t="str">
        <f>_xlfn.IFNA(IF(VLOOKUP(B48,Tabelle4[#All],2,FALSE)="x",VLOOKUP(B48,'1.4 Analyse &amp; Synthese'!$B$7:$G$47,6,FALSE),""),"")</f>
        <v/>
      </c>
      <c r="S48" s="101" t="str">
        <f t="array" ref="S48">_xlfn.IFNA(INDEX($R$5:$R$49,MATCH(0,COUNTIF($S$4:S47,$R$5:$R$49),0),1),"")</f>
        <v/>
      </c>
      <c r="T48" s="101" t="str">
        <f t="shared" si="2"/>
        <v/>
      </c>
      <c r="U48" s="9" t="str">
        <f>_xlfn.IFNA(IF(VLOOKUP(B48,Tabelle4[#All],2,FALSE)="x",VLOOKUP(B48,'1.4 Analyse &amp; Synthese'!$B$7:$I$47,8,FALSE),""),"")</f>
        <v/>
      </c>
      <c r="V48" s="122" t="str">
        <f t="array" ref="V48">_xlfn.IFNA(INDEX($U$5:$U$49,MATCH(0,COUNTIF($V$5:V47,$U$5:$U$49),0),1),"")</f>
        <v/>
      </c>
      <c r="W48" t="str">
        <f t="shared" si="9"/>
        <v/>
      </c>
      <c r="X48" t="str">
        <f t="shared" si="10"/>
        <v/>
      </c>
      <c r="Y48" t="str">
        <f t="shared" si="11"/>
        <v/>
      </c>
      <c r="Z48" t="str">
        <f t="shared" si="23"/>
        <v/>
      </c>
      <c r="AA48" t="str">
        <f t="shared" si="13"/>
        <v/>
      </c>
      <c r="AI48" s="114" t="str">
        <f>_xlfn.IFNA(IF(VLOOKUP(B48,Tabelle4[#All],2,FALSE)="x",VLOOKUP(B48,Tabelle4[#All],6,FALSE),""),"")</f>
        <v/>
      </c>
      <c r="AJ48" s="101" t="str">
        <f t="array" ref="AJ48">_xlfn.IFNA(INDEX($AI$5:$AI$49,MATCH(0,COUNTIF($AJ$4:AJ47,$AI$5:$AI$49),0),1),"")</f>
        <v/>
      </c>
      <c r="AK48" s="101" t="str">
        <f t="shared" si="3"/>
        <v/>
      </c>
      <c r="AL48" s="117" t="str">
        <f t="array" ref="AL48">_xlfn.IFNA(INDEX($E$5:$E$49,MATCH(0,COUNTIF($AL$4:AL47,$E$5:$E$49),0),1),"")</f>
        <v/>
      </c>
      <c r="AM48" t="str">
        <f t="shared" si="4"/>
        <v/>
      </c>
      <c r="AS48" t="str">
        <f t="shared" si="24"/>
        <v/>
      </c>
      <c r="AT48" s="198" t="str">
        <f t="array" ref="AT48">_xlfn.IFNA(INDEX($AS$5:$AS$49,MATCH(0,COUNTIF($AT$4:AT47,$AS$5:$AS$49),0),1),"")</f>
        <v/>
      </c>
      <c r="AV48" s="200" t="str">
        <f t="shared" si="6"/>
        <v/>
      </c>
      <c r="AW48" s="101" t="str">
        <f t="array" ref="AW48">_xlfn.IFNA(INDEX($AV$6:$AV$49,MATCH(0,COUNTIF($AW$4:AW46,$AV$6:$AV$49),0),1),"")</f>
        <v/>
      </c>
      <c r="AX48" s="201" t="str">
        <f t="shared" si="17"/>
        <v/>
      </c>
      <c r="AY48" s="204" t="str">
        <f t="shared" si="7"/>
        <v/>
      </c>
      <c r="AZ48" s="101" t="str">
        <f t="array" ref="AZ48">_xlfn.IFNA(INDEX($AY$5:$AY$49,MATCH(0,COUNTIF($AZ$4:AZ47,$AY$5:$AY$49),0),1),"")</f>
        <v/>
      </c>
      <c r="BA48" t="str">
        <f t="shared" si="18"/>
        <v/>
      </c>
      <c r="BB48" s="8" t="str">
        <f t="shared" si="14"/>
        <v/>
      </c>
      <c r="BC48" s="101" t="str">
        <f t="array" ref="BC48">_xlfn.IFNA(INDEX($BB$6:$BB$49,MATCH(0,COUNTIF($BC$4:BC47,$BB$6:$BB$49),0),1),"")</f>
        <v/>
      </c>
      <c r="BD48" t="str">
        <f t="shared" si="19"/>
        <v/>
      </c>
      <c r="BE48" s="209" t="str">
        <f t="shared" si="25"/>
        <v/>
      </c>
      <c r="BF48" s="101" t="str">
        <f t="array" ref="BF48">_xlfn.IFNA(INDEX($BE$5:$BE$49,MATCH(0,COUNTIF($BF$4:BF47,$BE$5:$BE$49),0),1),"")</f>
        <v/>
      </c>
      <c r="BG48" s="201" t="str">
        <f t="shared" si="21"/>
        <v/>
      </c>
      <c r="BI48" s="101" t="str">
        <f t="array" ref="BI48">_xlfn.IFNA(INDEX($F$5:$F$49,MATCH(0,COUNTIF($BI$4:BI47,$F$5:$F$49),0),1),"")</f>
        <v/>
      </c>
      <c r="BJ48" s="206" t="str">
        <f t="shared" si="16"/>
        <v/>
      </c>
      <c r="BO48" s="8"/>
      <c r="BP48" s="372" t="str">
        <f>_xlfn.IFNA(IF(B47&lt;&gt;"",IF(AND(ISBLANK('1.4 Analyse &amp; Synthese'!N49),ISBLANK('1.4 Analyse &amp; Synthese'!O49),ISBLANK('1.4 Analyse &amp; Synthese'!P49)),IF('1.4 Analyse &amp; Synthese'!M49="x",1,0),""),""),"")</f>
        <v/>
      </c>
      <c r="BQ48" s="123" t="str">
        <f>_xlfn.IFNA(IF(B47&lt;&gt;"",IF(AND(ISBLANK('1.4 Analyse &amp; Synthese'!M49),ISBLANK('1.4 Analyse &amp; Synthese'!O49),ISBLANK('1.4 Analyse &amp; Synthese'!P49)),IF('1.4 Analyse &amp; Synthese'!N49="x",1,0),""),""),"")</f>
        <v/>
      </c>
      <c r="BR48" s="123" t="str">
        <f>_xlfn.IFNA(IF(B47&lt;&gt;"",IF(AND(ISBLANK('1.4 Analyse &amp; Synthese'!M49),ISBLANK('1.4 Analyse &amp; Synthese'!N49),ISBLANK('1.4 Analyse &amp; Synthese'!P49)),IF('1.4 Analyse &amp; Synthese'!O49="x",1,0),""),""),"")</f>
        <v/>
      </c>
      <c r="BS48" s="123" t="str">
        <f>_xlfn.IFNA(IF(B47&lt;&gt;"",IF(AND('1.4 Analyse &amp; Synthese'!M49="X",'1.4 Analyse &amp; Synthese'!N49="X",'1.4 Analyse &amp; Synthese'!O49="X"),1,0),""),"")</f>
        <v/>
      </c>
      <c r="BT48" s="123" t="str">
        <f>_xlfn.IFNA(IF(B47&lt;&gt;"",IF(AND(ISBLANK('1.4 Analyse &amp; Synthese'!M49),ISBLANK('1.4 Analyse &amp; Synthese'!N49),ISBLANK('1.4 Analyse &amp; Synthese'!O49)),1,0),""),"")</f>
        <v/>
      </c>
      <c r="BU48" s="123">
        <f>_xlfn.IFNA(IF(B47&lt;&gt;"",IF(OR(AND('1.4 Analyse &amp; Synthese'!M49="X",'1.4 Analyse &amp; Synthese'!N49="X",'1.4 Analyse &amp; Synthese'!O49=""),AND('1.4 Analyse &amp; Synthese'!M49="X",'1.4 Analyse &amp; Synthese'!N49="",'1.4 Analyse &amp; Synthese'!O49="X"),AND('1.4 Analyse &amp; Synthese'!M49="",'1.4 Analyse &amp; Synthese'!N49="X",'1.4 Analyse &amp; Synthese'!O49="X")),1,0),0),"")</f>
        <v>0</v>
      </c>
      <c r="BV48" s="373" t="str">
        <f>_xlfn.IFNA(IF(B47&lt;&gt;"",IF(AND(ISBLANK('1.4 Analyse &amp; Synthese'!M49),ISBLANK('1.4 Analyse &amp; Synthese'!N49),ISBLANK('1.4 Analyse &amp; Synthese'!O49)),IF('1.4 Analyse &amp; Synthese'!P49="x",1,0),""),""),"")</f>
        <v/>
      </c>
    </row>
    <row r="49" spans="2:74" s="8" customFormat="1" x14ac:dyDescent="0.2">
      <c r="B49" s="127" t="str">
        <f>IF('1.4 Analyse &amp; Synthese'!B51&lt;&gt;0,'1.4 Analyse &amp; Synthese'!B51,"")</f>
        <v/>
      </c>
      <c r="C49" t="str">
        <f>_xlfn.IFNA(IF(B49&lt;&gt;0,VLOOKUP($B49,Tabelle3[[1]:[3]],2)),"")</f>
        <v/>
      </c>
      <c r="D49" t="str">
        <f>_xlfn.IFNA(IF(B49&lt;&gt;0,VLOOKUP($B49,Tabelle3[[1]:[3]],3)),"")</f>
        <v/>
      </c>
      <c r="E49" t="str">
        <f>_xlfn.IFNA(IF(B49&lt;&gt;0,VLOOKUP($B49,Tabelle3[[1]:[4]],4)),"")</f>
        <v/>
      </c>
      <c r="F49" t="str">
        <f>_xlfn.IFNA(IF(B49&lt;&gt;0,VLOOKUP($B49,Tabelle3[[1]:[5]],5)),"")</f>
        <v/>
      </c>
      <c r="G49" s="101" t="str">
        <f>_xlfn.IFNA(IF(B49&lt;&gt;0,VLOOKUP($B49,Tabelle3[[1]:[Aggregator/Integrator]],10)),"")</f>
        <v/>
      </c>
      <c r="H49" s="101" t="str">
        <f>_xlfn.IFNA(IF(B49&lt;&gt;0,VLOOKUP($B49,Tabelle3[[1]:[ITSVN Akteure]],11)),"")</f>
        <v/>
      </c>
      <c r="I49" s="101" t="str">
        <f>_xlfn.IFNA(IF(B49&lt;&gt;0,VLOOKUP($B49,Tabelle3[[1]:[IaaS]],12)),"")</f>
        <v/>
      </c>
      <c r="J49" s="101" t="str">
        <f>_xlfn.IFNA(IF(B49&lt;&gt;0,VLOOKUP($B49,Tabelle3[[1]:[PaaS]],13)),"")</f>
        <v/>
      </c>
      <c r="K49" s="101" t="str">
        <f>_xlfn.IFNA(IF(B49&lt;&gt;0,VLOOKUP($B49,Tabelle3[[1]:[SaaS]],14)),"")</f>
        <v/>
      </c>
      <c r="L49" s="101" t="str">
        <f>_xlfn.IFNA(IF(B49&lt;&gt;0,VLOOKUP($B49,Tabelle3[[1]:[DaaS]],15)),"")</f>
        <v/>
      </c>
      <c r="M49" s="101">
        <f>IF(B49&lt;&gt;0,COUNTIF('1.4 Analyse &amp; Synthese'!Q51:AJ51,1))</f>
        <v>0</v>
      </c>
      <c r="N49" s="101">
        <f>IF(B49&lt;&gt;0,COUNTIF('1.4 Analyse &amp; Synthese'!Q51:AJ51,3))</f>
        <v>0</v>
      </c>
      <c r="O49" s="101" t="str">
        <f t="array" ref="O49">_xlfn.IFNA(INDEX($D$5:$D$49,MATCH(0,COUNTIF($O$4:O48,$D$5:$D$49),0),1),"")</f>
        <v/>
      </c>
      <c r="P49" s="123" t="str">
        <f t="shared" si="0"/>
        <v/>
      </c>
      <c r="Q49" s="123" t="str">
        <f t="shared" si="1"/>
        <v/>
      </c>
      <c r="R49" s="136" t="str">
        <f>_xlfn.IFNA(IF(VLOOKUP(B49,Tabelle4[#All],2,FALSE)="x",VLOOKUP(B49,'1.4 Analyse &amp; Synthese'!$B$7:$G$47,6,FALSE),""),"")</f>
        <v/>
      </c>
      <c r="S49" s="123" t="str">
        <f t="array" ref="S49">_xlfn.IFNA(INDEX($R$5:$R$49,MATCH(0,COUNTIF($S$4:S48,$R$5:$R$49),0),1),"")</f>
        <v/>
      </c>
      <c r="T49" s="123" t="str">
        <f t="shared" si="2"/>
        <v/>
      </c>
      <c r="U49" s="8" t="str">
        <f>_xlfn.IFNA(IF(VLOOKUP(B49,Tabelle4[#All],2,FALSE)="x",VLOOKUP(B49,'1.4 Analyse &amp; Synthese'!$B$7:$I$47,8,FALSE),""),"")</f>
        <v/>
      </c>
      <c r="V49" s="211" t="str">
        <f t="array" ref="V49">_xlfn.IFNA(INDEX($U$5:$U$49,MATCH(0,COUNTIF($V$5:V48,$U$5:$U$49),0),1),"")</f>
        <v/>
      </c>
      <c r="W49" s="8" t="str">
        <f t="shared" si="9"/>
        <v/>
      </c>
      <c r="X49" s="8" t="str">
        <f t="shared" si="10"/>
        <v/>
      </c>
      <c r="Y49" s="8" t="str">
        <f t="shared" si="11"/>
        <v/>
      </c>
      <c r="Z49" s="8" t="str">
        <f t="shared" si="23"/>
        <v/>
      </c>
      <c r="AA49" s="8" t="str">
        <f t="shared" si="13"/>
        <v/>
      </c>
      <c r="AI49" s="212" t="str">
        <f>_xlfn.IFNA(IF(VLOOKUP(B49,Tabelle4[#All],2,FALSE)="x",VLOOKUP(B49,Tabelle4[#All],6,FALSE),""),"")</f>
        <v/>
      </c>
      <c r="AJ49" s="123" t="str">
        <f t="array" ref="AJ49">_xlfn.IFNA(INDEX($AI$5:$AI$49,MATCH(0,COUNTIF($AJ$4:AJ48,$AI$5:$AI$49),0),1),"")</f>
        <v/>
      </c>
      <c r="AK49" s="123" t="str">
        <f t="shared" si="3"/>
        <v/>
      </c>
      <c r="AL49" s="123" t="str">
        <f t="array" ref="AL49">_xlfn.IFNA(INDEX($E$5:$E$49,MATCH(0,COUNTIF($AL$4:AL48,$E$5:$E$49),0),1),"")</f>
        <v/>
      </c>
      <c r="AM49" s="8" t="str">
        <f t="shared" si="4"/>
        <v/>
      </c>
      <c r="AS49" s="8" t="str">
        <f t="shared" si="24"/>
        <v/>
      </c>
      <c r="AT49" s="200" t="str">
        <f t="array" ref="AT49">_xlfn.IFNA(INDEX($AS$5:$AS$49,MATCH(0,COUNTIF($AT$4:AT48,$AS$5:$AS$49),0),1),"")</f>
        <v/>
      </c>
      <c r="AU49" s="203"/>
      <c r="AV49" s="200" t="str">
        <f t="shared" si="6"/>
        <v/>
      </c>
      <c r="AW49" s="123" t="str">
        <f t="array" ref="AW49">_xlfn.IFNA(INDEX($AV$6:$AV$49,MATCH(0,COUNTIF($AW$4:AW47,$AV$6:$AV$49),0),1),"")</f>
        <v/>
      </c>
      <c r="AX49" s="203" t="str">
        <f t="shared" si="17"/>
        <v/>
      </c>
      <c r="AY49" s="213" t="str">
        <f t="shared" si="7"/>
        <v/>
      </c>
      <c r="AZ49" s="123" t="str">
        <f t="array" ref="AZ49">_xlfn.IFNA(INDEX($AY$5:$AY$49,MATCH(0,COUNTIF($AZ$4:AZ48,$AY$5:$AY$49),0),1),"")</f>
        <v/>
      </c>
      <c r="BA49" s="8" t="str">
        <f t="shared" si="18"/>
        <v/>
      </c>
      <c r="BB49" s="8" t="str">
        <f t="shared" si="14"/>
        <v/>
      </c>
      <c r="BC49" s="123" t="str">
        <f t="array" ref="BC49">_xlfn.IFNA(INDEX($BB$6:$BB$49,MATCH(0,COUNTIF($BC$4:BC48,$BB$6:$BB$49),0),1),"")</f>
        <v/>
      </c>
      <c r="BD49" s="8" t="str">
        <f t="shared" si="19"/>
        <v/>
      </c>
      <c r="BE49" s="209" t="str">
        <f t="shared" si="25"/>
        <v/>
      </c>
      <c r="BF49" s="123" t="str">
        <f t="array" ref="BF49">_xlfn.IFNA(INDEX($BE$5:$BE$49,MATCH(0,COUNTIF($BF$4:BF48,$BE$5:$BE$49),0),1),"")</f>
        <v/>
      </c>
      <c r="BG49" s="203" t="str">
        <f t="shared" si="21"/>
        <v/>
      </c>
      <c r="BI49" s="101" t="str">
        <f t="array" ref="BI49">_xlfn.IFNA(INDEX($F$5:$F$49,MATCH(0,COUNTIF($BI$4:BI48,$F$5:$F$49),0),1),"")</f>
        <v/>
      </c>
      <c r="BJ49" s="206" t="str">
        <f t="shared" si="16"/>
        <v/>
      </c>
      <c r="BP49" s="372" t="str">
        <f>_xlfn.IFNA(IF(B48&lt;&gt;"",IF(AND(ISBLANK('1.4 Analyse &amp; Synthese'!N50),ISBLANK('1.4 Analyse &amp; Synthese'!O50),ISBLANK('1.4 Analyse &amp; Synthese'!P50)),IF('1.4 Analyse &amp; Synthese'!M50="x",1,0),""),""),"")</f>
        <v/>
      </c>
      <c r="BQ49" s="123" t="str">
        <f>_xlfn.IFNA(IF(B48&lt;&gt;"",IF(AND(ISBLANK('1.4 Analyse &amp; Synthese'!M50),ISBLANK('1.4 Analyse &amp; Synthese'!O50),ISBLANK('1.4 Analyse &amp; Synthese'!P50)),IF('1.4 Analyse &amp; Synthese'!N50="x",1,0),""),""),"")</f>
        <v/>
      </c>
      <c r="BR49" s="123" t="str">
        <f>_xlfn.IFNA(IF(B48&lt;&gt;"",IF(AND(ISBLANK('1.4 Analyse &amp; Synthese'!M50),ISBLANK('1.4 Analyse &amp; Synthese'!N50),ISBLANK('1.4 Analyse &amp; Synthese'!P50)),IF('1.4 Analyse &amp; Synthese'!O50="x",1,0),""),""),"")</f>
        <v/>
      </c>
      <c r="BS49" s="123" t="str">
        <f>_xlfn.IFNA(IF(B48&lt;&gt;"",IF(AND('1.4 Analyse &amp; Synthese'!M50="X",'1.4 Analyse &amp; Synthese'!N50="X",'1.4 Analyse &amp; Synthese'!O50="X"),1,0),""),"")</f>
        <v/>
      </c>
      <c r="BT49" s="123" t="str">
        <f>_xlfn.IFNA(IF(B48&lt;&gt;"",IF(AND(ISBLANK('1.4 Analyse &amp; Synthese'!M50),ISBLANK('1.4 Analyse &amp; Synthese'!N50),ISBLANK('1.4 Analyse &amp; Synthese'!O50)),1,0),""),"")</f>
        <v/>
      </c>
      <c r="BU49" s="123">
        <f>_xlfn.IFNA(IF(B48&lt;&gt;"",IF(OR(AND('1.4 Analyse &amp; Synthese'!M50="X",'1.4 Analyse &amp; Synthese'!N50="X",'1.4 Analyse &amp; Synthese'!O50=""),AND('1.4 Analyse &amp; Synthese'!M50="X",'1.4 Analyse &amp; Synthese'!N50="",'1.4 Analyse &amp; Synthese'!O50="X"),AND('1.4 Analyse &amp; Synthese'!M50="",'1.4 Analyse &amp; Synthese'!N50="X",'1.4 Analyse &amp; Synthese'!O50="X")),1,0),0),"")</f>
        <v>0</v>
      </c>
      <c r="BV49" s="373" t="str">
        <f>_xlfn.IFNA(IF(B48&lt;&gt;"",IF(AND(ISBLANK('1.4 Analyse &amp; Synthese'!M50),ISBLANK('1.4 Analyse &amp; Synthese'!N50),ISBLANK('1.4 Analyse &amp; Synthese'!O50)),IF('1.4 Analyse &amp; Synthese'!P50="x",1,0),""),""),"")</f>
        <v/>
      </c>
    </row>
    <row r="50" spans="2:74" x14ac:dyDescent="0.2">
      <c r="B50" s="127" t="str">
        <f>IF('1.4 Analyse &amp; Synthese'!B52&lt;&gt;0,'1.4 Analyse &amp; Synthese'!B52,"")</f>
        <v/>
      </c>
      <c r="C50" t="str">
        <f>_xlfn.IFNA(IF(B50&lt;&gt;0,VLOOKUP($B50,Tabelle3[[1]:[3]],2)),"")</f>
        <v/>
      </c>
      <c r="D50" t="str">
        <f>_xlfn.IFNA(IF(B50&lt;&gt;0,VLOOKUP($B50,Tabelle3[[1]:[3]],3)),"")</f>
        <v/>
      </c>
      <c r="E50" t="str">
        <f>_xlfn.IFNA(IF(B50&lt;&gt;0,VLOOKUP($B50,Tabelle3[[1]:[4]],4)),"")</f>
        <v/>
      </c>
      <c r="F50" t="str">
        <f>_xlfn.IFNA(IF(B50&lt;&gt;0,VLOOKUP($B50,Tabelle3[[1]:[5]],5)),"")</f>
        <v/>
      </c>
      <c r="G50" s="101" t="str">
        <f>_xlfn.IFNA(IF(B50&lt;&gt;0,VLOOKUP($B50,Tabelle3[[1]:[Aggregator/Integrator]],10)),"")</f>
        <v/>
      </c>
      <c r="H50" s="101" t="str">
        <f>_xlfn.IFNA(IF(B50&lt;&gt;0,VLOOKUP($B50,Tabelle3[[1]:[ITSVN Akteure]],11)),"")</f>
        <v/>
      </c>
      <c r="I50" s="101" t="str">
        <f>_xlfn.IFNA(IF(B50&lt;&gt;0,VLOOKUP($B50,Tabelle3[[1]:[IaaS]],12)),"")</f>
        <v/>
      </c>
      <c r="J50" s="101" t="str">
        <f>_xlfn.IFNA(IF(B50&lt;&gt;0,VLOOKUP($B50,Tabelle3[[1]:[PaaS]],13)),"")</f>
        <v/>
      </c>
      <c r="K50" s="101" t="str">
        <f>_xlfn.IFNA(IF(B50&lt;&gt;0,VLOOKUP($B50,Tabelle3[[1]:[SaaS]],14)),"")</f>
        <v/>
      </c>
      <c r="L50" s="101" t="str">
        <f>_xlfn.IFNA(IF(B50&lt;&gt;0,VLOOKUP($B50,Tabelle3[[1]:[DaaS]],15)),"")</f>
        <v/>
      </c>
      <c r="M50" s="101">
        <f>IF(B50&lt;&gt;0,COUNTIF('1.4 Analyse &amp; Synthese'!Q52:AJ52,1))</f>
        <v>0</v>
      </c>
      <c r="N50" s="101">
        <f>IF(B50&lt;&gt;0,COUNTIF('1.4 Analyse &amp; Synthese'!Q52:AJ52,3))</f>
        <v>0</v>
      </c>
      <c r="O50" s="101" t="str">
        <f t="array" ref="O50">_xlfn.IFNA(INDEX($D$5:$D$49,MATCH(0,COUNTIF($O$4:O49,$D$5:$D$49),0),1),"")</f>
        <v/>
      </c>
      <c r="BO50" s="8"/>
      <c r="BP50" s="372" t="str">
        <f>_xlfn.IFNA(IF(B49&lt;&gt;"",IF(AND(ISBLANK('1.4 Analyse &amp; Synthese'!N51),ISBLANK('1.4 Analyse &amp; Synthese'!O51),ISBLANK('1.4 Analyse &amp; Synthese'!P51)),IF('1.4 Analyse &amp; Synthese'!M51="x",1,0),""),""),"")</f>
        <v/>
      </c>
      <c r="BQ50" s="123" t="str">
        <f>_xlfn.IFNA(IF(B49&lt;&gt;"",IF(AND(ISBLANK('1.4 Analyse &amp; Synthese'!M51),ISBLANK('1.4 Analyse &amp; Synthese'!O51),ISBLANK('1.4 Analyse &amp; Synthese'!P51)),IF('1.4 Analyse &amp; Synthese'!N51="x",1,0),""),""),"")</f>
        <v/>
      </c>
      <c r="BR50" s="123" t="str">
        <f>_xlfn.IFNA(IF(B49&lt;&gt;"",IF(AND(ISBLANK('1.4 Analyse &amp; Synthese'!M51),ISBLANK('1.4 Analyse &amp; Synthese'!N51),ISBLANK('1.4 Analyse &amp; Synthese'!P51)),IF('1.4 Analyse &amp; Synthese'!O51="x",1,0),""),""),"")</f>
        <v/>
      </c>
      <c r="BS50" s="123" t="str">
        <f>_xlfn.IFNA(IF(B49&lt;&gt;"",IF(AND('1.4 Analyse &amp; Synthese'!M51="X",'1.4 Analyse &amp; Synthese'!N51="X",'1.4 Analyse &amp; Synthese'!O51="X"),1,0),""),"")</f>
        <v/>
      </c>
      <c r="BT50" s="123" t="str">
        <f>_xlfn.IFNA(IF(B49&lt;&gt;"",IF(AND(ISBLANK('1.4 Analyse &amp; Synthese'!M51),ISBLANK('1.4 Analyse &amp; Synthese'!N51),ISBLANK('1.4 Analyse &amp; Synthese'!O51)),1,0),""),"")</f>
        <v/>
      </c>
      <c r="BU50" s="123">
        <f>_xlfn.IFNA(IF(B49&lt;&gt;"",IF(OR(AND('1.4 Analyse &amp; Synthese'!M51="X",'1.4 Analyse &amp; Synthese'!N51="X",'1.4 Analyse &amp; Synthese'!O51=""),AND('1.4 Analyse &amp; Synthese'!M51="X",'1.4 Analyse &amp; Synthese'!N51="",'1.4 Analyse &amp; Synthese'!O51="X"),AND('1.4 Analyse &amp; Synthese'!M51="",'1.4 Analyse &amp; Synthese'!N51="X",'1.4 Analyse &amp; Synthese'!O51="X")),1,0),0),"")</f>
        <v>0</v>
      </c>
      <c r="BV50" s="373" t="str">
        <f>_xlfn.IFNA(IF(B49&lt;&gt;"",IF(AND(ISBLANK('1.4 Analyse &amp; Synthese'!M51),ISBLANK('1.4 Analyse &amp; Synthese'!N51),ISBLANK('1.4 Analyse &amp; Synthese'!O51)),IF('1.4 Analyse &amp; Synthese'!P51="x",1,0),""),""),"")</f>
        <v/>
      </c>
    </row>
    <row r="51" spans="2:74" x14ac:dyDescent="0.2">
      <c r="B51" s="127" t="str">
        <f>IF('1.4 Analyse &amp; Synthese'!B53&lt;&gt;0,'1.4 Analyse &amp; Synthese'!B53,"")</f>
        <v/>
      </c>
      <c r="C51" t="str">
        <f>_xlfn.IFNA(IF(B51&lt;&gt;0,VLOOKUP($B51,Tabelle3[[1]:[3]],2)),"")</f>
        <v/>
      </c>
      <c r="D51" t="str">
        <f>_xlfn.IFNA(IF(B51&lt;&gt;0,VLOOKUP($B51,Tabelle3[[1]:[3]],3)),"")</f>
        <v/>
      </c>
      <c r="E51" t="str">
        <f>_xlfn.IFNA(IF(B51&lt;&gt;0,VLOOKUP($B51,Tabelle3[[1]:[4]],4)),"")</f>
        <v/>
      </c>
      <c r="F51" t="str">
        <f>_xlfn.IFNA(IF(B51&lt;&gt;0,VLOOKUP($B51,Tabelle3[[1]:[5]],5)),"")</f>
        <v/>
      </c>
      <c r="G51" s="101" t="str">
        <f>_xlfn.IFNA(IF(B51&lt;&gt;0,VLOOKUP($B51,Tabelle3[[1]:[Aggregator/Integrator]],10)),"")</f>
        <v/>
      </c>
      <c r="H51" s="101" t="str">
        <f>_xlfn.IFNA(IF(B51&lt;&gt;0,VLOOKUP($B51,Tabelle3[[1]:[ITSVN Akteure]],11)),"")</f>
        <v/>
      </c>
      <c r="I51" s="101" t="str">
        <f>_xlfn.IFNA(IF(B51&lt;&gt;0,VLOOKUP($B51,Tabelle3[[1]:[IaaS]],12)),"")</f>
        <v/>
      </c>
      <c r="J51" s="101" t="str">
        <f>_xlfn.IFNA(IF(B51&lt;&gt;0,VLOOKUP($B51,Tabelle3[[1]:[PaaS]],13)),"")</f>
        <v/>
      </c>
      <c r="K51" s="101" t="str">
        <f>_xlfn.IFNA(IF(B51&lt;&gt;0,VLOOKUP($B51,Tabelle3[[1]:[SaaS]],14)),"")</f>
        <v/>
      </c>
      <c r="L51" s="101" t="str">
        <f>_xlfn.IFNA(IF(B51&lt;&gt;0,VLOOKUP($B51,Tabelle3[[1]:[DaaS]],15)),"")</f>
        <v/>
      </c>
      <c r="M51" s="101">
        <f>IF(B51&lt;&gt;0,COUNTIF('1.4 Analyse &amp; Synthese'!Q53:AJ53,1))</f>
        <v>0</v>
      </c>
      <c r="N51" s="101">
        <f>IF(B51&lt;&gt;0,COUNTIF('1.4 Analyse &amp; Synthese'!Q53:AJ53,3))</f>
        <v>0</v>
      </c>
      <c r="O51" s="101" t="str">
        <f t="array" ref="O51">_xlfn.IFNA(INDEX($D$5:$D$49,MATCH(0,COUNTIF($O$4:O50,$D$5:$D$49),0),1),"")</f>
        <v/>
      </c>
      <c r="BO51" s="8"/>
      <c r="BP51" s="372" t="str">
        <f>_xlfn.IFNA(IF(B50&lt;&gt;"",IF(AND(ISBLANK('1.4 Analyse &amp; Synthese'!N52),ISBLANK('1.4 Analyse &amp; Synthese'!O52),ISBLANK('1.4 Analyse &amp; Synthese'!P52)),IF('1.4 Analyse &amp; Synthese'!M52="x",1,0),""),""),"")</f>
        <v/>
      </c>
      <c r="BQ51" s="123" t="str">
        <f>_xlfn.IFNA(IF(B50&lt;&gt;"",IF(AND(ISBLANK('1.4 Analyse &amp; Synthese'!M52),ISBLANK('1.4 Analyse &amp; Synthese'!O52),ISBLANK('1.4 Analyse &amp; Synthese'!P52)),IF('1.4 Analyse &amp; Synthese'!N52="x",1,0),""),""),"")</f>
        <v/>
      </c>
      <c r="BR51" s="123" t="str">
        <f>_xlfn.IFNA(IF(B50&lt;&gt;"",IF(AND(ISBLANK('1.4 Analyse &amp; Synthese'!M52),ISBLANK('1.4 Analyse &amp; Synthese'!N52),ISBLANK('1.4 Analyse &amp; Synthese'!P52)),IF('1.4 Analyse &amp; Synthese'!O52="x",1,0),""),""),"")</f>
        <v/>
      </c>
      <c r="BS51" s="123" t="str">
        <f>_xlfn.IFNA(IF(B50&lt;&gt;"",IF(AND('1.4 Analyse &amp; Synthese'!M52="X",'1.4 Analyse &amp; Synthese'!N52="X",'1.4 Analyse &amp; Synthese'!O52="X"),1,0),""),"")</f>
        <v/>
      </c>
      <c r="BT51" s="123" t="str">
        <f>_xlfn.IFNA(IF(B50&lt;&gt;"",IF(AND(ISBLANK('1.4 Analyse &amp; Synthese'!M52),ISBLANK('1.4 Analyse &amp; Synthese'!N52),ISBLANK('1.4 Analyse &amp; Synthese'!O52)),1,0),""),"")</f>
        <v/>
      </c>
      <c r="BU51" s="123">
        <f>_xlfn.IFNA(IF(B50&lt;&gt;"",IF(OR(AND('1.4 Analyse &amp; Synthese'!M52="X",'1.4 Analyse &amp; Synthese'!N52="X",'1.4 Analyse &amp; Synthese'!O52=""),AND('1.4 Analyse &amp; Synthese'!M52="X",'1.4 Analyse &amp; Synthese'!N52="",'1.4 Analyse &amp; Synthese'!O52="X"),AND('1.4 Analyse &amp; Synthese'!M52="",'1.4 Analyse &amp; Synthese'!N52="X",'1.4 Analyse &amp; Synthese'!O52="X")),1,0),0),"")</f>
        <v>0</v>
      </c>
      <c r="BV51" s="373" t="str">
        <f>_xlfn.IFNA(IF(F50&lt;&gt;"",IF(AND(ISBLANK('1.4 Analyse &amp; Synthese'!Q52),ISBLANK('1.4 Analyse &amp; Synthese'!R52),ISBLANK('1.4 Analyse &amp; Synthese'!S52)),IF('1.4 Analyse &amp; Synthese'!T52="x",1,0),""),""),"")</f>
        <v/>
      </c>
    </row>
    <row r="52" spans="2:74" x14ac:dyDescent="0.2">
      <c r="B52" s="127" t="str">
        <f>IF('1.4 Analyse &amp; Synthese'!B54&lt;&gt;0,'1.4 Analyse &amp; Synthese'!B54,"")</f>
        <v/>
      </c>
      <c r="C52" t="str">
        <f>_xlfn.IFNA(IF(B52&lt;&gt;0,VLOOKUP($B52,Tabelle3[[1]:[3]],2)),"")</f>
        <v/>
      </c>
      <c r="D52" t="str">
        <f>_xlfn.IFNA(IF(B52&lt;&gt;0,VLOOKUP($B52,Tabelle3[[1]:[3]],3)),"")</f>
        <v/>
      </c>
      <c r="E52" t="str">
        <f>_xlfn.IFNA(IF(B52&lt;&gt;0,VLOOKUP($B52,Tabelle3[[1]:[4]],4)),"")</f>
        <v/>
      </c>
      <c r="F52" t="str">
        <f>_xlfn.IFNA(IF(B52&lt;&gt;0,VLOOKUP($B52,Tabelle3[[1]:[5]],5)),"")</f>
        <v/>
      </c>
      <c r="G52" s="101" t="str">
        <f>_xlfn.IFNA(IF(B52&lt;&gt;0,VLOOKUP($B52,Tabelle3[[1]:[Aggregator/Integrator]],10)),"")</f>
        <v/>
      </c>
      <c r="H52" s="101" t="str">
        <f>_xlfn.IFNA(IF(B52&lt;&gt;0,VLOOKUP($B52,Tabelle3[[1]:[ITSVN Akteure]],11)),"")</f>
        <v/>
      </c>
      <c r="I52" s="101" t="str">
        <f>_xlfn.IFNA(IF(B52&lt;&gt;0,VLOOKUP($B52,Tabelle3[[1]:[IaaS]],12)),"")</f>
        <v/>
      </c>
      <c r="J52" s="101" t="str">
        <f>_xlfn.IFNA(IF(B52&lt;&gt;0,VLOOKUP($B52,Tabelle3[[1]:[PaaS]],13)),"")</f>
        <v/>
      </c>
      <c r="K52" s="101" t="str">
        <f>_xlfn.IFNA(IF(B52&lt;&gt;0,VLOOKUP($B52,Tabelle3[[1]:[SaaS]],14)),"")</f>
        <v/>
      </c>
      <c r="L52" s="101" t="str">
        <f>_xlfn.IFNA(IF(B52&lt;&gt;0,VLOOKUP($B52,Tabelle3[[1]:[DaaS]],15)),"")</f>
        <v/>
      </c>
      <c r="M52" s="101">
        <f>IF(B52&lt;&gt;0,COUNTIF('1.4 Analyse &amp; Synthese'!Q54:AJ54,1))</f>
        <v>0</v>
      </c>
      <c r="N52" s="101">
        <f>IF(B52&lt;&gt;0,COUNTIF('1.4 Analyse &amp; Synthese'!Q54:AJ54,3))</f>
        <v>0</v>
      </c>
      <c r="O52" s="101" t="str">
        <f t="array" ref="O52">_xlfn.IFNA(INDEX($D$5:$D$49,MATCH(0,COUNTIF($O$4:O51,$D$5:$D$49),0),1),"")</f>
        <v/>
      </c>
      <c r="BO52" s="8"/>
      <c r="BP52" s="372" t="str">
        <f>_xlfn.IFNA(IF(B51&lt;&gt;"",IF(AND(ISBLANK('1.4 Analyse &amp; Synthese'!N53),ISBLANK('1.4 Analyse &amp; Synthese'!O53),ISBLANK('1.4 Analyse &amp; Synthese'!P53)),IF('1.4 Analyse &amp; Synthese'!M53="x",1,0),""),""),"")</f>
        <v/>
      </c>
      <c r="BQ52" s="123" t="str">
        <f>_xlfn.IFNA(IF(B51&lt;&gt;"",IF(AND(ISBLANK('1.4 Analyse &amp; Synthese'!M53),ISBLANK('1.4 Analyse &amp; Synthese'!O53),ISBLANK('1.4 Analyse &amp; Synthese'!P53)),IF('1.4 Analyse &amp; Synthese'!N53="x",1,0),""),""),"")</f>
        <v/>
      </c>
      <c r="BR52" s="123" t="str">
        <f>_xlfn.IFNA(IF(B51&lt;&gt;"",IF(AND(ISBLANK('1.4 Analyse &amp; Synthese'!M53),ISBLANK('1.4 Analyse &amp; Synthese'!N53),ISBLANK('1.4 Analyse &amp; Synthese'!P53)),IF('1.4 Analyse &amp; Synthese'!O53="x",1,0),""),""),"")</f>
        <v/>
      </c>
      <c r="BS52" s="123" t="str">
        <f>_xlfn.IFNA(IF(B51&lt;&gt;"",IF(AND('1.4 Analyse &amp; Synthese'!M53="X",'1.4 Analyse &amp; Synthese'!N53="X",'1.4 Analyse &amp; Synthese'!O53="X"),1,0),""),"")</f>
        <v/>
      </c>
      <c r="BT52" s="123" t="str">
        <f>_xlfn.IFNA(IF(B51&lt;&gt;"",IF(AND(ISBLANK('1.4 Analyse &amp; Synthese'!M53),ISBLANK('1.4 Analyse &amp; Synthese'!N53),ISBLANK('1.4 Analyse &amp; Synthese'!O53)),1,0),""),"")</f>
        <v/>
      </c>
      <c r="BU52" s="123">
        <f>_xlfn.IFNA(IF(B51&lt;&gt;"",IF(OR(AND('1.4 Analyse &amp; Synthese'!M53="X",'1.4 Analyse &amp; Synthese'!N53="X",'1.4 Analyse &amp; Synthese'!O53=""),AND('1.4 Analyse &amp; Synthese'!M53="X",'1.4 Analyse &amp; Synthese'!N53="",'1.4 Analyse &amp; Synthese'!O53="X"),AND('1.4 Analyse &amp; Synthese'!M53="",'1.4 Analyse &amp; Synthese'!N53="X",'1.4 Analyse &amp; Synthese'!O53="X")),1,0),0),"")</f>
        <v>0</v>
      </c>
      <c r="BV52" s="373" t="str">
        <f>_xlfn.IFNA(IF(F51&lt;&gt;"",IF(AND(ISBLANK('1.4 Analyse &amp; Synthese'!Q53),ISBLANK('1.4 Analyse &amp; Synthese'!R53),ISBLANK('1.4 Analyse &amp; Synthese'!S53)),IF('1.4 Analyse &amp; Synthese'!T53="x",1,0),""),""),"")</f>
        <v/>
      </c>
    </row>
    <row r="53" spans="2:74" x14ac:dyDescent="0.2">
      <c r="B53" s="127" t="str">
        <f>IF('1.4 Analyse &amp; Synthese'!B55&lt;&gt;0,'1.4 Analyse &amp; Synthese'!B55,"")</f>
        <v/>
      </c>
      <c r="C53" t="str">
        <f>_xlfn.IFNA(IF(B53&lt;&gt;0,VLOOKUP($B53,Tabelle3[[1]:[3]],2)),"")</f>
        <v/>
      </c>
      <c r="D53" t="str">
        <f>_xlfn.IFNA(IF(B53&lt;&gt;0,VLOOKUP($B53,Tabelle3[[1]:[3]],3)),"")</f>
        <v/>
      </c>
      <c r="E53" t="str">
        <f>_xlfn.IFNA(IF(B53&lt;&gt;0,VLOOKUP($B53,Tabelle3[[1]:[4]],4)),"")</f>
        <v/>
      </c>
      <c r="F53" t="str">
        <f>_xlfn.IFNA(IF(B53&lt;&gt;0,VLOOKUP($B53,Tabelle3[[1]:[5]],5)),"")</f>
        <v/>
      </c>
      <c r="G53" s="101" t="str">
        <f>_xlfn.IFNA(IF(B53&lt;&gt;0,VLOOKUP($B53,Tabelle3[[1]:[Aggregator/Integrator]],10)),"")</f>
        <v/>
      </c>
      <c r="H53" s="101" t="str">
        <f>_xlfn.IFNA(IF(B53&lt;&gt;0,VLOOKUP($B53,Tabelle3[[1]:[ITSVN Akteure]],11)),"")</f>
        <v/>
      </c>
      <c r="I53" s="101" t="str">
        <f>_xlfn.IFNA(IF(B53&lt;&gt;0,VLOOKUP($B53,Tabelle3[[1]:[IaaS]],12)),"")</f>
        <v/>
      </c>
      <c r="J53" s="101" t="str">
        <f>_xlfn.IFNA(IF(B53&lt;&gt;0,VLOOKUP($B53,Tabelle3[[1]:[PaaS]],13)),"")</f>
        <v/>
      </c>
      <c r="K53" s="101" t="str">
        <f>_xlfn.IFNA(IF(B53&lt;&gt;0,VLOOKUP($B53,Tabelle3[[1]:[SaaS]],14)),"")</f>
        <v/>
      </c>
      <c r="L53" s="101" t="str">
        <f>_xlfn.IFNA(IF(B53&lt;&gt;0,VLOOKUP($B53,Tabelle3[[1]:[DaaS]],15)),"")</f>
        <v/>
      </c>
      <c r="M53" s="101">
        <f>IF(B53&lt;&gt;0,COUNTIF('1.4 Analyse &amp; Synthese'!Q55:AJ55,1))</f>
        <v>0</v>
      </c>
      <c r="N53" s="101">
        <f>IF(B53&lt;&gt;0,COUNTIF('1.4 Analyse &amp; Synthese'!Q55:AJ55,3))</f>
        <v>0</v>
      </c>
      <c r="O53" s="101" t="str">
        <f t="array" ref="O53">_xlfn.IFNA(INDEX($D$5:$D$49,MATCH(0,COUNTIF($O$4:O52,$D$5:$D$49),0),1),"")</f>
        <v/>
      </c>
      <c r="BO53" s="8"/>
      <c r="BP53" s="372" t="str">
        <f>_xlfn.IFNA(IF(B52&lt;&gt;"",IF(AND(ISBLANK('1.4 Analyse &amp; Synthese'!N54),ISBLANK('1.4 Analyse &amp; Synthese'!O54),ISBLANK('1.4 Analyse &amp; Synthese'!P54)),IF('1.4 Analyse &amp; Synthese'!M54="x",1,0),""),""),"")</f>
        <v/>
      </c>
      <c r="BQ53" s="123" t="str">
        <f>_xlfn.IFNA(IF(B52&lt;&gt;"",IF(AND(ISBLANK('1.4 Analyse &amp; Synthese'!M54),ISBLANK('1.4 Analyse &amp; Synthese'!O54),ISBLANK('1.4 Analyse &amp; Synthese'!P54)),IF('1.4 Analyse &amp; Synthese'!N54="x",1,0),""),""),"")</f>
        <v/>
      </c>
      <c r="BR53" s="123" t="str">
        <f>_xlfn.IFNA(IF(B52&lt;&gt;"",IF(AND(ISBLANK('1.4 Analyse &amp; Synthese'!M54),ISBLANK('1.4 Analyse &amp; Synthese'!N54),ISBLANK('1.4 Analyse &amp; Synthese'!P54)),IF('1.4 Analyse &amp; Synthese'!O54="x",1,0),""),""),"")</f>
        <v/>
      </c>
      <c r="BS53" s="123" t="str">
        <f>_xlfn.IFNA(IF(B52&lt;&gt;"",IF(AND('1.4 Analyse &amp; Synthese'!M54="X",'1.4 Analyse &amp; Synthese'!N54="X",'1.4 Analyse &amp; Synthese'!O54="X"),1,0),""),"")</f>
        <v/>
      </c>
      <c r="BT53" s="123" t="str">
        <f>_xlfn.IFNA(IF(B52&lt;&gt;"",IF(AND(ISBLANK('1.4 Analyse &amp; Synthese'!M54),ISBLANK('1.4 Analyse &amp; Synthese'!N54),ISBLANK('1.4 Analyse &amp; Synthese'!O54)),1,0),""),"")</f>
        <v/>
      </c>
      <c r="BU53" s="123">
        <f>_xlfn.IFNA(IF(B52&lt;&gt;"",IF(OR(AND('1.4 Analyse &amp; Synthese'!M54="X",'1.4 Analyse &amp; Synthese'!N54="X",'1.4 Analyse &amp; Synthese'!O54=""),AND('1.4 Analyse &amp; Synthese'!M54="X",'1.4 Analyse &amp; Synthese'!N54="",'1.4 Analyse &amp; Synthese'!O54="X"),AND('1.4 Analyse &amp; Synthese'!M54="",'1.4 Analyse &amp; Synthese'!N54="X",'1.4 Analyse &amp; Synthese'!O54="X")),1,0),0),"")</f>
        <v>0</v>
      </c>
      <c r="BV53" s="373" t="str">
        <f>_xlfn.IFNA(IF(F52&lt;&gt;"",IF(AND(ISBLANK('1.4 Analyse &amp; Synthese'!Q54),ISBLANK('1.4 Analyse &amp; Synthese'!R54),ISBLANK('1.4 Analyse &amp; Synthese'!S54)),IF('1.4 Analyse &amp; Synthese'!T54="x",1,0),""),""),"")</f>
        <v/>
      </c>
    </row>
    <row r="54" spans="2:74" x14ac:dyDescent="0.2">
      <c r="B54" s="127" t="str">
        <f>IF('1.4 Analyse &amp; Synthese'!B56&lt;&gt;0,'1.4 Analyse &amp; Synthese'!B56,"")</f>
        <v/>
      </c>
      <c r="C54" t="str">
        <f>_xlfn.IFNA(IF(B54&lt;&gt;0,VLOOKUP($B54,Tabelle3[[1]:[3]],2)),"")</f>
        <v/>
      </c>
      <c r="D54" t="str">
        <f>_xlfn.IFNA(IF(B54&lt;&gt;0,VLOOKUP($B54,Tabelle3[[1]:[3]],3)),"")</f>
        <v/>
      </c>
      <c r="E54" t="str">
        <f>_xlfn.IFNA(IF(B54&lt;&gt;0,VLOOKUP($B54,Tabelle3[[1]:[4]],4)),"")</f>
        <v/>
      </c>
      <c r="F54" t="str">
        <f>_xlfn.IFNA(IF(B54&lt;&gt;0,VLOOKUP($B54,Tabelle3[[1]:[5]],5)),"")</f>
        <v/>
      </c>
      <c r="G54" s="101" t="str">
        <f>_xlfn.IFNA(IF(B54&lt;&gt;0,VLOOKUP($B54,Tabelle3[[1]:[Aggregator/Integrator]],10)),"")</f>
        <v/>
      </c>
      <c r="H54" s="101" t="str">
        <f>_xlfn.IFNA(IF(B54&lt;&gt;0,VLOOKUP($B54,Tabelle3[[1]:[ITSVN Akteure]],11)),"")</f>
        <v/>
      </c>
      <c r="I54" s="101" t="str">
        <f>_xlfn.IFNA(IF(B54&lt;&gt;0,VLOOKUP($B54,Tabelle3[[1]:[IaaS]],12)),"")</f>
        <v/>
      </c>
      <c r="J54" s="101" t="str">
        <f>_xlfn.IFNA(IF(B54&lt;&gt;0,VLOOKUP($B54,Tabelle3[[1]:[PaaS]],13)),"")</f>
        <v/>
      </c>
      <c r="K54" s="101" t="str">
        <f>_xlfn.IFNA(IF(B54&lt;&gt;0,VLOOKUP($B54,Tabelle3[[1]:[SaaS]],14)),"")</f>
        <v/>
      </c>
      <c r="L54" s="101" t="str">
        <f>_xlfn.IFNA(IF(B54&lt;&gt;0,VLOOKUP($B54,Tabelle3[[1]:[DaaS]],15)),"")</f>
        <v/>
      </c>
      <c r="M54" s="101">
        <f>IF(B54&lt;&gt;0,COUNTIF('1.4 Analyse &amp; Synthese'!Q56:AJ56,1))</f>
        <v>0</v>
      </c>
      <c r="N54" s="101">
        <f>IF(B54&lt;&gt;0,COUNTIF('1.4 Analyse &amp; Synthese'!Q56:AJ56,3))</f>
        <v>0</v>
      </c>
      <c r="O54" s="101" t="str">
        <f t="array" ref="O54">_xlfn.IFNA(INDEX($D$5:$D$49,MATCH(0,COUNTIF($O$4:O53,$D$5:$D$49),0),1),"")</f>
        <v/>
      </c>
      <c r="BO54" s="8"/>
      <c r="BP54" s="372" t="str">
        <f>_xlfn.IFNA(IF(B53&lt;&gt;"",IF(AND(ISBLANK('1.4 Analyse &amp; Synthese'!N55),ISBLANK('1.4 Analyse &amp; Synthese'!O55),ISBLANK('1.4 Analyse &amp; Synthese'!P55)),IF('1.4 Analyse &amp; Synthese'!M55="x",1,0),""),""),"")</f>
        <v/>
      </c>
      <c r="BQ54" s="123" t="str">
        <f>_xlfn.IFNA(IF(B53&lt;&gt;"",IF(AND(ISBLANK('1.4 Analyse &amp; Synthese'!M55),ISBLANK('1.4 Analyse &amp; Synthese'!O55),ISBLANK('1.4 Analyse &amp; Synthese'!P55)),IF('1.4 Analyse &amp; Synthese'!N55="x",1,0),""),""),"")</f>
        <v/>
      </c>
      <c r="BR54" s="123" t="str">
        <f>_xlfn.IFNA(IF(B53&lt;&gt;"",IF(AND(ISBLANK('1.4 Analyse &amp; Synthese'!M55),ISBLANK('1.4 Analyse &amp; Synthese'!N55),ISBLANK('1.4 Analyse &amp; Synthese'!P55)),IF('1.4 Analyse &amp; Synthese'!O55="x",1,0),""),""),"")</f>
        <v/>
      </c>
      <c r="BS54" s="123" t="str">
        <f>_xlfn.IFNA(IF(B53&lt;&gt;"",IF(AND('1.4 Analyse &amp; Synthese'!M55="X",'1.4 Analyse &amp; Synthese'!N55="X",'1.4 Analyse &amp; Synthese'!O55="X"),1,0),""),"")</f>
        <v/>
      </c>
      <c r="BT54" s="123" t="str">
        <f>_xlfn.IFNA(IF(B53&lt;&gt;"",IF(AND(ISBLANK('1.4 Analyse &amp; Synthese'!M55),ISBLANK('1.4 Analyse &amp; Synthese'!N55),ISBLANK('1.4 Analyse &amp; Synthese'!O55)),1,0),""),"")</f>
        <v/>
      </c>
      <c r="BU54" s="123">
        <f>_xlfn.IFNA(IF(B53&lt;&gt;"",IF(OR(AND('1.4 Analyse &amp; Synthese'!M55="X",'1.4 Analyse &amp; Synthese'!N55="X",'1.4 Analyse &amp; Synthese'!O55=""),AND('1.4 Analyse &amp; Synthese'!M55="X",'1.4 Analyse &amp; Synthese'!N55="",'1.4 Analyse &amp; Synthese'!O55="X"),AND('1.4 Analyse &amp; Synthese'!M55="",'1.4 Analyse &amp; Synthese'!N55="X",'1.4 Analyse &amp; Synthese'!O55="X")),1,0),0),"")</f>
        <v>0</v>
      </c>
      <c r="BV54" s="373" t="str">
        <f>_xlfn.IFNA(IF(F53&lt;&gt;"",IF(AND(ISBLANK('1.4 Analyse &amp; Synthese'!Q55),ISBLANK('1.4 Analyse &amp; Synthese'!R55),ISBLANK('1.4 Analyse &amp; Synthese'!S55)),IF('1.4 Analyse &amp; Synthese'!T55="x",1,0),""),""),"")</f>
        <v/>
      </c>
    </row>
    <row r="55" spans="2:74" x14ac:dyDescent="0.2">
      <c r="B55" s="127" t="str">
        <f>IF('1.4 Analyse &amp; Synthese'!B57&lt;&gt;0,'1.4 Analyse &amp; Synthese'!B57,"")</f>
        <v/>
      </c>
      <c r="C55" t="str">
        <f>_xlfn.IFNA(IF(B55&lt;&gt;0,VLOOKUP($B55,Tabelle3[[1]:[3]],2)),"")</f>
        <v/>
      </c>
      <c r="D55" t="str">
        <f>_xlfn.IFNA(IF(B55&lt;&gt;0,VLOOKUP($B55,Tabelle3[[1]:[3]],3)),"")</f>
        <v/>
      </c>
      <c r="E55" t="str">
        <f>_xlfn.IFNA(IF(B55&lt;&gt;0,VLOOKUP($B55,Tabelle3[[1]:[4]],4)),"")</f>
        <v/>
      </c>
      <c r="F55" t="str">
        <f>_xlfn.IFNA(IF(B55&lt;&gt;0,VLOOKUP($B55,Tabelle3[[1]:[5]],5)),"")</f>
        <v/>
      </c>
      <c r="G55" s="101" t="str">
        <f>_xlfn.IFNA(IF(B55&lt;&gt;0,VLOOKUP($B55,Tabelle3[[1]:[Aggregator/Integrator]],10)),"")</f>
        <v/>
      </c>
      <c r="H55" s="101" t="str">
        <f>_xlfn.IFNA(IF(B55&lt;&gt;0,VLOOKUP($B55,Tabelle3[[1]:[ITSVN Akteure]],11)),"")</f>
        <v/>
      </c>
      <c r="I55" s="101" t="str">
        <f>_xlfn.IFNA(IF(B55&lt;&gt;0,VLOOKUP($B55,Tabelle3[[1]:[IaaS]],12)),"")</f>
        <v/>
      </c>
      <c r="J55" s="101" t="str">
        <f>_xlfn.IFNA(IF(B55&lt;&gt;0,VLOOKUP($B55,Tabelle3[[1]:[PaaS]],13)),"")</f>
        <v/>
      </c>
      <c r="K55" s="101" t="str">
        <f>_xlfn.IFNA(IF(B55&lt;&gt;0,VLOOKUP($B55,Tabelle3[[1]:[SaaS]],14)),"")</f>
        <v/>
      </c>
      <c r="L55" s="101" t="str">
        <f>_xlfn.IFNA(IF(B55&lt;&gt;0,VLOOKUP($B55,Tabelle3[[1]:[DaaS]],15)),"")</f>
        <v/>
      </c>
      <c r="M55" s="101">
        <f>IF(B55&lt;&gt;0,COUNTIF('1.4 Analyse &amp; Synthese'!Q57:AJ57,1))</f>
        <v>0</v>
      </c>
      <c r="N55" s="101">
        <f>IF(B55&lt;&gt;0,COUNTIF('1.4 Analyse &amp; Synthese'!Q57:AJ57,3))</f>
        <v>0</v>
      </c>
      <c r="O55" s="101" t="str">
        <f t="array" ref="O55">_xlfn.IFNA(INDEX($D$5:$D$49,MATCH(0,COUNTIF($O$4:O54,$D$5:$D$49),0),1),"")</f>
        <v/>
      </c>
      <c r="BO55" s="8"/>
      <c r="BP55" s="372" t="str">
        <f>_xlfn.IFNA(IF(B54&lt;&gt;"",IF(AND(ISBLANK('1.4 Analyse &amp; Synthese'!N56),ISBLANK('1.4 Analyse &amp; Synthese'!O56),ISBLANK('1.4 Analyse &amp; Synthese'!P56)),IF('1.4 Analyse &amp; Synthese'!M56="x",1,0),""),""),"")</f>
        <v/>
      </c>
      <c r="BQ55" s="123" t="str">
        <f>_xlfn.IFNA(IF(B54&lt;&gt;"",IF(AND(ISBLANK('1.4 Analyse &amp; Synthese'!M56),ISBLANK('1.4 Analyse &amp; Synthese'!O56),ISBLANK('1.4 Analyse &amp; Synthese'!P56)),IF('1.4 Analyse &amp; Synthese'!N56="x",1,0),""),""),"")</f>
        <v/>
      </c>
      <c r="BR55" s="123" t="str">
        <f>_xlfn.IFNA(IF(B54&lt;&gt;"",IF(AND(ISBLANK('1.4 Analyse &amp; Synthese'!M56),ISBLANK('1.4 Analyse &amp; Synthese'!N56),ISBLANK('1.4 Analyse &amp; Synthese'!P56)),IF('1.4 Analyse &amp; Synthese'!O56="x",1,0),""),""),"")</f>
        <v/>
      </c>
      <c r="BS55" s="123" t="str">
        <f>_xlfn.IFNA(IF(B54&lt;&gt;"",IF(AND('1.4 Analyse &amp; Synthese'!M56="X",'1.4 Analyse &amp; Synthese'!N56="X",'1.4 Analyse &amp; Synthese'!O56="X"),1,0),""),"")</f>
        <v/>
      </c>
      <c r="BT55" s="123"/>
      <c r="BU55" s="123">
        <f>_xlfn.IFNA(IF(B54&lt;&gt;"",IF(OR(AND('1.4 Analyse &amp; Synthese'!M56="X",'1.4 Analyse &amp; Synthese'!N56="X",'1.4 Analyse &amp; Synthese'!O56=""),AND('1.4 Analyse &amp; Synthese'!M56="X",'1.4 Analyse &amp; Synthese'!N56="",'1.4 Analyse &amp; Synthese'!O56="X"),AND('1.4 Analyse &amp; Synthese'!M56="",'1.4 Analyse &amp; Synthese'!N56="X",'1.4 Analyse &amp; Synthese'!O56="X")),1,0),0),"")</f>
        <v>0</v>
      </c>
      <c r="BV55" s="373" t="str">
        <f>_xlfn.IFNA(IF(F54&lt;&gt;"",IF(AND(ISBLANK('1.4 Analyse &amp; Synthese'!Q56),ISBLANK('1.4 Analyse &amp; Synthese'!R56),ISBLANK('1.4 Analyse &amp; Synthese'!S56)),IF('1.4 Analyse &amp; Synthese'!T56="x",1,0),""),""),"")</f>
        <v/>
      </c>
    </row>
    <row r="56" spans="2:74" x14ac:dyDescent="0.2">
      <c r="B56" s="127" t="str">
        <f>IF('1.4 Analyse &amp; Synthese'!B58&lt;&gt;0,'1.4 Analyse &amp; Synthese'!B58,"")</f>
        <v/>
      </c>
      <c r="C56" t="str">
        <f>_xlfn.IFNA(IF(B56&lt;&gt;0,VLOOKUP($B56,Tabelle3[[1]:[3]],2)),"")</f>
        <v/>
      </c>
      <c r="D56" t="str">
        <f>_xlfn.IFNA(IF(B56&lt;&gt;0,VLOOKUP($B56,Tabelle3[[1]:[3]],3)),"")</f>
        <v/>
      </c>
      <c r="E56" t="str">
        <f>_xlfn.IFNA(IF(B56&lt;&gt;0,VLOOKUP($B56,Tabelle3[[1]:[4]],4)),"")</f>
        <v/>
      </c>
      <c r="F56" t="str">
        <f>_xlfn.IFNA(IF(B56&lt;&gt;0,VLOOKUP($B56,Tabelle3[[1]:[5]],5)),"")</f>
        <v/>
      </c>
      <c r="G56" s="101" t="str">
        <f>_xlfn.IFNA(IF(B56&lt;&gt;0,VLOOKUP($B56,Tabelle3[[1]:[Aggregator/Integrator]],10)),"")</f>
        <v/>
      </c>
      <c r="H56" s="101" t="str">
        <f>_xlfn.IFNA(IF(B56&lt;&gt;0,VLOOKUP($B56,Tabelle3[[1]:[ITSVN Akteure]],11)),"")</f>
        <v/>
      </c>
      <c r="I56" s="101" t="str">
        <f>_xlfn.IFNA(IF(B56&lt;&gt;0,VLOOKUP($B56,Tabelle3[[1]:[IaaS]],12)),"")</f>
        <v/>
      </c>
      <c r="J56" s="101" t="str">
        <f>_xlfn.IFNA(IF(B56&lt;&gt;0,VLOOKUP($B56,Tabelle3[[1]:[PaaS]],13)),"")</f>
        <v/>
      </c>
      <c r="K56" s="101" t="str">
        <f>_xlfn.IFNA(IF(B56&lt;&gt;0,VLOOKUP($B56,Tabelle3[[1]:[SaaS]],14)),"")</f>
        <v/>
      </c>
      <c r="L56" s="101" t="str">
        <f>_xlfn.IFNA(IF(B56&lt;&gt;0,VLOOKUP($B56,Tabelle3[[1]:[DaaS]],15)),"")</f>
        <v/>
      </c>
      <c r="M56" s="101">
        <f>IF(B56&lt;&gt;0,COUNTIF('1.4 Analyse &amp; Synthese'!Q58:AJ58,1))</f>
        <v>0</v>
      </c>
      <c r="N56" s="101">
        <f>IF(B56&lt;&gt;0,COUNTIF('1.4 Analyse &amp; Synthese'!Q58:AJ58,3))</f>
        <v>0</v>
      </c>
      <c r="O56" s="101" t="str">
        <f t="array" ref="O56">_xlfn.IFNA(INDEX($D$5:$D$49,MATCH(0,COUNTIF($O$4:O55,$D$5:$D$49),0),1),"")</f>
        <v/>
      </c>
      <c r="BO56" s="8"/>
      <c r="BP56" s="372" t="str">
        <f>_xlfn.IFNA(IF(B55&lt;&gt;"",IF(AND(ISBLANK('1.4 Analyse &amp; Synthese'!N57),ISBLANK('1.4 Analyse &amp; Synthese'!O57),ISBLANK('1.4 Analyse &amp; Synthese'!P57)),IF('1.4 Analyse &amp; Synthese'!M57="x",1,0),""),""),"")</f>
        <v/>
      </c>
      <c r="BQ56" s="123" t="str">
        <f>_xlfn.IFNA(IF(B55&lt;&gt;"",IF(AND(ISBLANK('1.4 Analyse &amp; Synthese'!M57),ISBLANK('1.4 Analyse &amp; Synthese'!O57),ISBLANK('1.4 Analyse &amp; Synthese'!P57)),IF('1.4 Analyse &amp; Synthese'!N57="x",1,0),""),""),"")</f>
        <v/>
      </c>
      <c r="BR56" s="123" t="str">
        <f>_xlfn.IFNA(IF(B55&lt;&gt;"",IF(AND(ISBLANK('1.4 Analyse &amp; Synthese'!M57),ISBLANK('1.4 Analyse &amp; Synthese'!N57),ISBLANK('1.4 Analyse &amp; Synthese'!P57)),IF('1.4 Analyse &amp; Synthese'!O57="x",1,0),""),""),"")</f>
        <v/>
      </c>
      <c r="BS56" s="123" t="str">
        <f>_xlfn.IFNA(IF(B55&lt;&gt;"",IF(AND('1.4 Analyse &amp; Synthese'!M57="X",'1.4 Analyse &amp; Synthese'!N57="X",'1.4 Analyse &amp; Synthese'!O57="X"),1,0),""),"")</f>
        <v/>
      </c>
      <c r="BT56" s="123"/>
      <c r="BU56" s="123">
        <f>_xlfn.IFNA(IF(B55&lt;&gt;"",IF(OR(AND('1.4 Analyse &amp; Synthese'!M57="X",'1.4 Analyse &amp; Synthese'!N57="X",'1.4 Analyse &amp; Synthese'!O57=""),AND('1.4 Analyse &amp; Synthese'!M57="X",'1.4 Analyse &amp; Synthese'!N57="",'1.4 Analyse &amp; Synthese'!O57="X"),AND('1.4 Analyse &amp; Synthese'!M57="",'1.4 Analyse &amp; Synthese'!N57="X",'1.4 Analyse &amp; Synthese'!O57="X")),1,0),0),"")</f>
        <v>0</v>
      </c>
      <c r="BV56" s="373" t="str">
        <f>_xlfn.IFNA(IF(F55&lt;&gt;"",IF(AND(ISBLANK('1.4 Analyse &amp; Synthese'!Q57),ISBLANK('1.4 Analyse &amp; Synthese'!R57),ISBLANK('1.4 Analyse &amp; Synthese'!S57)),IF('1.4 Analyse &amp; Synthese'!T57="x",1,0),""),""),"")</f>
        <v/>
      </c>
    </row>
    <row r="57" spans="2:74" x14ac:dyDescent="0.2">
      <c r="B57" s="127" t="str">
        <f>IF('1.4 Analyse &amp; Synthese'!B59&lt;&gt;0,'1.4 Analyse &amp; Synthese'!B59,"")</f>
        <v/>
      </c>
      <c r="C57" t="str">
        <f>_xlfn.IFNA(IF(B57&lt;&gt;0,VLOOKUP($B57,Tabelle3[[1]:[3]],2)),"")</f>
        <v/>
      </c>
      <c r="D57" t="str">
        <f>_xlfn.IFNA(IF(B57&lt;&gt;0,VLOOKUP($B57,Tabelle3[[1]:[3]],3)),"")</f>
        <v/>
      </c>
      <c r="E57" t="str">
        <f>_xlfn.IFNA(IF(B57&lt;&gt;0,VLOOKUP($B57,Tabelle3[[1]:[4]],4)),"")</f>
        <v/>
      </c>
      <c r="F57" t="str">
        <f>_xlfn.IFNA(IF(B57&lt;&gt;0,VLOOKUP($B57,Tabelle3[[1]:[5]],5)),"")</f>
        <v/>
      </c>
      <c r="G57" s="101" t="str">
        <f>_xlfn.IFNA(IF(B57&lt;&gt;0,VLOOKUP($B57,Tabelle3[[1]:[Aggregator/Integrator]],10)),"")</f>
        <v/>
      </c>
      <c r="H57" s="101" t="str">
        <f>_xlfn.IFNA(IF(B57&lt;&gt;0,VLOOKUP($B57,Tabelle3[[1]:[ITSVN Akteure]],11)),"")</f>
        <v/>
      </c>
      <c r="I57" s="101" t="str">
        <f>_xlfn.IFNA(IF(B57&lt;&gt;0,VLOOKUP($B57,Tabelle3[[1]:[IaaS]],12)),"")</f>
        <v/>
      </c>
      <c r="J57" s="101" t="str">
        <f>_xlfn.IFNA(IF(B57&lt;&gt;0,VLOOKUP($B57,Tabelle3[[1]:[PaaS]],13)),"")</f>
        <v/>
      </c>
      <c r="K57" s="101" t="str">
        <f>_xlfn.IFNA(IF(B57&lt;&gt;0,VLOOKUP($B57,Tabelle3[[1]:[SaaS]],14)),"")</f>
        <v/>
      </c>
      <c r="L57" s="101" t="str">
        <f>_xlfn.IFNA(IF(B57&lt;&gt;0,VLOOKUP($B57,Tabelle3[[1]:[DaaS]],15)),"")</f>
        <v/>
      </c>
      <c r="M57" s="101">
        <f>IF(B57&lt;&gt;0,COUNTIF('1.4 Analyse &amp; Synthese'!Q59:AJ59,1))</f>
        <v>0</v>
      </c>
      <c r="N57" s="101">
        <f>IF(B57&lt;&gt;0,COUNTIF('1.4 Analyse &amp; Synthese'!Q59:AJ59,3))</f>
        <v>0</v>
      </c>
      <c r="O57" s="101" t="str">
        <f t="array" ref="O57">_xlfn.IFNA(INDEX($D$5:$D$49,MATCH(0,COUNTIF($O$4:O56,$D$5:$D$49),0),1),"")</f>
        <v/>
      </c>
      <c r="BO57" s="8"/>
      <c r="BP57" s="372" t="str">
        <f>_xlfn.IFNA(IF(B56&lt;&gt;"",IF(AND(ISBLANK('1.4 Analyse &amp; Synthese'!N58),ISBLANK('1.4 Analyse &amp; Synthese'!O58),ISBLANK('1.4 Analyse &amp; Synthese'!P58)),IF('1.4 Analyse &amp; Synthese'!M58="x",1,0),""),""),"")</f>
        <v/>
      </c>
      <c r="BQ57" s="123" t="str">
        <f>_xlfn.IFNA(IF(B56&lt;&gt;"",IF(AND(ISBLANK('1.4 Analyse &amp; Synthese'!M58),ISBLANK('1.4 Analyse &amp; Synthese'!O58),ISBLANK('1.4 Analyse &amp; Synthese'!P58)),IF('1.4 Analyse &amp; Synthese'!N58="x",1,0),""),""),"")</f>
        <v/>
      </c>
      <c r="BR57" s="123" t="str">
        <f>_xlfn.IFNA(IF(B56&lt;&gt;"",IF(AND(ISBLANK('1.4 Analyse &amp; Synthese'!M58),ISBLANK('1.4 Analyse &amp; Synthese'!N58),ISBLANK('1.4 Analyse &amp; Synthese'!P58)),IF('1.4 Analyse &amp; Synthese'!O58="x",1,0),""),""),"")</f>
        <v/>
      </c>
      <c r="BS57" s="123"/>
      <c r="BT57" s="123"/>
      <c r="BU57" s="123">
        <f>_xlfn.IFNA(IF(B56&lt;&gt;"",IF(OR(AND('1.4 Analyse &amp; Synthese'!M58="X",'1.4 Analyse &amp; Synthese'!N58="X",'1.4 Analyse &amp; Synthese'!O58=""),AND('1.4 Analyse &amp; Synthese'!M58="X",'1.4 Analyse &amp; Synthese'!N58="",'1.4 Analyse &amp; Synthese'!O58="X"),AND('1.4 Analyse &amp; Synthese'!M58="",'1.4 Analyse &amp; Synthese'!N58="X",'1.4 Analyse &amp; Synthese'!O58="X")),1,0),0),"")</f>
        <v>0</v>
      </c>
      <c r="BV57" s="373" t="str">
        <f>_xlfn.IFNA(IF(F56&lt;&gt;"",IF(AND(ISBLANK('1.4 Analyse &amp; Synthese'!Q58),ISBLANK('1.4 Analyse &amp; Synthese'!R58),ISBLANK('1.4 Analyse &amp; Synthese'!S58)),IF('1.4 Analyse &amp; Synthese'!T58="x",1,0),""),""),"")</f>
        <v/>
      </c>
    </row>
    <row r="58" spans="2:74" x14ac:dyDescent="0.2">
      <c r="B58" s="127" t="str">
        <f>IF('1.4 Analyse &amp; Synthese'!B60&lt;&gt;0,'1.4 Analyse &amp; Synthese'!B60,"")</f>
        <v/>
      </c>
      <c r="C58" t="str">
        <f>_xlfn.IFNA(IF(B58&lt;&gt;0,VLOOKUP($B58,Tabelle3[[1]:[3]],2)),"")</f>
        <v/>
      </c>
      <c r="D58" t="str">
        <f>_xlfn.IFNA(IF(B58&lt;&gt;0,VLOOKUP($B58,Tabelle3[[1]:[3]],3)),"")</f>
        <v/>
      </c>
      <c r="E58" t="str">
        <f>_xlfn.IFNA(IF(B58&lt;&gt;0,VLOOKUP($B58,Tabelle3[[1]:[4]],4)),"")</f>
        <v/>
      </c>
      <c r="F58" t="str">
        <f>_xlfn.IFNA(IF(B58&lt;&gt;0,VLOOKUP($B58,Tabelle3[[1]:[5]],5)),"")</f>
        <v/>
      </c>
      <c r="G58" s="101" t="str">
        <f>_xlfn.IFNA(IF(B58&lt;&gt;0,VLOOKUP($B58,Tabelle3[[1]:[Aggregator/Integrator]],10)),"")</f>
        <v/>
      </c>
      <c r="H58" s="101" t="str">
        <f>_xlfn.IFNA(IF(B58&lt;&gt;0,VLOOKUP($B58,Tabelle3[[1]:[ITSVN Akteure]],11)),"")</f>
        <v/>
      </c>
      <c r="I58" s="101" t="str">
        <f>_xlfn.IFNA(IF(B58&lt;&gt;0,VLOOKUP($B58,Tabelle3[[1]:[IaaS]],12)),"")</f>
        <v/>
      </c>
      <c r="J58" s="101" t="str">
        <f>_xlfn.IFNA(IF(B58&lt;&gt;0,VLOOKUP($B58,Tabelle3[[1]:[PaaS]],13)),"")</f>
        <v/>
      </c>
      <c r="K58" s="101" t="str">
        <f>_xlfn.IFNA(IF(B58&lt;&gt;0,VLOOKUP($B58,Tabelle3[[1]:[SaaS]],14)),"")</f>
        <v/>
      </c>
      <c r="L58" s="101" t="str">
        <f>_xlfn.IFNA(IF(B58&lt;&gt;0,VLOOKUP($B58,Tabelle3[[1]:[DaaS]],15)),"")</f>
        <v/>
      </c>
      <c r="M58" s="101">
        <f>IF(B58&lt;&gt;0,COUNTIF('1.4 Analyse &amp; Synthese'!Q60:AJ60,1))</f>
        <v>0</v>
      </c>
      <c r="N58" s="101">
        <f>IF(B58&lt;&gt;0,COUNTIF('1.4 Analyse &amp; Synthese'!Q60:AJ60,3))</f>
        <v>0</v>
      </c>
      <c r="O58" s="101" t="str">
        <f t="array" ref="O58">_xlfn.IFNA(INDEX($D$5:$D$49,MATCH(0,COUNTIF($O$4:O57,$D$5:$D$49),0),1),"")</f>
        <v/>
      </c>
      <c r="BO58" s="8"/>
      <c r="BP58" s="372" t="str">
        <f>_xlfn.IFNA(IF(B57&lt;&gt;"",IF(AND(ISBLANK('1.4 Analyse &amp; Synthese'!N59),ISBLANK('1.4 Analyse &amp; Synthese'!O59),ISBLANK('1.4 Analyse &amp; Synthese'!P59)),IF('1.4 Analyse &amp; Synthese'!M59="x",1,0),""),""),"")</f>
        <v/>
      </c>
      <c r="BQ58" s="123" t="str">
        <f>_xlfn.IFNA(IF(B57&lt;&gt;"",IF(AND(ISBLANK('1.4 Analyse &amp; Synthese'!M59),ISBLANK('1.4 Analyse &amp; Synthese'!O59),ISBLANK('1.4 Analyse &amp; Synthese'!P59)),IF('1.4 Analyse &amp; Synthese'!N59="x",1,0),""),""),"")</f>
        <v/>
      </c>
      <c r="BR58" s="123" t="str">
        <f>_xlfn.IFNA(IF(B57&lt;&gt;"",IF(AND(ISBLANK('1.4 Analyse &amp; Synthese'!M59),ISBLANK('1.4 Analyse &amp; Synthese'!N59),ISBLANK('1.4 Analyse &amp; Synthese'!P59)),IF('1.4 Analyse &amp; Synthese'!O59="x",1,0),""),""),"")</f>
        <v/>
      </c>
      <c r="BS58" s="123"/>
      <c r="BT58" s="123"/>
      <c r="BU58" s="123">
        <f>_xlfn.IFNA(IF(B57&lt;&gt;"",IF(OR(AND('1.4 Analyse &amp; Synthese'!M59="X",'1.4 Analyse &amp; Synthese'!N59="X",'1.4 Analyse &amp; Synthese'!O59=""),AND('1.4 Analyse &amp; Synthese'!M59="X",'1.4 Analyse &amp; Synthese'!N59="",'1.4 Analyse &amp; Synthese'!O59="X"),AND('1.4 Analyse &amp; Synthese'!M59="",'1.4 Analyse &amp; Synthese'!N59="X",'1.4 Analyse &amp; Synthese'!O59="X")),1,0),0),"")</f>
        <v>0</v>
      </c>
      <c r="BV58" s="373" t="str">
        <f>_xlfn.IFNA(IF(F57&lt;&gt;"",IF(AND(ISBLANK('1.4 Analyse &amp; Synthese'!Q59),ISBLANK('1.4 Analyse &amp; Synthese'!R59),ISBLANK('1.4 Analyse &amp; Synthese'!S59)),IF('1.4 Analyse &amp; Synthese'!T59="x",1,0),""),""),"")</f>
        <v/>
      </c>
    </row>
    <row r="59" spans="2:74" x14ac:dyDescent="0.2">
      <c r="B59" s="127" t="str">
        <f>IF('1.4 Analyse &amp; Synthese'!B61&lt;&gt;0,'1.4 Analyse &amp; Synthese'!B61,"")</f>
        <v/>
      </c>
      <c r="C59" t="str">
        <f>_xlfn.IFNA(IF(B59&lt;&gt;0,VLOOKUP($B59,Tabelle3[[1]:[3]],2)),"")</f>
        <v/>
      </c>
      <c r="D59" t="str">
        <f>_xlfn.IFNA(IF(B59&lt;&gt;0,VLOOKUP($B59,Tabelle3[[1]:[3]],3)),"")</f>
        <v/>
      </c>
      <c r="E59" t="str">
        <f>_xlfn.IFNA(IF(B59&lt;&gt;0,VLOOKUP($B59,Tabelle3[[1]:[4]],4)),"")</f>
        <v/>
      </c>
      <c r="F59" t="str">
        <f>_xlfn.IFNA(IF(B59&lt;&gt;0,VLOOKUP($B59,Tabelle3[[1]:[5]],5)),"")</f>
        <v/>
      </c>
      <c r="G59" s="101" t="str">
        <f>_xlfn.IFNA(IF(B59&lt;&gt;0,VLOOKUP($B59,Tabelle3[[1]:[Aggregator/Integrator]],10)),"")</f>
        <v/>
      </c>
      <c r="H59" s="101" t="str">
        <f>_xlfn.IFNA(IF(B59&lt;&gt;0,VLOOKUP($B59,Tabelle3[[1]:[ITSVN Akteure]],11)),"")</f>
        <v/>
      </c>
      <c r="I59" s="101" t="str">
        <f>_xlfn.IFNA(IF(B59&lt;&gt;0,VLOOKUP($B59,Tabelle3[[1]:[IaaS]],12)),"")</f>
        <v/>
      </c>
      <c r="J59" s="101" t="str">
        <f>_xlfn.IFNA(IF(B59&lt;&gt;0,VLOOKUP($B59,Tabelle3[[1]:[PaaS]],13)),"")</f>
        <v/>
      </c>
      <c r="K59" s="101" t="str">
        <f>_xlfn.IFNA(IF(B59&lt;&gt;0,VLOOKUP($B59,Tabelle3[[1]:[SaaS]],14)),"")</f>
        <v/>
      </c>
      <c r="L59" s="101" t="str">
        <f>_xlfn.IFNA(IF(B59&lt;&gt;0,VLOOKUP($B59,Tabelle3[[1]:[DaaS]],15)),"")</f>
        <v/>
      </c>
      <c r="M59" s="101">
        <f>IF(B59&lt;&gt;0,COUNTIF('1.4 Analyse &amp; Synthese'!Q61:AJ61,1))</f>
        <v>0</v>
      </c>
      <c r="N59" s="101">
        <f>IF(B59&lt;&gt;0,COUNTIF('1.4 Analyse &amp; Synthese'!Q61:AJ61,3))</f>
        <v>0</v>
      </c>
      <c r="O59" s="101" t="str">
        <f t="array" ref="O59">_xlfn.IFNA(INDEX($D$5:$D$49,MATCH(0,COUNTIF($O$4:O58,$D$5:$D$49),0),1),"")</f>
        <v/>
      </c>
      <c r="BO59" s="8"/>
      <c r="BP59" s="372" t="str">
        <f>_xlfn.IFNA(IF(B58&lt;&gt;"",IF(AND(ISBLANK('1.4 Analyse &amp; Synthese'!N60),ISBLANK('1.4 Analyse &amp; Synthese'!O60),ISBLANK('1.4 Analyse &amp; Synthese'!P60)),IF('1.4 Analyse &amp; Synthese'!M60="x",1,0),""),""),"")</f>
        <v/>
      </c>
      <c r="BQ59" s="123" t="str">
        <f>_xlfn.IFNA(IF(B58&lt;&gt;"",IF(AND(ISBLANK('1.4 Analyse &amp; Synthese'!M60),ISBLANK('1.4 Analyse &amp; Synthese'!O60),ISBLANK('1.4 Analyse &amp; Synthese'!P60)),IF('1.4 Analyse &amp; Synthese'!N60="x",1,0),""),""),"")</f>
        <v/>
      </c>
      <c r="BR59" s="123" t="str">
        <f>_xlfn.IFNA(IF(B58&lt;&gt;"",IF(AND(ISBLANK('1.4 Analyse &amp; Synthese'!M60),ISBLANK('1.4 Analyse &amp; Synthese'!N60),ISBLANK('1.4 Analyse &amp; Synthese'!P60)),IF('1.4 Analyse &amp; Synthese'!O60="x",1,0),""),""),"")</f>
        <v/>
      </c>
      <c r="BS59" s="123"/>
      <c r="BT59" s="123"/>
      <c r="BU59" s="123">
        <f>_xlfn.IFNA(IF(B58&lt;&gt;"",IF(OR(AND('1.4 Analyse &amp; Synthese'!M60="X",'1.4 Analyse &amp; Synthese'!N60="X",'1.4 Analyse &amp; Synthese'!O60=""),AND('1.4 Analyse &amp; Synthese'!M60="X",'1.4 Analyse &amp; Synthese'!N60="",'1.4 Analyse &amp; Synthese'!O60="X"),AND('1.4 Analyse &amp; Synthese'!M60="",'1.4 Analyse &amp; Synthese'!N60="X",'1.4 Analyse &amp; Synthese'!O60="X")),1,0),0),"")</f>
        <v>0</v>
      </c>
      <c r="BV59" s="373" t="str">
        <f>_xlfn.IFNA(IF(F58&lt;&gt;"",IF(AND(ISBLANK('1.4 Analyse &amp; Synthese'!Q60),ISBLANK('1.4 Analyse &amp; Synthese'!R60),ISBLANK('1.4 Analyse &amp; Synthese'!S60)),IF('1.4 Analyse &amp; Synthese'!T60="x",1,0),""),""),"")</f>
        <v/>
      </c>
    </row>
    <row r="60" spans="2:74" x14ac:dyDescent="0.2">
      <c r="B60" s="127" t="str">
        <f>IF('1.4 Analyse &amp; Synthese'!B62&lt;&gt;0,'1.4 Analyse &amp; Synthese'!B62,"")</f>
        <v/>
      </c>
      <c r="C60" t="str">
        <f>_xlfn.IFNA(IF(B60&lt;&gt;0,VLOOKUP($B60,Tabelle3[[1]:[3]],2)),"")</f>
        <v/>
      </c>
      <c r="D60" t="str">
        <f>_xlfn.IFNA(IF(B60&lt;&gt;0,VLOOKUP($B60,Tabelle3[[1]:[3]],3)),"")</f>
        <v/>
      </c>
      <c r="E60" t="str">
        <f>_xlfn.IFNA(IF(B60&lt;&gt;0,VLOOKUP($B60,Tabelle3[[1]:[4]],4)),"")</f>
        <v/>
      </c>
      <c r="F60" t="str">
        <f>_xlfn.IFNA(IF(B60&lt;&gt;0,VLOOKUP($B60,Tabelle3[[1]:[5]],5)),"")</f>
        <v/>
      </c>
      <c r="G60" s="101" t="str">
        <f>_xlfn.IFNA(IF(B60&lt;&gt;0,VLOOKUP($B60,Tabelle3[[1]:[Aggregator/Integrator]],10)),"")</f>
        <v/>
      </c>
      <c r="H60" s="101" t="str">
        <f>_xlfn.IFNA(IF(B60&lt;&gt;0,VLOOKUP($B60,Tabelle3[[1]:[ITSVN Akteure]],11)),"")</f>
        <v/>
      </c>
      <c r="I60" s="101" t="str">
        <f>_xlfn.IFNA(IF(B60&lt;&gt;0,VLOOKUP($B60,Tabelle3[[1]:[IaaS]],12)),"")</f>
        <v/>
      </c>
      <c r="J60" s="101" t="str">
        <f>_xlfn.IFNA(IF(B60&lt;&gt;0,VLOOKUP($B60,Tabelle3[[1]:[PaaS]],13)),"")</f>
        <v/>
      </c>
      <c r="K60" s="101" t="str">
        <f>_xlfn.IFNA(IF(B60&lt;&gt;0,VLOOKUP($B60,Tabelle3[[1]:[SaaS]],14)),"")</f>
        <v/>
      </c>
      <c r="L60" s="101" t="str">
        <f>_xlfn.IFNA(IF(B60&lt;&gt;0,VLOOKUP($B60,Tabelle3[[1]:[DaaS]],15)),"")</f>
        <v/>
      </c>
      <c r="M60" s="101">
        <f>IF(B60&lt;&gt;0,COUNTIF('1.4 Analyse &amp; Synthese'!Q62:AJ62,1))</f>
        <v>0</v>
      </c>
      <c r="N60" s="101">
        <f>IF(B60&lt;&gt;0,COUNTIF('1.4 Analyse &amp; Synthese'!Q62:AJ62,3))</f>
        <v>0</v>
      </c>
      <c r="O60" s="101" t="str">
        <f t="array" ref="O60">_xlfn.IFNA(INDEX($D$5:$D$49,MATCH(0,COUNTIF($O$4:O59,$D$5:$D$49),0),1),"")</f>
        <v/>
      </c>
      <c r="BO60" s="8"/>
      <c r="BP60" s="372" t="str">
        <f>_xlfn.IFNA(IF(B59&lt;&gt;"",IF(AND(ISBLANK('1.4 Analyse &amp; Synthese'!N61),ISBLANK('1.4 Analyse &amp; Synthese'!O61),ISBLANK('1.4 Analyse &amp; Synthese'!P61)),IF('1.4 Analyse &amp; Synthese'!M61="x",1,0),""),""),"")</f>
        <v/>
      </c>
      <c r="BQ60" s="123" t="str">
        <f>_xlfn.IFNA(IF(B59&lt;&gt;"",IF(AND(ISBLANK('1.4 Analyse &amp; Synthese'!M61),ISBLANK('1.4 Analyse &amp; Synthese'!O61),ISBLANK('1.4 Analyse &amp; Synthese'!P61)),IF('1.4 Analyse &amp; Synthese'!N61="x",1,0),""),""),"")</f>
        <v/>
      </c>
      <c r="BR60" s="123" t="str">
        <f>_xlfn.IFNA(IF(B59&lt;&gt;"",IF(AND(ISBLANK('1.4 Analyse &amp; Synthese'!M61),ISBLANK('1.4 Analyse &amp; Synthese'!N61),ISBLANK('1.4 Analyse &amp; Synthese'!P61)),IF('1.4 Analyse &amp; Synthese'!O61="x",1,0),""),""),"")</f>
        <v/>
      </c>
      <c r="BS60" s="123"/>
      <c r="BT60" s="123"/>
      <c r="BU60" s="123">
        <f>_xlfn.IFNA(IF(B59&lt;&gt;"",IF(OR(AND('1.4 Analyse &amp; Synthese'!M61="X",'1.4 Analyse &amp; Synthese'!N61="X",'1.4 Analyse &amp; Synthese'!O61=""),AND('1.4 Analyse &amp; Synthese'!M61="X",'1.4 Analyse &amp; Synthese'!N61="",'1.4 Analyse &amp; Synthese'!O61="X"),AND('1.4 Analyse &amp; Synthese'!M61="",'1.4 Analyse &amp; Synthese'!N61="X",'1.4 Analyse &amp; Synthese'!O61="X")),1,0),0),"")</f>
        <v>0</v>
      </c>
      <c r="BV60" s="373" t="str">
        <f>_xlfn.IFNA(IF(F59&lt;&gt;"",IF(AND(ISBLANK('1.4 Analyse &amp; Synthese'!Q61),ISBLANK('1.4 Analyse &amp; Synthese'!R61),ISBLANK('1.4 Analyse &amp; Synthese'!S61)),IF('1.4 Analyse &amp; Synthese'!T61="x",1,0),""),""),"")</f>
        <v/>
      </c>
    </row>
    <row r="61" spans="2:74" x14ac:dyDescent="0.2">
      <c r="B61" s="127" t="str">
        <f>IF('1.4 Analyse &amp; Synthese'!B63&lt;&gt;0,'1.4 Analyse &amp; Synthese'!B63,"")</f>
        <v/>
      </c>
      <c r="C61" t="str">
        <f>_xlfn.IFNA(IF(B61&lt;&gt;0,VLOOKUP($B61,Tabelle3[[1]:[3]],2)),"")</f>
        <v/>
      </c>
      <c r="D61" t="str">
        <f>_xlfn.IFNA(IF(B61&lt;&gt;0,VLOOKUP($B61,Tabelle3[[1]:[3]],3)),"")</f>
        <v/>
      </c>
      <c r="E61" t="str">
        <f>_xlfn.IFNA(IF(B61&lt;&gt;0,VLOOKUP($B61,Tabelle3[[1]:[4]],4)),"")</f>
        <v/>
      </c>
      <c r="F61" t="str">
        <f>_xlfn.IFNA(IF(B61&lt;&gt;0,VLOOKUP($B61,Tabelle3[[1]:[5]],5)),"")</f>
        <v/>
      </c>
      <c r="G61" s="101" t="str">
        <f>_xlfn.IFNA(IF(B61&lt;&gt;0,VLOOKUP($B61,Tabelle3[[1]:[Aggregator/Integrator]],10)),"")</f>
        <v/>
      </c>
      <c r="H61" s="101" t="str">
        <f>_xlfn.IFNA(IF(B61&lt;&gt;0,VLOOKUP($B61,Tabelle3[[1]:[ITSVN Akteure]],11)),"")</f>
        <v/>
      </c>
      <c r="I61" s="101" t="str">
        <f>_xlfn.IFNA(IF(B61&lt;&gt;0,VLOOKUP($B61,Tabelle3[[1]:[IaaS]],12)),"")</f>
        <v/>
      </c>
      <c r="J61" s="101" t="str">
        <f>_xlfn.IFNA(IF(B61&lt;&gt;0,VLOOKUP($B61,Tabelle3[[1]:[PaaS]],13)),"")</f>
        <v/>
      </c>
      <c r="K61" s="101" t="str">
        <f>_xlfn.IFNA(IF(B61&lt;&gt;0,VLOOKUP($B61,Tabelle3[[1]:[SaaS]],14)),"")</f>
        <v/>
      </c>
      <c r="L61" s="101" t="str">
        <f>_xlfn.IFNA(IF(B61&lt;&gt;0,VLOOKUP($B61,Tabelle3[[1]:[DaaS]],15)),"")</f>
        <v/>
      </c>
      <c r="M61" s="101">
        <f>IF(B61&lt;&gt;0,COUNTIF('1.4 Analyse &amp; Synthese'!Q63:AJ63,1))</f>
        <v>0</v>
      </c>
      <c r="N61" s="101">
        <f>IF(B61&lt;&gt;0,COUNTIF('1.4 Analyse &amp; Synthese'!Q63:AJ63,3))</f>
        <v>0</v>
      </c>
      <c r="O61" s="101" t="str">
        <f t="array" ref="O61">_xlfn.IFNA(INDEX($D$5:$D$49,MATCH(0,COUNTIF($O$4:O60,$D$5:$D$49),0),1),"")</f>
        <v/>
      </c>
      <c r="BO61" s="8"/>
      <c r="BP61" s="372" t="str">
        <f>_xlfn.IFNA(IF(B60&lt;&gt;"",IF(AND(ISBLANK('1.4 Analyse &amp; Synthese'!N62),ISBLANK('1.4 Analyse &amp; Synthese'!O62),ISBLANK('1.4 Analyse &amp; Synthese'!P62)),IF('1.4 Analyse &amp; Synthese'!M62="x",1,0),""),""),"")</f>
        <v/>
      </c>
      <c r="BQ61" s="123" t="str">
        <f>_xlfn.IFNA(IF(B60&lt;&gt;"",IF(AND(ISBLANK('1.4 Analyse &amp; Synthese'!M62),ISBLANK('1.4 Analyse &amp; Synthese'!O62),ISBLANK('1.4 Analyse &amp; Synthese'!P62)),IF('1.4 Analyse &amp; Synthese'!N62="x",1,0),""),""),"")</f>
        <v/>
      </c>
      <c r="BR61" s="123" t="str">
        <f>_xlfn.IFNA(IF(B60&lt;&gt;"",IF(AND(ISBLANK('1.4 Analyse &amp; Synthese'!M62),ISBLANK('1.4 Analyse &amp; Synthese'!N62),ISBLANK('1.4 Analyse &amp; Synthese'!P62)),IF('1.4 Analyse &amp; Synthese'!O62="x",1,0),""),""),"")</f>
        <v/>
      </c>
      <c r="BS61" s="123"/>
      <c r="BT61" s="123"/>
      <c r="BU61" s="123">
        <f>_xlfn.IFNA(IF(B60&lt;&gt;"",IF(OR(AND('1.4 Analyse &amp; Synthese'!M62="X",'1.4 Analyse &amp; Synthese'!N62="X",'1.4 Analyse &amp; Synthese'!O62=""),AND('1.4 Analyse &amp; Synthese'!M62="X",'1.4 Analyse &amp; Synthese'!N62="",'1.4 Analyse &amp; Synthese'!O62="X"),AND('1.4 Analyse &amp; Synthese'!M62="",'1.4 Analyse &amp; Synthese'!N62="X",'1.4 Analyse &amp; Synthese'!O62="X")),1,0),0),"")</f>
        <v>0</v>
      </c>
      <c r="BV61" s="373" t="str">
        <f>_xlfn.IFNA(IF(F60&lt;&gt;"",IF(AND(ISBLANK('1.4 Analyse &amp; Synthese'!Q62),ISBLANK('1.4 Analyse &amp; Synthese'!R62),ISBLANK('1.4 Analyse &amp; Synthese'!S62)),IF('1.4 Analyse &amp; Synthese'!T62="x",1,0),""),""),"")</f>
        <v/>
      </c>
    </row>
    <row r="62" spans="2:74" x14ac:dyDescent="0.2">
      <c r="B62" s="127" t="str">
        <f>IF('1.4 Analyse &amp; Synthese'!B64&lt;&gt;0,'1.4 Analyse &amp; Synthese'!B64,"")</f>
        <v/>
      </c>
      <c r="C62" t="str">
        <f>_xlfn.IFNA(IF(B62&lt;&gt;0,VLOOKUP($B62,Tabelle3[[1]:[3]],2)),"")</f>
        <v/>
      </c>
      <c r="D62" t="str">
        <f>_xlfn.IFNA(IF(B62&lt;&gt;0,VLOOKUP($B62,Tabelle3[[1]:[3]],3)),"")</f>
        <v/>
      </c>
      <c r="E62" t="str">
        <f>_xlfn.IFNA(IF(B62&lt;&gt;0,VLOOKUP($B62,Tabelle3[[1]:[4]],4)),"")</f>
        <v/>
      </c>
      <c r="F62" t="str">
        <f>_xlfn.IFNA(IF(B62&lt;&gt;0,VLOOKUP($B62,Tabelle3[[1]:[5]],5)),"")</f>
        <v/>
      </c>
      <c r="G62" s="101" t="str">
        <f>_xlfn.IFNA(IF(B62&lt;&gt;0,VLOOKUP($B62,Tabelle3[[1]:[Aggregator/Integrator]],10)),"")</f>
        <v/>
      </c>
      <c r="H62" s="101" t="str">
        <f>_xlfn.IFNA(IF(B62&lt;&gt;0,VLOOKUP($B62,Tabelle3[[1]:[ITSVN Akteure]],11)),"")</f>
        <v/>
      </c>
      <c r="I62" s="101" t="str">
        <f>_xlfn.IFNA(IF(B62&lt;&gt;0,VLOOKUP($B62,Tabelle3[[1]:[IaaS]],12)),"")</f>
        <v/>
      </c>
      <c r="J62" s="101" t="str">
        <f>_xlfn.IFNA(IF(B62&lt;&gt;0,VLOOKUP($B62,Tabelle3[[1]:[PaaS]],13)),"")</f>
        <v/>
      </c>
      <c r="K62" s="101" t="str">
        <f>_xlfn.IFNA(IF(B62&lt;&gt;0,VLOOKUP($B62,Tabelle3[[1]:[SaaS]],14)),"")</f>
        <v/>
      </c>
      <c r="L62" s="101" t="str">
        <f>_xlfn.IFNA(IF(B62&lt;&gt;0,VLOOKUP($B62,Tabelle3[[1]:[DaaS]],15)),"")</f>
        <v/>
      </c>
      <c r="M62" s="101">
        <f>IF(B62&lt;&gt;0,COUNTIF('1.4 Analyse &amp; Synthese'!Q64:AJ64,1))</f>
        <v>0</v>
      </c>
      <c r="N62" s="101">
        <f>IF(B62&lt;&gt;0,COUNTIF('1.4 Analyse &amp; Synthese'!Q64:AJ64,3))</f>
        <v>0</v>
      </c>
      <c r="O62" s="101" t="str">
        <f t="array" ref="O62">_xlfn.IFNA(INDEX($D$5:$D$49,MATCH(0,COUNTIF($O$4:O61,$D$5:$D$49),0),1),"")</f>
        <v/>
      </c>
      <c r="BO62" s="8"/>
      <c r="BP62" s="372" t="str">
        <f>_xlfn.IFNA(IF(B61&lt;&gt;"",IF(AND(ISBLANK('1.4 Analyse &amp; Synthese'!N63),ISBLANK('1.4 Analyse &amp; Synthese'!O63),ISBLANK('1.4 Analyse &amp; Synthese'!P63)),IF('1.4 Analyse &amp; Synthese'!M63="x",1,0),""),""),"")</f>
        <v/>
      </c>
      <c r="BQ62" s="123" t="str">
        <f>_xlfn.IFNA(IF(B61&lt;&gt;"",IF(AND(ISBLANK('1.4 Analyse &amp; Synthese'!M63),ISBLANK('1.4 Analyse &amp; Synthese'!O63),ISBLANK('1.4 Analyse &amp; Synthese'!P63)),IF('1.4 Analyse &amp; Synthese'!N63="x",1,0),""),""),"")</f>
        <v/>
      </c>
      <c r="BR62" s="123" t="str">
        <f>_xlfn.IFNA(IF(B61&lt;&gt;"",IF(AND(ISBLANK('1.4 Analyse &amp; Synthese'!M63),ISBLANK('1.4 Analyse &amp; Synthese'!N63),ISBLANK('1.4 Analyse &amp; Synthese'!P63)),IF('1.4 Analyse &amp; Synthese'!O63="x",1,0),""),""),"")</f>
        <v/>
      </c>
      <c r="BS62" s="123"/>
      <c r="BT62" s="123"/>
      <c r="BU62" s="123">
        <f>_xlfn.IFNA(IF(B61&lt;&gt;"",IF(OR(AND('1.4 Analyse &amp; Synthese'!M63="X",'1.4 Analyse &amp; Synthese'!N63="X",'1.4 Analyse &amp; Synthese'!O63=""),AND('1.4 Analyse &amp; Synthese'!M63="X",'1.4 Analyse &amp; Synthese'!N63="",'1.4 Analyse &amp; Synthese'!O63="X"),AND('1.4 Analyse &amp; Synthese'!M63="",'1.4 Analyse &amp; Synthese'!N63="X",'1.4 Analyse &amp; Synthese'!O63="X")),1,0),0),"")</f>
        <v>0</v>
      </c>
      <c r="BV62" s="373" t="str">
        <f>_xlfn.IFNA(IF(F61&lt;&gt;"",IF(AND(ISBLANK('1.4 Analyse &amp; Synthese'!Q63),ISBLANK('1.4 Analyse &amp; Synthese'!R63),ISBLANK('1.4 Analyse &amp; Synthese'!S63)),IF('1.4 Analyse &amp; Synthese'!T63="x",1,0),""),""),"")</f>
        <v/>
      </c>
    </row>
    <row r="63" spans="2:74" x14ac:dyDescent="0.2">
      <c r="B63" s="127" t="str">
        <f>IF('1.4 Analyse &amp; Synthese'!B65&lt;&gt;0,'1.4 Analyse &amp; Synthese'!B65,"")</f>
        <v/>
      </c>
      <c r="C63" t="str">
        <f>_xlfn.IFNA(IF(B63&lt;&gt;0,VLOOKUP($B63,Tabelle3[[1]:[3]],2)),"")</f>
        <v/>
      </c>
      <c r="D63" t="str">
        <f>_xlfn.IFNA(IF(B63&lt;&gt;0,VLOOKUP($B63,Tabelle3[[1]:[3]],3)),"")</f>
        <v/>
      </c>
      <c r="E63" t="str">
        <f>_xlfn.IFNA(IF(B63&lt;&gt;0,VLOOKUP($B63,Tabelle3[[1]:[4]],4)),"")</f>
        <v/>
      </c>
      <c r="F63" t="str">
        <f>_xlfn.IFNA(IF(B63&lt;&gt;0,VLOOKUP($B63,Tabelle3[[1]:[5]],5)),"")</f>
        <v/>
      </c>
      <c r="G63" s="101" t="str">
        <f>_xlfn.IFNA(IF(B63&lt;&gt;0,VLOOKUP($B63,Tabelle3[[1]:[Aggregator/Integrator]],10)),"")</f>
        <v/>
      </c>
      <c r="H63" s="101" t="str">
        <f>_xlfn.IFNA(IF(B63&lt;&gt;0,VLOOKUP($B63,Tabelle3[[1]:[ITSVN Akteure]],11)),"")</f>
        <v/>
      </c>
      <c r="I63" s="101" t="str">
        <f>_xlfn.IFNA(IF(B63&lt;&gt;0,VLOOKUP($B63,Tabelle3[[1]:[IaaS]],12)),"")</f>
        <v/>
      </c>
      <c r="J63" s="101" t="str">
        <f>_xlfn.IFNA(IF(B63&lt;&gt;0,VLOOKUP($B63,Tabelle3[[1]:[PaaS]],13)),"")</f>
        <v/>
      </c>
      <c r="K63" s="101" t="str">
        <f>_xlfn.IFNA(IF(B63&lt;&gt;0,VLOOKUP($B63,Tabelle3[[1]:[SaaS]],14)),"")</f>
        <v/>
      </c>
      <c r="L63" s="101" t="str">
        <f>_xlfn.IFNA(IF(B63&lt;&gt;0,VLOOKUP($B63,Tabelle3[[1]:[DaaS]],15)),"")</f>
        <v/>
      </c>
      <c r="M63" s="101">
        <f>IF(B63&lt;&gt;0,COUNTIF('1.4 Analyse &amp; Synthese'!Q65:AJ65,1))</f>
        <v>0</v>
      </c>
      <c r="N63" s="101">
        <f>IF(B63&lt;&gt;0,COUNTIF('1.4 Analyse &amp; Synthese'!Q65:AJ65,3))</f>
        <v>0</v>
      </c>
      <c r="O63" s="101" t="str">
        <f t="array" ref="O63">_xlfn.IFNA(INDEX($D$5:$D$49,MATCH(0,COUNTIF($O$4:O62,$D$5:$D$49),0),1),"")</f>
        <v/>
      </c>
      <c r="BO63" s="8"/>
      <c r="BP63" s="372" t="str">
        <f>_xlfn.IFNA(IF(B62&lt;&gt;"",IF(AND(ISBLANK('1.4 Analyse &amp; Synthese'!N64),ISBLANK('1.4 Analyse &amp; Synthese'!O64),ISBLANK('1.4 Analyse &amp; Synthese'!P64)),IF('1.4 Analyse &amp; Synthese'!M64="x",1,0),""),""),"")</f>
        <v/>
      </c>
      <c r="BQ63" s="123" t="str">
        <f>_xlfn.IFNA(IF(B62&lt;&gt;"",IF(AND(ISBLANK('1.4 Analyse &amp; Synthese'!M64),ISBLANK('1.4 Analyse &amp; Synthese'!O64),ISBLANK('1.4 Analyse &amp; Synthese'!P64)),IF('1.4 Analyse &amp; Synthese'!N64="x",1,0),""),""),"")</f>
        <v/>
      </c>
      <c r="BR63" s="123" t="str">
        <f>_xlfn.IFNA(IF(B62&lt;&gt;"",IF(AND(ISBLANK('1.4 Analyse &amp; Synthese'!M64),ISBLANK('1.4 Analyse &amp; Synthese'!N64),ISBLANK('1.4 Analyse &amp; Synthese'!P64)),IF('1.4 Analyse &amp; Synthese'!O64="x",1,0),""),""),"")</f>
        <v/>
      </c>
      <c r="BS63" s="123"/>
      <c r="BT63" s="123"/>
      <c r="BU63" s="123">
        <f>_xlfn.IFNA(IF(B62&lt;&gt;"",IF(OR(AND('1.4 Analyse &amp; Synthese'!M64="X",'1.4 Analyse &amp; Synthese'!N64="X",'1.4 Analyse &amp; Synthese'!O64=""),AND('1.4 Analyse &amp; Synthese'!M64="X",'1.4 Analyse &amp; Synthese'!N64="",'1.4 Analyse &amp; Synthese'!O64="X"),AND('1.4 Analyse &amp; Synthese'!M64="",'1.4 Analyse &amp; Synthese'!N64="X",'1.4 Analyse &amp; Synthese'!O64="X")),1,0),0),"")</f>
        <v>0</v>
      </c>
      <c r="BV63" s="373" t="str">
        <f>_xlfn.IFNA(IF(F62&lt;&gt;"",IF(AND(ISBLANK('1.4 Analyse &amp; Synthese'!Q64),ISBLANK('1.4 Analyse &amp; Synthese'!R64),ISBLANK('1.4 Analyse &amp; Synthese'!S64)),IF('1.4 Analyse &amp; Synthese'!T64="x",1,0),""),""),"")</f>
        <v/>
      </c>
    </row>
    <row r="64" spans="2:74" x14ac:dyDescent="0.2">
      <c r="B64" s="127" t="str">
        <f>IF('1.4 Analyse &amp; Synthese'!B66&lt;&gt;0,'1.4 Analyse &amp; Synthese'!B66,"")</f>
        <v/>
      </c>
      <c r="C64" t="str">
        <f>_xlfn.IFNA(IF(B64&lt;&gt;0,VLOOKUP($B64,Tabelle3[[1]:[3]],2)),"")</f>
        <v/>
      </c>
      <c r="D64" t="str">
        <f>_xlfn.IFNA(IF(B64&lt;&gt;0,VLOOKUP($B64,Tabelle3[[1]:[3]],3)),"")</f>
        <v/>
      </c>
      <c r="E64" t="str">
        <f>_xlfn.IFNA(IF(B64&lt;&gt;0,VLOOKUP($B64,Tabelle3[[1]:[4]],4)),"")</f>
        <v/>
      </c>
      <c r="F64" t="str">
        <f>_xlfn.IFNA(IF(B64&lt;&gt;0,VLOOKUP($B64,Tabelle3[[1]:[5]],5)),"")</f>
        <v/>
      </c>
      <c r="G64" s="101" t="str">
        <f>_xlfn.IFNA(IF(B64&lt;&gt;0,VLOOKUP($B64,Tabelle3[[1]:[Aggregator/Integrator]],10)),"")</f>
        <v/>
      </c>
      <c r="H64" s="101" t="str">
        <f>_xlfn.IFNA(IF(B64&lt;&gt;0,VLOOKUP($B64,Tabelle3[[1]:[ITSVN Akteure]],11)),"")</f>
        <v/>
      </c>
      <c r="I64" s="101" t="str">
        <f>_xlfn.IFNA(IF(B64&lt;&gt;0,VLOOKUP($B64,Tabelle3[[1]:[IaaS]],12)),"")</f>
        <v/>
      </c>
      <c r="J64" s="101" t="str">
        <f>_xlfn.IFNA(IF(B64&lt;&gt;0,VLOOKUP($B64,Tabelle3[[1]:[PaaS]],13)),"")</f>
        <v/>
      </c>
      <c r="K64" s="101" t="str">
        <f>_xlfn.IFNA(IF(B64&lt;&gt;0,VLOOKUP($B64,Tabelle3[[1]:[SaaS]],14)),"")</f>
        <v/>
      </c>
      <c r="L64" s="101" t="str">
        <f>_xlfn.IFNA(IF(B64&lt;&gt;0,VLOOKUP($B64,Tabelle3[[1]:[DaaS]],15)),"")</f>
        <v/>
      </c>
      <c r="M64" s="101">
        <f>IF(B64&lt;&gt;0,COUNTIF('1.4 Analyse &amp; Synthese'!Q66:AJ66,1))</f>
        <v>0</v>
      </c>
      <c r="N64" s="101">
        <f>IF(B64&lt;&gt;0,COUNTIF('1.4 Analyse &amp; Synthese'!Q66:AJ66,3))</f>
        <v>0</v>
      </c>
      <c r="O64" s="101" t="str">
        <f t="array" ref="O64">_xlfn.IFNA(INDEX($D$5:$D$49,MATCH(0,COUNTIF($O$4:O63,$D$5:$D$49),0),1),"")</f>
        <v/>
      </c>
      <c r="BO64" s="8"/>
      <c r="BP64" s="372" t="str">
        <f>_xlfn.IFNA(IF(B63&lt;&gt;"",IF(AND(ISBLANK('1.4 Analyse &amp; Synthese'!N65),ISBLANK('1.4 Analyse &amp; Synthese'!O65),ISBLANK('1.4 Analyse &amp; Synthese'!P65)),IF('1.4 Analyse &amp; Synthese'!M65="x",1,0),""),""),"")</f>
        <v/>
      </c>
      <c r="BQ64" s="123" t="str">
        <f>_xlfn.IFNA(IF(B63&lt;&gt;"",IF(AND(ISBLANK('1.4 Analyse &amp; Synthese'!M65),ISBLANK('1.4 Analyse &amp; Synthese'!O65),ISBLANK('1.4 Analyse &amp; Synthese'!P65)),IF('1.4 Analyse &amp; Synthese'!N65="x",1,0),""),""),"")</f>
        <v/>
      </c>
      <c r="BR64" s="123"/>
      <c r="BS64" s="123"/>
      <c r="BT64" s="123"/>
      <c r="BU64" s="123">
        <f>_xlfn.IFNA(IF(B63&lt;&gt;"",IF(OR(AND('1.4 Analyse &amp; Synthese'!M65="X",'1.4 Analyse &amp; Synthese'!N65="X",'1.4 Analyse &amp; Synthese'!O65=""),AND('1.4 Analyse &amp; Synthese'!M65="X",'1.4 Analyse &amp; Synthese'!N65="",'1.4 Analyse &amp; Synthese'!O65="X"),AND('1.4 Analyse &amp; Synthese'!M65="",'1.4 Analyse &amp; Synthese'!N65="X",'1.4 Analyse &amp; Synthese'!O65="X")),1,0),0),"")</f>
        <v>0</v>
      </c>
      <c r="BV64" s="373" t="str">
        <f>_xlfn.IFNA(IF(F63&lt;&gt;"",IF(AND(ISBLANK('1.4 Analyse &amp; Synthese'!Q65),ISBLANK('1.4 Analyse &amp; Synthese'!R65),ISBLANK('1.4 Analyse &amp; Synthese'!S65)),IF('1.4 Analyse &amp; Synthese'!T65="x",1,0),""),""),"")</f>
        <v/>
      </c>
    </row>
    <row r="65" spans="2:74" x14ac:dyDescent="0.2">
      <c r="B65" s="127" t="str">
        <f>IF('1.4 Analyse &amp; Synthese'!B67&lt;&gt;0,'1.4 Analyse &amp; Synthese'!B67,"")</f>
        <v/>
      </c>
      <c r="C65" t="str">
        <f>_xlfn.IFNA(IF(B65&lt;&gt;0,VLOOKUP($B65,Tabelle3[[1]:[3]],2)),"")</f>
        <v/>
      </c>
      <c r="D65" t="str">
        <f>_xlfn.IFNA(IF(B65&lt;&gt;0,VLOOKUP($B65,Tabelle3[[1]:[3]],3)),"")</f>
        <v/>
      </c>
      <c r="E65" t="str">
        <f>_xlfn.IFNA(IF(B65&lt;&gt;0,VLOOKUP($B65,Tabelle3[[1]:[4]],4)),"")</f>
        <v/>
      </c>
      <c r="F65" t="str">
        <f>_xlfn.IFNA(IF(B65&lt;&gt;0,VLOOKUP($B65,Tabelle3[[1]:[5]],5)),"")</f>
        <v/>
      </c>
      <c r="G65" s="101" t="str">
        <f>_xlfn.IFNA(IF(B65&lt;&gt;0,VLOOKUP($B65,Tabelle3[[1]:[Aggregator/Integrator]],10)),"")</f>
        <v/>
      </c>
      <c r="H65" s="101" t="str">
        <f>_xlfn.IFNA(IF(B65&lt;&gt;0,VLOOKUP($B65,Tabelle3[[1]:[ITSVN Akteure]],11)),"")</f>
        <v/>
      </c>
      <c r="I65" s="101" t="str">
        <f>_xlfn.IFNA(IF(B65&lt;&gt;0,VLOOKUP($B65,Tabelle3[[1]:[IaaS]],12)),"")</f>
        <v/>
      </c>
      <c r="J65" s="101" t="str">
        <f>_xlfn.IFNA(IF(B65&lt;&gt;0,VLOOKUP($B65,Tabelle3[[1]:[PaaS]],13)),"")</f>
        <v/>
      </c>
      <c r="K65" s="101" t="str">
        <f>_xlfn.IFNA(IF(B65&lt;&gt;0,VLOOKUP($B65,Tabelle3[[1]:[SaaS]],14)),"")</f>
        <v/>
      </c>
      <c r="L65" s="101" t="str">
        <f>_xlfn.IFNA(IF(B65&lt;&gt;0,VLOOKUP($B65,Tabelle3[[1]:[DaaS]],15)),"")</f>
        <v/>
      </c>
      <c r="M65" s="101">
        <f>IF(B65&lt;&gt;0,COUNTIF('1.4 Analyse &amp; Synthese'!Q67:AJ67,1))</f>
        <v>0</v>
      </c>
      <c r="N65" s="101">
        <f>IF(B65&lt;&gt;0,COUNTIF('1.4 Analyse &amp; Synthese'!Q67:AJ67,3))</f>
        <v>0</v>
      </c>
      <c r="O65" s="101" t="str">
        <f t="array" ref="O65">_xlfn.IFNA(INDEX($D$5:$D$49,MATCH(0,COUNTIF($O$4:O64,$D$5:$D$49),0),1),"")</f>
        <v/>
      </c>
      <c r="BO65" s="8"/>
      <c r="BP65" s="372" t="str">
        <f>_xlfn.IFNA(IF(B64&lt;&gt;"",IF(AND(ISBLANK('1.4 Analyse &amp; Synthese'!N66),ISBLANK('1.4 Analyse &amp; Synthese'!O66),ISBLANK('1.4 Analyse &amp; Synthese'!P66)),IF('1.4 Analyse &amp; Synthese'!M66="x",1,0),""),""),"")</f>
        <v/>
      </c>
      <c r="BQ65" s="123" t="str">
        <f>_xlfn.IFNA(IF(B64&lt;&gt;"",IF(AND(ISBLANK('1.4 Analyse &amp; Synthese'!M66),ISBLANK('1.4 Analyse &amp; Synthese'!O66),ISBLANK('1.4 Analyse &amp; Synthese'!P66)),IF('1.4 Analyse &amp; Synthese'!N66="x",1,0),""),""),"")</f>
        <v/>
      </c>
      <c r="BR65" s="123"/>
      <c r="BS65" s="123"/>
      <c r="BT65" s="123"/>
      <c r="BU65" s="123">
        <f>_xlfn.IFNA(IF(B64&lt;&gt;"",IF(OR(AND('1.4 Analyse &amp; Synthese'!M66="X",'1.4 Analyse &amp; Synthese'!N66="X",'1.4 Analyse &amp; Synthese'!O66=""),AND('1.4 Analyse &amp; Synthese'!M66="X",'1.4 Analyse &amp; Synthese'!N66="",'1.4 Analyse &amp; Synthese'!O66="X"),AND('1.4 Analyse &amp; Synthese'!M66="",'1.4 Analyse &amp; Synthese'!N66="X",'1.4 Analyse &amp; Synthese'!O66="X")),1,0),0),"")</f>
        <v>0</v>
      </c>
      <c r="BV65" s="373" t="str">
        <f>_xlfn.IFNA(IF(F64&lt;&gt;"",IF(AND(ISBLANK('1.4 Analyse &amp; Synthese'!Q66),ISBLANK('1.4 Analyse &amp; Synthese'!R66),ISBLANK('1.4 Analyse &amp; Synthese'!S66)),IF('1.4 Analyse &amp; Synthese'!T66="x",1,0),""),""),"")</f>
        <v/>
      </c>
    </row>
    <row r="66" spans="2:74" x14ac:dyDescent="0.2">
      <c r="B66" s="127" t="str">
        <f>IF('1.4 Analyse &amp; Synthese'!B68&lt;&gt;0,'1.4 Analyse &amp; Synthese'!B68,"")</f>
        <v/>
      </c>
      <c r="C66" t="str">
        <f>_xlfn.IFNA(IF(B66&lt;&gt;0,VLOOKUP($B66,Tabelle3[[1]:[3]],2)),"")</f>
        <v/>
      </c>
      <c r="D66" t="str">
        <f>_xlfn.IFNA(IF(B66&lt;&gt;0,VLOOKUP($B66,Tabelle3[[1]:[3]],3)),"")</f>
        <v/>
      </c>
      <c r="E66" t="str">
        <f>_xlfn.IFNA(IF(B66&lt;&gt;0,VLOOKUP($B66,Tabelle3[[1]:[4]],4)),"")</f>
        <v/>
      </c>
      <c r="F66" t="str">
        <f>_xlfn.IFNA(IF(B66&lt;&gt;0,VLOOKUP($B66,Tabelle3[[1]:[5]],5)),"")</f>
        <v/>
      </c>
      <c r="G66" s="101" t="str">
        <f>_xlfn.IFNA(IF(B66&lt;&gt;0,VLOOKUP($B66,Tabelle3[[1]:[Aggregator/Integrator]],10)),"")</f>
        <v/>
      </c>
      <c r="H66" s="101" t="str">
        <f>_xlfn.IFNA(IF(B66&lt;&gt;0,VLOOKUP($B66,Tabelle3[[1]:[ITSVN Akteure]],11)),"")</f>
        <v/>
      </c>
      <c r="I66" s="101" t="str">
        <f>_xlfn.IFNA(IF(B66&lt;&gt;0,VLOOKUP($B66,Tabelle3[[1]:[IaaS]],12)),"")</f>
        <v/>
      </c>
      <c r="J66" s="101" t="str">
        <f>_xlfn.IFNA(IF(B66&lt;&gt;0,VLOOKUP($B66,Tabelle3[[1]:[PaaS]],13)),"")</f>
        <v/>
      </c>
      <c r="K66" s="101" t="str">
        <f>_xlfn.IFNA(IF(B66&lt;&gt;0,VLOOKUP($B66,Tabelle3[[1]:[SaaS]],14)),"")</f>
        <v/>
      </c>
      <c r="L66" s="101" t="str">
        <f>_xlfn.IFNA(IF(B66&lt;&gt;0,VLOOKUP($B66,Tabelle3[[1]:[DaaS]],15)),"")</f>
        <v/>
      </c>
      <c r="M66" s="101">
        <f>IF(B66&lt;&gt;0,COUNTIF('1.4 Analyse &amp; Synthese'!Q68:AJ68,1))</f>
        <v>0</v>
      </c>
      <c r="N66" s="101">
        <f>IF(B66&lt;&gt;0,COUNTIF('1.4 Analyse &amp; Synthese'!Q68:AJ68,3))</f>
        <v>0</v>
      </c>
      <c r="O66" s="101" t="str">
        <f t="array" ref="O66">_xlfn.IFNA(INDEX($D$5:$D$49,MATCH(0,COUNTIF($O$4:O65,$D$5:$D$49),0),1),"")</f>
        <v/>
      </c>
      <c r="BP66" s="272" t="str">
        <f>_xlfn.IFNA(IF(B65&lt;&gt;"",IF(AND(ISBLANK('1.4 Analyse &amp; Synthese'!N67),ISBLANK('1.4 Analyse &amp; Synthese'!O67),ISBLANK('1.4 Analyse &amp; Synthese'!P67)),IF('1.4 Analyse &amp; Synthese'!M67="x",1,0),""),""),"")</f>
        <v/>
      </c>
      <c r="BQ66" s="101" t="str">
        <f>_xlfn.IFNA(IF(B65&lt;&gt;"",IF(AND(ISBLANK('1.4 Analyse &amp; Synthese'!M67),ISBLANK('1.4 Analyse &amp; Synthese'!O67),ISBLANK('1.4 Analyse &amp; Synthese'!P67)),IF('1.4 Analyse &amp; Synthese'!N67="x",1,0),""),""),"")</f>
        <v/>
      </c>
      <c r="BU66" s="101">
        <f>_xlfn.IFNA(IF(B65&lt;&gt;"",IF(OR(AND('1.4 Analyse &amp; Synthese'!M67="X",'1.4 Analyse &amp; Synthese'!N67="X",'1.4 Analyse &amp; Synthese'!O67=""),AND('1.4 Analyse &amp; Synthese'!M67="X",'1.4 Analyse &amp; Synthese'!N67="",'1.4 Analyse &amp; Synthese'!O67="X"),AND('1.4 Analyse &amp; Synthese'!M67="",'1.4 Analyse &amp; Synthese'!N67="X",'1.4 Analyse &amp; Synthese'!O67="X")),1,0),0),"")</f>
        <v>0</v>
      </c>
      <c r="BV66" s="101" t="str">
        <f>_xlfn.IFNA(IF(F65&lt;&gt;"",IF(AND(ISBLANK('1.4 Analyse &amp; Synthese'!Q67),ISBLANK('1.4 Analyse &amp; Synthese'!R67),ISBLANK('1.4 Analyse &amp; Synthese'!S67)),IF('1.4 Analyse &amp; Synthese'!T67="x",1,0),""),""),"")</f>
        <v/>
      </c>
    </row>
    <row r="67" spans="2:74" x14ac:dyDescent="0.2">
      <c r="B67" s="127" t="str">
        <f>IF('1.4 Analyse &amp; Synthese'!B69&lt;&gt;0,'1.4 Analyse &amp; Synthese'!B69,"")</f>
        <v/>
      </c>
      <c r="C67" t="str">
        <f>_xlfn.IFNA(IF(B67&lt;&gt;0,VLOOKUP($B67,Tabelle3[[1]:[3]],2)),"")</f>
        <v/>
      </c>
      <c r="D67" t="str">
        <f>_xlfn.IFNA(IF(B67&lt;&gt;0,VLOOKUP($B67,Tabelle3[[1]:[3]],3)),"")</f>
        <v/>
      </c>
      <c r="E67" t="str">
        <f>_xlfn.IFNA(IF(B67&lt;&gt;0,VLOOKUP($B67,Tabelle3[[1]:[4]],4)),"")</f>
        <v/>
      </c>
      <c r="F67" t="str">
        <f>_xlfn.IFNA(IF(B67&lt;&gt;0,VLOOKUP($B67,Tabelle3[[1]:[5]],5)),"")</f>
        <v/>
      </c>
      <c r="G67" s="101" t="str">
        <f>_xlfn.IFNA(IF(B67&lt;&gt;0,VLOOKUP($B67,Tabelle3[[1]:[Aggregator/Integrator]],10)),"")</f>
        <v/>
      </c>
      <c r="H67" s="101" t="str">
        <f>_xlfn.IFNA(IF(B67&lt;&gt;0,VLOOKUP($B67,Tabelle3[[1]:[ITSVN Akteure]],11)),"")</f>
        <v/>
      </c>
      <c r="I67" s="101" t="str">
        <f>_xlfn.IFNA(IF(B67&lt;&gt;0,VLOOKUP($B67,Tabelle3[[1]:[IaaS]],12)),"")</f>
        <v/>
      </c>
      <c r="J67" s="101" t="str">
        <f>_xlfn.IFNA(IF(B67&lt;&gt;0,VLOOKUP($B67,Tabelle3[[1]:[PaaS]],13)),"")</f>
        <v/>
      </c>
      <c r="K67" s="101" t="str">
        <f>_xlfn.IFNA(IF(B67&lt;&gt;0,VLOOKUP($B67,Tabelle3[[1]:[SaaS]],14)),"")</f>
        <v/>
      </c>
      <c r="L67" s="101" t="str">
        <f>_xlfn.IFNA(IF(B67&lt;&gt;0,VLOOKUP($B67,Tabelle3[[1]:[DaaS]],15)),"")</f>
        <v/>
      </c>
      <c r="M67" s="101">
        <f>IF(B67&lt;&gt;0,COUNTIF('1.4 Analyse &amp; Synthese'!Q69:AJ69,1))</f>
        <v>0</v>
      </c>
      <c r="N67" s="101">
        <f>IF(B67&lt;&gt;0,COUNTIF('1.4 Analyse &amp; Synthese'!Q69:AJ69,3))</f>
        <v>0</v>
      </c>
      <c r="O67" s="101" t="str">
        <f t="array" ref="O67">_xlfn.IFNA(INDEX($D$5:$D$49,MATCH(0,COUNTIF($O$4:O66,$D$5:$D$49),0),1),"")</f>
        <v/>
      </c>
      <c r="BP67" s="272" t="str">
        <f>_xlfn.IFNA(IF(B66&lt;&gt;"",IF(AND(ISBLANK('1.4 Analyse &amp; Synthese'!N68),ISBLANK('1.4 Analyse &amp; Synthese'!O68),ISBLANK('1.4 Analyse &amp; Synthese'!P68)),IF('1.4 Analyse &amp; Synthese'!M68="x",1,0),""),""),"")</f>
        <v/>
      </c>
      <c r="BQ67" s="101" t="str">
        <f>_xlfn.IFNA(IF(B66&lt;&gt;"",IF(AND(ISBLANK('1.4 Analyse &amp; Synthese'!M68),ISBLANK('1.4 Analyse &amp; Synthese'!O68),ISBLANK('1.4 Analyse &amp; Synthese'!P68)),IF('1.4 Analyse &amp; Synthese'!N68="x",1,0),""),""),"")</f>
        <v/>
      </c>
      <c r="BU67" s="101">
        <f>_xlfn.IFNA(IF(B66&lt;&gt;"",IF(OR(AND('1.4 Analyse &amp; Synthese'!M68="X",'1.4 Analyse &amp; Synthese'!N68="X",'1.4 Analyse &amp; Synthese'!O68=""),AND('1.4 Analyse &amp; Synthese'!M68="X",'1.4 Analyse &amp; Synthese'!N68="",'1.4 Analyse &amp; Synthese'!O68="X"),AND('1.4 Analyse &amp; Synthese'!M68="",'1.4 Analyse &amp; Synthese'!N68="X",'1.4 Analyse &amp; Synthese'!O68="X")),1,0),0),"")</f>
        <v>0</v>
      </c>
      <c r="BV67" s="101" t="str">
        <f>_xlfn.IFNA(IF(F66&lt;&gt;"",IF(AND(ISBLANK('1.4 Analyse &amp; Synthese'!Q68),ISBLANK('1.4 Analyse &amp; Synthese'!R68),ISBLANK('1.4 Analyse &amp; Synthese'!S68)),IF('1.4 Analyse &amp; Synthese'!T68="x",1,0),""),""),"")</f>
        <v/>
      </c>
    </row>
    <row r="68" spans="2:74" x14ac:dyDescent="0.2">
      <c r="B68" s="127" t="str">
        <f>IF('1.4 Analyse &amp; Synthese'!B70&lt;&gt;0,'1.4 Analyse &amp; Synthese'!B70,"")</f>
        <v/>
      </c>
      <c r="C68" t="str">
        <f>_xlfn.IFNA(IF(B68&lt;&gt;0,VLOOKUP($B68,Tabelle3[[1]:[3]],2)),"")</f>
        <v/>
      </c>
      <c r="D68" t="str">
        <f>_xlfn.IFNA(IF(B68&lt;&gt;0,VLOOKUP($B68,Tabelle3[[1]:[3]],3)),"")</f>
        <v/>
      </c>
      <c r="E68" t="str">
        <f>_xlfn.IFNA(IF(B68&lt;&gt;0,VLOOKUP($B68,Tabelle3[[1]:[4]],4)),"")</f>
        <v/>
      </c>
      <c r="F68" t="str">
        <f>_xlfn.IFNA(IF(B68&lt;&gt;0,VLOOKUP($B68,Tabelle3[[1]:[5]],5)),"")</f>
        <v/>
      </c>
      <c r="G68" s="101" t="str">
        <f>_xlfn.IFNA(IF(B68&lt;&gt;0,VLOOKUP($B68,Tabelle3[[1]:[Aggregator/Integrator]],10)),"")</f>
        <v/>
      </c>
      <c r="H68" s="101" t="str">
        <f>_xlfn.IFNA(IF(B68&lt;&gt;0,VLOOKUP($B68,Tabelle3[[1]:[ITSVN Akteure]],11)),"")</f>
        <v/>
      </c>
      <c r="I68" s="101" t="str">
        <f>_xlfn.IFNA(IF(B68&lt;&gt;0,VLOOKUP($B68,Tabelle3[[1]:[IaaS]],12)),"")</f>
        <v/>
      </c>
      <c r="J68" s="101" t="str">
        <f>_xlfn.IFNA(IF(B68&lt;&gt;0,VLOOKUP($B68,Tabelle3[[1]:[PaaS]],13)),"")</f>
        <v/>
      </c>
      <c r="K68" s="101" t="str">
        <f>_xlfn.IFNA(IF(B68&lt;&gt;0,VLOOKUP($B68,Tabelle3[[1]:[SaaS]],14)),"")</f>
        <v/>
      </c>
      <c r="L68" s="101" t="str">
        <f>_xlfn.IFNA(IF(B68&lt;&gt;0,VLOOKUP($B68,Tabelle3[[1]:[DaaS]],15)),"")</f>
        <v/>
      </c>
      <c r="M68" s="101">
        <f>IF(B68&lt;&gt;0,COUNTIF('1.4 Analyse &amp; Synthese'!Q70:AJ70,1))</f>
        <v>0</v>
      </c>
      <c r="N68" s="101">
        <f>IF(B68&lt;&gt;0,COUNTIF('1.4 Analyse &amp; Synthese'!Q70:AJ70,3))</f>
        <v>0</v>
      </c>
      <c r="O68" s="101" t="str">
        <f t="array" ref="O68">_xlfn.IFNA(INDEX($D$5:$D$49,MATCH(0,COUNTIF($O$4:O67,$D$5:$D$49),0),1),"")</f>
        <v/>
      </c>
      <c r="BP68" s="272" t="str">
        <f>_xlfn.IFNA(IF(B67&lt;&gt;"",IF(AND(ISBLANK('1.4 Analyse &amp; Synthese'!N69),ISBLANK('1.4 Analyse &amp; Synthese'!O69),ISBLANK('1.4 Analyse &amp; Synthese'!P69)),IF('1.4 Analyse &amp; Synthese'!M69="x",1,0),""),""),"")</f>
        <v/>
      </c>
      <c r="BQ68" s="101" t="str">
        <f>_xlfn.IFNA(IF(B67&lt;&gt;"",IF(AND(ISBLANK('1.4 Analyse &amp; Synthese'!M69),ISBLANK('1.4 Analyse &amp; Synthese'!O69),ISBLANK('1.4 Analyse &amp; Synthese'!P69)),IF('1.4 Analyse &amp; Synthese'!N69="x",1,0),""),""),"")</f>
        <v/>
      </c>
      <c r="BU68" s="101">
        <f>_xlfn.IFNA(IF(B67&lt;&gt;"",IF(OR(AND('1.4 Analyse &amp; Synthese'!M69="X",'1.4 Analyse &amp; Synthese'!N69="X",'1.4 Analyse &amp; Synthese'!O69=""),AND('1.4 Analyse &amp; Synthese'!M69="X",'1.4 Analyse &amp; Synthese'!N69="",'1.4 Analyse &amp; Synthese'!O69="X"),AND('1.4 Analyse &amp; Synthese'!M69="",'1.4 Analyse &amp; Synthese'!N69="X",'1.4 Analyse &amp; Synthese'!O69="X")),1,0),0),"")</f>
        <v>0</v>
      </c>
      <c r="BV68" s="101" t="str">
        <f>_xlfn.IFNA(IF(F67&lt;&gt;"",IF(AND(ISBLANK('1.4 Analyse &amp; Synthese'!Q69),ISBLANK('1.4 Analyse &amp; Synthese'!R69),ISBLANK('1.4 Analyse &amp; Synthese'!S69)),IF('1.4 Analyse &amp; Synthese'!T69="x",1,0),""),""),"")</f>
        <v/>
      </c>
    </row>
    <row r="69" spans="2:74" x14ac:dyDescent="0.2">
      <c r="B69" s="127" t="str">
        <f>IF('1.4 Analyse &amp; Synthese'!B71&lt;&gt;0,'1.4 Analyse &amp; Synthese'!B71,"")</f>
        <v/>
      </c>
      <c r="C69" t="str">
        <f>_xlfn.IFNA(IF(B69&lt;&gt;0,VLOOKUP($B69,Tabelle3[[1]:[3]],2)),"")</f>
        <v/>
      </c>
      <c r="D69" t="str">
        <f>_xlfn.IFNA(IF(B69&lt;&gt;0,VLOOKUP($B69,Tabelle3[[1]:[3]],3)),"")</f>
        <v/>
      </c>
      <c r="E69" t="str">
        <f>_xlfn.IFNA(IF(B69&lt;&gt;0,VLOOKUP($B69,Tabelle3[[1]:[4]],4)),"")</f>
        <v/>
      </c>
      <c r="F69" t="str">
        <f>_xlfn.IFNA(IF(B69&lt;&gt;0,VLOOKUP($B69,Tabelle3[[1]:[5]],5)),"")</f>
        <v/>
      </c>
      <c r="G69" s="101" t="str">
        <f>_xlfn.IFNA(IF(B69&lt;&gt;0,VLOOKUP($B69,Tabelle3[[1]:[Aggregator/Integrator]],10)),"")</f>
        <v/>
      </c>
      <c r="H69" s="101" t="str">
        <f>_xlfn.IFNA(IF(B69&lt;&gt;0,VLOOKUP($B69,Tabelle3[[1]:[ITSVN Akteure]],11)),"")</f>
        <v/>
      </c>
      <c r="I69" s="101" t="str">
        <f>_xlfn.IFNA(IF(B69&lt;&gt;0,VLOOKUP($B69,Tabelle3[[1]:[IaaS]],12)),"")</f>
        <v/>
      </c>
      <c r="J69" s="101" t="str">
        <f>_xlfn.IFNA(IF(B69&lt;&gt;0,VLOOKUP($B69,Tabelle3[[1]:[PaaS]],13)),"")</f>
        <v/>
      </c>
      <c r="K69" s="101" t="str">
        <f>_xlfn.IFNA(IF(B69&lt;&gt;0,VLOOKUP($B69,Tabelle3[[1]:[SaaS]],14)),"")</f>
        <v/>
      </c>
      <c r="L69" s="101" t="str">
        <f>_xlfn.IFNA(IF(B69&lt;&gt;0,VLOOKUP($B69,Tabelle3[[1]:[DaaS]],15)),"")</f>
        <v/>
      </c>
      <c r="M69" s="101">
        <f>IF(B69&lt;&gt;0,COUNTIF('1.4 Analyse &amp; Synthese'!Q71:AJ71,1))</f>
        <v>0</v>
      </c>
      <c r="N69" s="101">
        <f>IF(B69&lt;&gt;0,COUNTIF('1.4 Analyse &amp; Synthese'!Q71:AJ71,3))</f>
        <v>0</v>
      </c>
      <c r="O69" s="101" t="str">
        <f t="array" ref="O69">_xlfn.IFNA(INDEX($D$5:$D$49,MATCH(0,COUNTIF($O$4:O68,$D$5:$D$49),0),1),"")</f>
        <v/>
      </c>
      <c r="BP69" s="272" t="str">
        <f>_xlfn.IFNA(IF(B68&lt;&gt;"",IF(AND(ISBLANK('1.4 Analyse &amp; Synthese'!N70),ISBLANK('1.4 Analyse &amp; Synthese'!O70),ISBLANK('1.4 Analyse &amp; Synthese'!P70)),IF('1.4 Analyse &amp; Synthese'!M70="x",1,0),""),""),"")</f>
        <v/>
      </c>
      <c r="BQ69" s="101" t="str">
        <f>_xlfn.IFNA(IF(B68&lt;&gt;"",IF(AND(ISBLANK('1.4 Analyse &amp; Synthese'!M70),ISBLANK('1.4 Analyse &amp; Synthese'!O70),ISBLANK('1.4 Analyse &amp; Synthese'!P70)),IF('1.4 Analyse &amp; Synthese'!N70="x",1,0),""),""),"")</f>
        <v/>
      </c>
      <c r="BU69" s="101">
        <f>_xlfn.IFNA(IF(B68&lt;&gt;"",IF(OR(AND('1.4 Analyse &amp; Synthese'!M70="X",'1.4 Analyse &amp; Synthese'!N70="X",'1.4 Analyse &amp; Synthese'!O70=""),AND('1.4 Analyse &amp; Synthese'!M70="X",'1.4 Analyse &amp; Synthese'!N70="",'1.4 Analyse &amp; Synthese'!O70="X"),AND('1.4 Analyse &amp; Synthese'!M70="",'1.4 Analyse &amp; Synthese'!N70="X",'1.4 Analyse &amp; Synthese'!O70="X")),1,0),0),"")</f>
        <v>0</v>
      </c>
      <c r="BV69" s="101" t="str">
        <f>_xlfn.IFNA(IF(F68&lt;&gt;"",IF(AND(ISBLANK('1.4 Analyse &amp; Synthese'!Q70),ISBLANK('1.4 Analyse &amp; Synthese'!R70),ISBLANK('1.4 Analyse &amp; Synthese'!S70)),IF('1.4 Analyse &amp; Synthese'!T70="x",1,0),""),""),"")</f>
        <v/>
      </c>
    </row>
    <row r="70" spans="2:74" x14ac:dyDescent="0.2">
      <c r="B70" s="127" t="str">
        <f>IF('1.4 Analyse &amp; Synthese'!B72&lt;&gt;0,'1.4 Analyse &amp; Synthese'!B72,"")</f>
        <v/>
      </c>
      <c r="C70" t="str">
        <f>_xlfn.IFNA(IF(B70&lt;&gt;0,VLOOKUP($B70,Tabelle3[[1]:[3]],2)),"")</f>
        <v/>
      </c>
      <c r="D70" t="str">
        <f>_xlfn.IFNA(IF(B70&lt;&gt;0,VLOOKUP($B70,Tabelle3[[1]:[3]],3)),"")</f>
        <v/>
      </c>
      <c r="E70" t="str">
        <f>_xlfn.IFNA(IF(B70&lt;&gt;0,VLOOKUP($B70,Tabelle3[[1]:[4]],4)),"")</f>
        <v/>
      </c>
      <c r="F70" t="str">
        <f>_xlfn.IFNA(IF(B70&lt;&gt;0,VLOOKUP($B70,Tabelle3[[1]:[5]],5)),"")</f>
        <v/>
      </c>
      <c r="G70" s="101" t="str">
        <f>_xlfn.IFNA(IF(B70&lt;&gt;0,VLOOKUP($B70,Tabelle3[[1]:[Aggregator/Integrator]],10)),"")</f>
        <v/>
      </c>
      <c r="H70" s="101" t="str">
        <f>_xlfn.IFNA(IF(B70&lt;&gt;0,VLOOKUP($B70,Tabelle3[[1]:[ITSVN Akteure]],11)),"")</f>
        <v/>
      </c>
      <c r="I70" s="101" t="str">
        <f>_xlfn.IFNA(IF(B70&lt;&gt;0,VLOOKUP($B70,Tabelle3[[1]:[IaaS]],12)),"")</f>
        <v/>
      </c>
      <c r="J70" s="101" t="str">
        <f>_xlfn.IFNA(IF(B70&lt;&gt;0,VLOOKUP($B70,Tabelle3[[1]:[PaaS]],13)),"")</f>
        <v/>
      </c>
      <c r="K70" s="101" t="str">
        <f>_xlfn.IFNA(IF(B70&lt;&gt;0,VLOOKUP($B70,Tabelle3[[1]:[SaaS]],14)),"")</f>
        <v/>
      </c>
      <c r="L70" s="101" t="str">
        <f>_xlfn.IFNA(IF(B70&lt;&gt;0,VLOOKUP($B70,Tabelle3[[1]:[DaaS]],15)),"")</f>
        <v/>
      </c>
      <c r="M70" s="101">
        <f>IF(B70&lt;&gt;0,COUNTIF('1.4 Analyse &amp; Synthese'!Q72:AJ72,1))</f>
        <v>0</v>
      </c>
      <c r="N70" s="101">
        <f>IF(B70&lt;&gt;0,COUNTIF('1.4 Analyse &amp; Synthese'!Q72:AJ72,3))</f>
        <v>0</v>
      </c>
      <c r="O70" s="101" t="str">
        <f t="array" ref="O70">_xlfn.IFNA(INDEX($D$5:$D$49,MATCH(0,COUNTIF($O$4:O69,$D$5:$D$49),0),1),"")</f>
        <v/>
      </c>
      <c r="BP70" s="272" t="str">
        <f>_xlfn.IFNA(IF(B69&lt;&gt;"",IF(AND(ISBLANK('1.4 Analyse &amp; Synthese'!N71),ISBLANK('1.4 Analyse &amp; Synthese'!O71),ISBLANK('1.4 Analyse &amp; Synthese'!P71)),IF('1.4 Analyse &amp; Synthese'!M71="x",1,0),""),""),"")</f>
        <v/>
      </c>
      <c r="BQ70" s="101" t="str">
        <f>_xlfn.IFNA(IF(B69&lt;&gt;"",IF(AND(ISBLANK('1.4 Analyse &amp; Synthese'!M71),ISBLANK('1.4 Analyse &amp; Synthese'!O71),ISBLANK('1.4 Analyse &amp; Synthese'!P71)),IF('1.4 Analyse &amp; Synthese'!N71="x",1,0),""),""),"")</f>
        <v/>
      </c>
      <c r="BU70" s="101">
        <f>_xlfn.IFNA(IF(B69&lt;&gt;"",IF(OR(AND('1.4 Analyse &amp; Synthese'!M71="X",'1.4 Analyse &amp; Synthese'!N71="X",'1.4 Analyse &amp; Synthese'!O71=""),AND('1.4 Analyse &amp; Synthese'!M71="X",'1.4 Analyse &amp; Synthese'!N71="",'1.4 Analyse &amp; Synthese'!O71="X"),AND('1.4 Analyse &amp; Synthese'!M71="",'1.4 Analyse &amp; Synthese'!N71="X",'1.4 Analyse &amp; Synthese'!O71="X")),1,0),0),"")</f>
        <v>0</v>
      </c>
      <c r="BV70" s="101" t="str">
        <f>_xlfn.IFNA(IF(F69&lt;&gt;"",IF(AND(ISBLANK('1.4 Analyse &amp; Synthese'!Q71),ISBLANK('1.4 Analyse &amp; Synthese'!R71),ISBLANK('1.4 Analyse &amp; Synthese'!S71)),IF('1.4 Analyse &amp; Synthese'!T71="x",1,0),""),""),"")</f>
        <v/>
      </c>
    </row>
    <row r="71" spans="2:74" x14ac:dyDescent="0.2">
      <c r="O71" s="101" t="str">
        <f t="array" ref="O71">_xlfn.IFNA(INDEX($D$5:$D$49,MATCH(0,COUNTIF($O$4:O70,$D$5:$D$49),0),1),"")</f>
        <v/>
      </c>
      <c r="BP71" s="272" t="str">
        <f>_xlfn.IFNA(IF(B70&lt;&gt;"",IF(AND(ISBLANK('1.4 Analyse &amp; Synthese'!N72),ISBLANK('1.4 Analyse &amp; Synthese'!O72),ISBLANK('1.4 Analyse &amp; Synthese'!P72)),IF('1.4 Analyse &amp; Synthese'!M72="x",1,0),""),""),"")</f>
        <v/>
      </c>
      <c r="BQ71" s="101" t="str">
        <f>_xlfn.IFNA(IF(B70&lt;&gt;"",IF(AND(ISBLANK('1.4 Analyse &amp; Synthese'!M72),ISBLANK('1.4 Analyse &amp; Synthese'!O72),ISBLANK('1.4 Analyse &amp; Synthese'!P72)),IF('1.4 Analyse &amp; Synthese'!N72="x",1,0),""),""),"")</f>
        <v/>
      </c>
      <c r="BU71" s="101">
        <f>_xlfn.IFNA(IF(B70&lt;&gt;"",IF(OR(AND('1.4 Analyse &amp; Synthese'!M72="X",'1.4 Analyse &amp; Synthese'!N72="X",'1.4 Analyse &amp; Synthese'!O72=""),AND('1.4 Analyse &amp; Synthese'!M72="X",'1.4 Analyse &amp; Synthese'!N72="",'1.4 Analyse &amp; Synthese'!O72="X"),AND('1.4 Analyse &amp; Synthese'!M72="",'1.4 Analyse &amp; Synthese'!N72="X",'1.4 Analyse &amp; Synthese'!O72="X")),1,0),0),"")</f>
        <v>0</v>
      </c>
      <c r="BV71" s="101" t="str">
        <f>_xlfn.IFNA(IF(F70&lt;&gt;"",IF(AND(ISBLANK('1.4 Analyse &amp; Synthese'!Q72),ISBLANK('1.4 Analyse &amp; Synthese'!R72),ISBLANK('1.4 Analyse &amp; Synthese'!S72)),IF('1.4 Analyse &amp; Synthese'!T72="x",1,0),""),""),"")</f>
        <v/>
      </c>
    </row>
    <row r="72" spans="2:74" x14ac:dyDescent="0.2">
      <c r="O72" s="101" t="str">
        <f t="array" ref="O72">_xlfn.IFNA(INDEX($D$5:$D$49,MATCH(0,COUNTIF($O$4:O71,$D$5:$D$49),0),1),"")</f>
        <v/>
      </c>
      <c r="BP72" s="272" t="str">
        <f>_xlfn.IFNA(IF(B71&lt;&gt;"",IF(AND(ISBLANK('1.4 Analyse &amp; Synthese'!N73),ISBLANK('1.4 Analyse &amp; Synthese'!O73),ISBLANK('1.4 Analyse &amp; Synthese'!P73)),IF('1.4 Analyse &amp; Synthese'!M73="x",1,0),""),""),"")</f>
        <v/>
      </c>
      <c r="BQ72" s="101" t="str">
        <f>_xlfn.IFNA(IF(B71&lt;&gt;"",IF(AND(ISBLANK('1.4 Analyse &amp; Synthese'!M73),ISBLANK('1.4 Analyse &amp; Synthese'!O73),ISBLANK('1.4 Analyse &amp; Synthese'!P73)),IF('1.4 Analyse &amp; Synthese'!N73="x",1,0),""),""),"")</f>
        <v/>
      </c>
      <c r="BU72" s="101">
        <f>_xlfn.IFNA(IF(B71&lt;&gt;"",IF(OR(AND('1.4 Analyse &amp; Synthese'!M73="X",'1.4 Analyse &amp; Synthese'!N73="X",'1.4 Analyse &amp; Synthese'!O73=""),AND('1.4 Analyse &amp; Synthese'!M73="X",'1.4 Analyse &amp; Synthese'!N73="",'1.4 Analyse &amp; Synthese'!O73="X"),AND('1.4 Analyse &amp; Synthese'!M73="",'1.4 Analyse &amp; Synthese'!N73="X",'1.4 Analyse &amp; Synthese'!O73="X")),1,0),0),"")</f>
        <v>0</v>
      </c>
      <c r="BV72" s="101" t="str">
        <f>_xlfn.IFNA(IF(F71&lt;&gt;"",IF(AND(ISBLANK('1.4 Analyse &amp; Synthese'!Q73),ISBLANK('1.4 Analyse &amp; Synthese'!R73),ISBLANK('1.4 Analyse &amp; Synthese'!S73)),IF('1.4 Analyse &amp; Synthese'!T73="x",1,0),""),""),"")</f>
        <v/>
      </c>
    </row>
    <row r="73" spans="2:74" x14ac:dyDescent="0.2">
      <c r="O73" s="101" t="str">
        <f t="array" ref="O73">_xlfn.IFNA(INDEX($D$5:$D$49,MATCH(0,COUNTIF($O$4:O72,$D$5:$D$49),0),1),"")</f>
        <v/>
      </c>
      <c r="BP73" s="272" t="str">
        <f>_xlfn.IFNA(IF(B72&lt;&gt;"",IF(AND(ISBLANK('1.4 Analyse &amp; Synthese'!N74),ISBLANK('1.4 Analyse &amp; Synthese'!O74),ISBLANK('1.4 Analyse &amp; Synthese'!P74)),IF('1.4 Analyse &amp; Synthese'!M74="x",1,0),""),""),"")</f>
        <v/>
      </c>
      <c r="BQ73" s="101" t="str">
        <f>_xlfn.IFNA(IF(B72&lt;&gt;"",IF(AND(ISBLANK('1.4 Analyse &amp; Synthese'!M74),ISBLANK('1.4 Analyse &amp; Synthese'!O74),ISBLANK('1.4 Analyse &amp; Synthese'!P74)),IF('1.4 Analyse &amp; Synthese'!N74="x",1,0),""),""),"")</f>
        <v/>
      </c>
      <c r="BU73" s="101">
        <f>_xlfn.IFNA(IF(B72&lt;&gt;"",IF(OR(AND('1.4 Analyse &amp; Synthese'!M74="X",'1.4 Analyse &amp; Synthese'!N74="X",'1.4 Analyse &amp; Synthese'!O74=""),AND('1.4 Analyse &amp; Synthese'!M74="X",'1.4 Analyse &amp; Synthese'!N74="",'1.4 Analyse &amp; Synthese'!O74="X"),AND('1.4 Analyse &amp; Synthese'!M74="",'1.4 Analyse &amp; Synthese'!N74="X",'1.4 Analyse &amp; Synthese'!O74="X")),1,0),0),"")</f>
        <v>0</v>
      </c>
      <c r="BV73" s="101" t="str">
        <f>_xlfn.IFNA(IF(F72&lt;&gt;"",IF(AND(ISBLANK('1.4 Analyse &amp; Synthese'!Q74),ISBLANK('1.4 Analyse &amp; Synthese'!R74),ISBLANK('1.4 Analyse &amp; Synthese'!S74)),IF('1.4 Analyse &amp; Synthese'!T74="x",1,0),""),""),"")</f>
        <v/>
      </c>
    </row>
    <row r="74" spans="2:74" x14ac:dyDescent="0.2">
      <c r="O74" s="101" t="str">
        <f t="array" ref="O74">_xlfn.IFNA(INDEX($D$5:$D$49,MATCH(0,COUNTIF($O$4:O73,$D$5:$D$49),0),1),"")</f>
        <v/>
      </c>
      <c r="BP74" s="272" t="str">
        <f>_xlfn.IFNA(IF(B73&lt;&gt;"",IF(AND(ISBLANK('1.4 Analyse &amp; Synthese'!N75),ISBLANK('1.4 Analyse &amp; Synthese'!O75),ISBLANK('1.4 Analyse &amp; Synthese'!P75)),IF('1.4 Analyse &amp; Synthese'!M75="x",1,0),""),""),"")</f>
        <v/>
      </c>
      <c r="BQ74" s="101" t="str">
        <f>_xlfn.IFNA(IF(B73&lt;&gt;"",IF(AND(ISBLANK('1.4 Analyse &amp; Synthese'!M75),ISBLANK('1.4 Analyse &amp; Synthese'!O75),ISBLANK('1.4 Analyse &amp; Synthese'!P75)),IF('1.4 Analyse &amp; Synthese'!N75="x",1,0),""),""),"")</f>
        <v/>
      </c>
      <c r="BU74" s="101">
        <f>_xlfn.IFNA(IF(B73&lt;&gt;"",IF(OR(AND('1.4 Analyse &amp; Synthese'!M75="X",'1.4 Analyse &amp; Synthese'!N75="X",'1.4 Analyse &amp; Synthese'!O75=""),AND('1.4 Analyse &amp; Synthese'!M75="X",'1.4 Analyse &amp; Synthese'!N75="",'1.4 Analyse &amp; Synthese'!O75="X"),AND('1.4 Analyse &amp; Synthese'!M75="",'1.4 Analyse &amp; Synthese'!N75="X",'1.4 Analyse &amp; Synthese'!O75="X")),1,0),0),"")</f>
        <v>0</v>
      </c>
      <c r="BV74" s="101" t="str">
        <f>_xlfn.IFNA(IF(F73&lt;&gt;"",IF(AND(ISBLANK('1.4 Analyse &amp; Synthese'!Q75),ISBLANK('1.4 Analyse &amp; Synthese'!R75),ISBLANK('1.4 Analyse &amp; Synthese'!S75)),IF('1.4 Analyse &amp; Synthese'!T75="x",1,0),""),""),"")</f>
        <v/>
      </c>
    </row>
    <row r="75" spans="2:74" x14ac:dyDescent="0.2">
      <c r="O75" s="101" t="str">
        <f t="array" ref="O75">_xlfn.IFNA(INDEX($D$5:$D$49,MATCH(0,COUNTIF($O$4:O74,$D$5:$D$49),0),1),"")</f>
        <v/>
      </c>
      <c r="BP75" s="272" t="str">
        <f>_xlfn.IFNA(IF(B74&lt;&gt;"",IF(AND(ISBLANK('1.4 Analyse &amp; Synthese'!N76),ISBLANK('1.4 Analyse &amp; Synthese'!O76),ISBLANK('1.4 Analyse &amp; Synthese'!P76)),IF('1.4 Analyse &amp; Synthese'!M76="x",1,0),""),""),"")</f>
        <v/>
      </c>
      <c r="BQ75" s="101" t="str">
        <f>_xlfn.IFNA(IF(B74&lt;&gt;"",IF(AND(ISBLANK('1.4 Analyse &amp; Synthese'!M76),ISBLANK('1.4 Analyse &amp; Synthese'!O76),ISBLANK('1.4 Analyse &amp; Synthese'!P76)),IF('1.4 Analyse &amp; Synthese'!N76="x",1,0),""),""),"")</f>
        <v/>
      </c>
      <c r="BU75" s="101">
        <f>_xlfn.IFNA(IF(B74&lt;&gt;"",IF(OR(AND('1.4 Analyse &amp; Synthese'!M76="X",'1.4 Analyse &amp; Synthese'!N76="X",'1.4 Analyse &amp; Synthese'!O76=""),AND('1.4 Analyse &amp; Synthese'!M76="X",'1.4 Analyse &amp; Synthese'!N76="",'1.4 Analyse &amp; Synthese'!O76="X"),AND('1.4 Analyse &amp; Synthese'!M76="",'1.4 Analyse &amp; Synthese'!N76="X",'1.4 Analyse &amp; Synthese'!O76="X")),1,0),0),"")</f>
        <v>0</v>
      </c>
      <c r="BV75" s="101" t="str">
        <f>_xlfn.IFNA(IF(F74&lt;&gt;"",IF(AND(ISBLANK('1.4 Analyse &amp; Synthese'!Q76),ISBLANK('1.4 Analyse &amp; Synthese'!R76),ISBLANK('1.4 Analyse &amp; Synthese'!S76)),IF('1.4 Analyse &amp; Synthese'!T76="x",1,0),""),""),"")</f>
        <v/>
      </c>
    </row>
    <row r="76" spans="2:74" x14ac:dyDescent="0.2">
      <c r="O76" s="101" t="str">
        <f t="array" ref="O76">_xlfn.IFNA(INDEX($D$5:$D$49,MATCH(0,COUNTIF($O$4:O75,$D$5:$D$49),0),1),"")</f>
        <v/>
      </c>
      <c r="BP76" s="272" t="str">
        <f>_xlfn.IFNA(IF(B75&lt;&gt;"",IF(AND(ISBLANK('1.4 Analyse &amp; Synthese'!N77),ISBLANK('1.4 Analyse &amp; Synthese'!O77),ISBLANK('1.4 Analyse &amp; Synthese'!P77)),IF('1.4 Analyse &amp; Synthese'!M77="x",1,0),""),""),"")</f>
        <v/>
      </c>
      <c r="BQ76" s="101" t="str">
        <f>_xlfn.IFNA(IF(B75&lt;&gt;"",IF(AND(ISBLANK('1.4 Analyse &amp; Synthese'!M77),ISBLANK('1.4 Analyse &amp; Synthese'!O77),ISBLANK('1.4 Analyse &amp; Synthese'!P77)),IF('1.4 Analyse &amp; Synthese'!N77="x",1,0),""),""),"")</f>
        <v/>
      </c>
      <c r="BU76" s="101">
        <f>_xlfn.IFNA(IF(B75&lt;&gt;"",IF(OR(AND('1.4 Analyse &amp; Synthese'!M77="X",'1.4 Analyse &amp; Synthese'!N77="X",'1.4 Analyse &amp; Synthese'!O77=""),AND('1.4 Analyse &amp; Synthese'!M77="X",'1.4 Analyse &amp; Synthese'!N77="",'1.4 Analyse &amp; Synthese'!O77="X"),AND('1.4 Analyse &amp; Synthese'!M77="",'1.4 Analyse &amp; Synthese'!N77="X",'1.4 Analyse &amp; Synthese'!O77="X")),1,0),0),"")</f>
        <v>0</v>
      </c>
      <c r="BV76" s="101" t="str">
        <f>_xlfn.IFNA(IF(F75&lt;&gt;"",IF(AND(ISBLANK('1.4 Analyse &amp; Synthese'!Q77),ISBLANK('1.4 Analyse &amp; Synthese'!R77),ISBLANK('1.4 Analyse &amp; Synthese'!S77)),IF('1.4 Analyse &amp; Synthese'!T77="x",1,0),""),""),"")</f>
        <v/>
      </c>
    </row>
    <row r="77" spans="2:74" x14ac:dyDescent="0.2">
      <c r="O77" s="101" t="str">
        <f t="array" ref="O77">_xlfn.IFNA(INDEX($D$5:$D$49,MATCH(0,COUNTIF($O$4:O76,$D$5:$D$49),0),1),"")</f>
        <v/>
      </c>
      <c r="BP77" s="272" t="str">
        <f>_xlfn.IFNA(IF(B76&lt;&gt;"",IF(AND(ISBLANK('1.4 Analyse &amp; Synthese'!N78),ISBLANK('1.4 Analyse &amp; Synthese'!O78),ISBLANK('1.4 Analyse &amp; Synthese'!P78)),IF('1.4 Analyse &amp; Synthese'!M78="x",1,0),""),""),"")</f>
        <v/>
      </c>
      <c r="BQ77" s="101" t="str">
        <f>_xlfn.IFNA(IF(B76&lt;&gt;"",IF(AND(ISBLANK('1.4 Analyse &amp; Synthese'!M78),ISBLANK('1.4 Analyse &amp; Synthese'!O78),ISBLANK('1.4 Analyse &amp; Synthese'!P78)),IF('1.4 Analyse &amp; Synthese'!N78="x",1,0),""),""),"")</f>
        <v/>
      </c>
      <c r="BU77" s="101">
        <f>_xlfn.IFNA(IF(B76&lt;&gt;"",IF(OR(AND('1.4 Analyse &amp; Synthese'!M78="X",'1.4 Analyse &amp; Synthese'!N78="X",'1.4 Analyse &amp; Synthese'!O78=""),AND('1.4 Analyse &amp; Synthese'!M78="X",'1.4 Analyse &amp; Synthese'!N78="",'1.4 Analyse &amp; Synthese'!O78="X"),AND('1.4 Analyse &amp; Synthese'!M78="",'1.4 Analyse &amp; Synthese'!N78="X",'1.4 Analyse &amp; Synthese'!O78="X")),1,0),0),"")</f>
        <v>0</v>
      </c>
      <c r="BV77" s="101" t="str">
        <f>_xlfn.IFNA(IF(F76&lt;&gt;"",IF(AND(ISBLANK('1.4 Analyse &amp; Synthese'!Q78),ISBLANK('1.4 Analyse &amp; Synthese'!R78),ISBLANK('1.4 Analyse &amp; Synthese'!S78)),IF('1.4 Analyse &amp; Synthese'!T78="x",1,0),""),""),"")</f>
        <v/>
      </c>
    </row>
    <row r="78" spans="2:74" x14ac:dyDescent="0.2">
      <c r="O78" s="101" t="str">
        <f t="array" ref="O78">_xlfn.IFNA(INDEX($D$5:$D$49,MATCH(0,COUNTIF($O$4:O77,$D$5:$D$49),0),1),"")</f>
        <v/>
      </c>
      <c r="BP78" s="272" t="str">
        <f>_xlfn.IFNA(IF(B77&lt;&gt;"",IF(AND(ISBLANK('1.4 Analyse &amp; Synthese'!N79),ISBLANK('1.4 Analyse &amp; Synthese'!O79),ISBLANK('1.4 Analyse &amp; Synthese'!P79)),IF('1.4 Analyse &amp; Synthese'!M79="x",1,0),""),""),"")</f>
        <v/>
      </c>
      <c r="BQ78" s="101" t="str">
        <f>_xlfn.IFNA(IF(B77&lt;&gt;"",IF(AND(ISBLANK('1.4 Analyse &amp; Synthese'!M79),ISBLANK('1.4 Analyse &amp; Synthese'!O79),ISBLANK('1.4 Analyse &amp; Synthese'!P79)),IF('1.4 Analyse &amp; Synthese'!N79="x",1,0),""),""),"")</f>
        <v/>
      </c>
      <c r="BU78" s="101">
        <f>_xlfn.IFNA(IF(B77&lt;&gt;"",IF(OR(AND('1.4 Analyse &amp; Synthese'!M79="X",'1.4 Analyse &amp; Synthese'!N79="X",'1.4 Analyse &amp; Synthese'!O79=""),AND('1.4 Analyse &amp; Synthese'!M79="X",'1.4 Analyse &amp; Synthese'!N79="",'1.4 Analyse &amp; Synthese'!O79="X"),AND('1.4 Analyse &amp; Synthese'!M79="",'1.4 Analyse &amp; Synthese'!N79="X",'1.4 Analyse &amp; Synthese'!O79="X")),1,0),0),"")</f>
        <v>0</v>
      </c>
      <c r="BV78" s="101" t="str">
        <f>_xlfn.IFNA(IF(F77&lt;&gt;"",IF(AND(ISBLANK('1.4 Analyse &amp; Synthese'!Q79),ISBLANK('1.4 Analyse &amp; Synthese'!R79),ISBLANK('1.4 Analyse &amp; Synthese'!S79)),IF('1.4 Analyse &amp; Synthese'!T79="x",1,0),""),""),"")</f>
        <v/>
      </c>
    </row>
    <row r="79" spans="2:74" x14ac:dyDescent="0.2">
      <c r="O79" s="101" t="str">
        <f t="array" ref="O79">_xlfn.IFNA(INDEX($D$5:$D$49,MATCH(0,COUNTIF($O$4:O78,$D$5:$D$49),0),1),"")</f>
        <v/>
      </c>
      <c r="BP79" s="272" t="str">
        <f>_xlfn.IFNA(IF(B78&lt;&gt;"",IF(AND(ISBLANK('1.4 Analyse &amp; Synthese'!N80),ISBLANK('1.4 Analyse &amp; Synthese'!O80),ISBLANK('1.4 Analyse &amp; Synthese'!P80)),IF('1.4 Analyse &amp; Synthese'!M80="x",1,0),""),""),"")</f>
        <v/>
      </c>
      <c r="BQ79" s="101" t="str">
        <f>_xlfn.IFNA(IF(B78&lt;&gt;"",IF(AND(ISBLANK('1.4 Analyse &amp; Synthese'!M80),ISBLANK('1.4 Analyse &amp; Synthese'!O80),ISBLANK('1.4 Analyse &amp; Synthese'!P80)),IF('1.4 Analyse &amp; Synthese'!N80="x",1,0),""),""),"")</f>
        <v/>
      </c>
      <c r="BU79" s="101">
        <f>_xlfn.IFNA(IF(B78&lt;&gt;"",IF(OR(AND('1.4 Analyse &amp; Synthese'!M80="X",'1.4 Analyse &amp; Synthese'!N80="X",'1.4 Analyse &amp; Synthese'!O80=""),AND('1.4 Analyse &amp; Synthese'!M80="X",'1.4 Analyse &amp; Synthese'!N80="",'1.4 Analyse &amp; Synthese'!O80="X"),AND('1.4 Analyse &amp; Synthese'!M80="",'1.4 Analyse &amp; Synthese'!N80="X",'1.4 Analyse &amp; Synthese'!O80="X")),1,0),0),"")</f>
        <v>0</v>
      </c>
      <c r="BV79" s="101" t="str">
        <f>_xlfn.IFNA(IF(F78&lt;&gt;"",IF(AND(ISBLANK('1.4 Analyse &amp; Synthese'!Q80),ISBLANK('1.4 Analyse &amp; Synthese'!R80),ISBLANK('1.4 Analyse &amp; Synthese'!S80)),IF('1.4 Analyse &amp; Synthese'!T80="x",1,0),""),""),"")</f>
        <v/>
      </c>
    </row>
    <row r="80" spans="2:74" x14ac:dyDescent="0.2">
      <c r="O80" s="101" t="str">
        <f t="array" ref="O80">_xlfn.IFNA(INDEX($D$5:$D$49,MATCH(0,COUNTIF($O$4:O79,$D$5:$D$49),0),1),"")</f>
        <v/>
      </c>
      <c r="BP80" s="272" t="str">
        <f>_xlfn.IFNA(IF(B79&lt;&gt;"",IF(AND(ISBLANK('1.4 Analyse &amp; Synthese'!N81),ISBLANK('1.4 Analyse &amp; Synthese'!O81),ISBLANK('1.4 Analyse &amp; Synthese'!P81)),IF('1.4 Analyse &amp; Synthese'!M81="x",1,0),""),""),"")</f>
        <v/>
      </c>
      <c r="BQ80" s="101" t="str">
        <f>_xlfn.IFNA(IF(B79&lt;&gt;"",IF(AND(ISBLANK('1.4 Analyse &amp; Synthese'!M81),ISBLANK('1.4 Analyse &amp; Synthese'!O81),ISBLANK('1.4 Analyse &amp; Synthese'!P81)),IF('1.4 Analyse &amp; Synthese'!N81="x",1,0),""),""),"")</f>
        <v/>
      </c>
      <c r="BU80" s="101">
        <f>_xlfn.IFNA(IF(B79&lt;&gt;"",IF(OR(AND('1.4 Analyse &amp; Synthese'!M81="X",'1.4 Analyse &amp; Synthese'!N81="X",'1.4 Analyse &amp; Synthese'!O81=""),AND('1.4 Analyse &amp; Synthese'!M81="X",'1.4 Analyse &amp; Synthese'!N81="",'1.4 Analyse &amp; Synthese'!O81="X"),AND('1.4 Analyse &amp; Synthese'!M81="",'1.4 Analyse &amp; Synthese'!N81="X",'1.4 Analyse &amp; Synthese'!O81="X")),1,0),0),"")</f>
        <v>0</v>
      </c>
      <c r="BV80" s="101" t="str">
        <f>_xlfn.IFNA(IF(F79&lt;&gt;"",IF(AND(ISBLANK('1.4 Analyse &amp; Synthese'!Q81),ISBLANK('1.4 Analyse &amp; Synthese'!R81),ISBLANK('1.4 Analyse &amp; Synthese'!S81)),IF('1.4 Analyse &amp; Synthese'!T81="x",1,0),""),""),"")</f>
        <v/>
      </c>
    </row>
    <row r="81" spans="15:74" x14ac:dyDescent="0.2">
      <c r="O81" s="101" t="str">
        <f t="array" ref="O81">_xlfn.IFNA(INDEX($D$5:$D$49,MATCH(0,COUNTIF($O$4:O80,$D$5:$D$49),0),1),"")</f>
        <v/>
      </c>
      <c r="BP81" s="272" t="str">
        <f>_xlfn.IFNA(IF(B80&lt;&gt;"",IF(AND('1.4 Analyse &amp; Synthese'!N82&lt;&gt;"",'1.4 Analyse &amp; Synthese'!O82&lt;&gt;"",'1.4 Analyse &amp; Synthese'!P82&lt;&gt;""),0,1),""),"")</f>
        <v/>
      </c>
      <c r="BQ81" s="101" t="str">
        <f>_xlfn.IFNA(IF(B80&lt;&gt;"",IF(AND(ISBLANK('1.4 Analyse &amp; Synthese'!M82),ISBLANK('1.4 Analyse &amp; Synthese'!O82),ISBLANK('1.4 Analyse &amp; Synthese'!P82)),IF('1.4 Analyse &amp; Synthese'!N82="x",1,0),""),""),"")</f>
        <v/>
      </c>
      <c r="BU81" s="101">
        <f>_xlfn.IFNA(IF(B80&lt;&gt;"",IF(OR(AND('1.4 Analyse &amp; Synthese'!M82="X",'1.4 Analyse &amp; Synthese'!N82="X",'1.4 Analyse &amp; Synthese'!O82=""),AND('1.4 Analyse &amp; Synthese'!M82="X",'1.4 Analyse &amp; Synthese'!N82="",'1.4 Analyse &amp; Synthese'!O82="X"),AND('1.4 Analyse &amp; Synthese'!M82="",'1.4 Analyse &amp; Synthese'!N82="X",'1.4 Analyse &amp; Synthese'!O82="X")),1,0),0),"")</f>
        <v>0</v>
      </c>
      <c r="BV81" s="101" t="str">
        <f>_xlfn.IFNA(IF(F80&lt;&gt;"",IF(AND(ISBLANK('1.4 Analyse &amp; Synthese'!Q82),ISBLANK('1.4 Analyse &amp; Synthese'!R82),ISBLANK('1.4 Analyse &amp; Synthese'!S82)),IF('1.4 Analyse &amp; Synthese'!T82="x",1,0),""),""),"")</f>
        <v/>
      </c>
    </row>
    <row r="82" spans="15:74" x14ac:dyDescent="0.2">
      <c r="O82" s="101" t="str">
        <f t="array" ref="O82">_xlfn.IFNA(INDEX($D$5:$D$49,MATCH(0,COUNTIF($O$4:O81,$D$5:$D$49),0),1),"")</f>
        <v/>
      </c>
      <c r="BP82" s="272" t="str">
        <f>_xlfn.IFNA(IF(B81&lt;&gt;"",IF(AND('1.4 Analyse &amp; Synthese'!N83&lt;&gt;"",'1.4 Analyse &amp; Synthese'!O83&lt;&gt;"",'1.4 Analyse &amp; Synthese'!P83&lt;&gt;""),0,1),""),"")</f>
        <v/>
      </c>
      <c r="BQ82" s="101" t="str">
        <f>_xlfn.IFNA(IF(B81&lt;&gt;"",IF(AND(ISBLANK('1.4 Analyse &amp; Synthese'!M83),ISBLANK('1.4 Analyse &amp; Synthese'!O83),ISBLANK('1.4 Analyse &amp; Synthese'!P83)),IF('1.4 Analyse &amp; Synthese'!N83="x",1,0),""),""),"")</f>
        <v/>
      </c>
      <c r="BU82" s="101">
        <f>_xlfn.IFNA(IF(B81&lt;&gt;"",IF(OR(AND('1.4 Analyse &amp; Synthese'!M83="X",'1.4 Analyse &amp; Synthese'!N83="X",'1.4 Analyse &amp; Synthese'!O83=""),AND('1.4 Analyse &amp; Synthese'!M83="X",'1.4 Analyse &amp; Synthese'!N83="",'1.4 Analyse &amp; Synthese'!O83="X"),AND('1.4 Analyse &amp; Synthese'!M83="",'1.4 Analyse &amp; Synthese'!N83="X",'1.4 Analyse &amp; Synthese'!O83="X")),1,0),0),"")</f>
        <v>0</v>
      </c>
      <c r="BV82" s="101" t="str">
        <f>_xlfn.IFNA(IF(F81&lt;&gt;"",IF(AND(ISBLANK('1.4 Analyse &amp; Synthese'!Q83),ISBLANK('1.4 Analyse &amp; Synthese'!R83),ISBLANK('1.4 Analyse &amp; Synthese'!S83)),IF('1.4 Analyse &amp; Synthese'!T83="x",1,0),""),""),"")</f>
        <v/>
      </c>
    </row>
    <row r="83" spans="15:74" x14ac:dyDescent="0.2">
      <c r="O83" s="101" t="str">
        <f t="array" ref="O83">_xlfn.IFNA(INDEX($D$5:$D$49,MATCH(0,COUNTIF($O$4:O82,$D$5:$D$49),0),1),"")</f>
        <v/>
      </c>
      <c r="BP83" s="272" t="str">
        <f>_xlfn.IFNA(IF(B82&lt;&gt;"",IF(AND('1.4 Analyse &amp; Synthese'!N84&lt;&gt;"",'1.4 Analyse &amp; Synthese'!O84&lt;&gt;"",'1.4 Analyse &amp; Synthese'!P84&lt;&gt;""),0,1),""),"")</f>
        <v/>
      </c>
      <c r="BQ83" s="101" t="str">
        <f>_xlfn.IFNA(IF(B82&lt;&gt;"",IF(AND(ISBLANK('1.4 Analyse &amp; Synthese'!M84),ISBLANK('1.4 Analyse &amp; Synthese'!O84),ISBLANK('1.4 Analyse &amp; Synthese'!P84)),IF('1.4 Analyse &amp; Synthese'!N84="x",1,0),""),""),"")</f>
        <v/>
      </c>
      <c r="BV83" s="101" t="str">
        <f>_xlfn.IFNA(IF(F82&lt;&gt;"",IF(AND(ISBLANK('1.4 Analyse &amp; Synthese'!Q84),ISBLANK('1.4 Analyse &amp; Synthese'!R84),ISBLANK('1.4 Analyse &amp; Synthese'!S84)),IF('1.4 Analyse &amp; Synthese'!T84="x",1,0),""),""),"")</f>
        <v/>
      </c>
    </row>
    <row r="84" spans="15:74" x14ac:dyDescent="0.2">
      <c r="O84" s="101" t="str">
        <f t="array" ref="O84">_xlfn.IFNA(INDEX($D$5:$D$49,MATCH(0,COUNTIF($O$4:O83,$D$5:$D$49),0),1),"")</f>
        <v/>
      </c>
      <c r="BP84" s="272" t="str">
        <f>_xlfn.IFNA(IF(B83&lt;&gt;"",IF(AND('1.4 Analyse &amp; Synthese'!N85&lt;&gt;"",'1.4 Analyse &amp; Synthese'!O85&lt;&gt;"",'1.4 Analyse &amp; Synthese'!P85&lt;&gt;""),0,1),""),"")</f>
        <v/>
      </c>
      <c r="BQ84" s="101" t="str">
        <f>_xlfn.IFNA(IF(B83&lt;&gt;"",IF(AND(ISBLANK('1.4 Analyse &amp; Synthese'!M85),ISBLANK('1.4 Analyse &amp; Synthese'!O85),ISBLANK('1.4 Analyse &amp; Synthese'!P85)),IF('1.4 Analyse &amp; Synthese'!N85="x",1,0),""),""),"")</f>
        <v/>
      </c>
      <c r="BV84" s="101" t="str">
        <f>_xlfn.IFNA(IF(F83&lt;&gt;"",IF(AND(ISBLANK('1.4 Analyse &amp; Synthese'!Q85),ISBLANK('1.4 Analyse &amp; Synthese'!R85),ISBLANK('1.4 Analyse &amp; Synthese'!S85)),IF('1.4 Analyse &amp; Synthese'!T85="x",1,0),""),""),"")</f>
        <v/>
      </c>
    </row>
    <row r="85" spans="15:74" x14ac:dyDescent="0.2">
      <c r="O85" s="101" t="str">
        <f t="array" ref="O85">_xlfn.IFNA(INDEX($D$5:$D$49,MATCH(0,COUNTIF($O$4:O84,$D$5:$D$49),0),1),"")</f>
        <v/>
      </c>
      <c r="BP85" s="272" t="str">
        <f>_xlfn.IFNA(IF(B84&lt;&gt;"",IF(AND('1.4 Analyse &amp; Synthese'!N86&lt;&gt;"",'1.4 Analyse &amp; Synthese'!O86&lt;&gt;"",'1.4 Analyse &amp; Synthese'!P86&lt;&gt;""),0,1),""),"")</f>
        <v/>
      </c>
      <c r="BQ85" s="101" t="str">
        <f>_xlfn.IFNA(IF(B84&lt;&gt;"",IF(AND(ISBLANK('1.4 Analyse &amp; Synthese'!M86),ISBLANK('1.4 Analyse &amp; Synthese'!O86),ISBLANK('1.4 Analyse &amp; Synthese'!P86)),IF('1.4 Analyse &amp; Synthese'!N86="x",1,0),""),""),"")</f>
        <v/>
      </c>
      <c r="BV85" s="101" t="str">
        <f>_xlfn.IFNA(IF(F84&lt;&gt;"",IF(AND(ISBLANK('1.4 Analyse &amp; Synthese'!Q86),ISBLANK('1.4 Analyse &amp; Synthese'!R86),ISBLANK('1.4 Analyse &amp; Synthese'!S86)),IF('1.4 Analyse &amp; Synthese'!T86="x",1,0),""),""),"")</f>
        <v/>
      </c>
    </row>
    <row r="86" spans="15:74" x14ac:dyDescent="0.2">
      <c r="O86" s="101" t="str">
        <f t="array" ref="O86">_xlfn.IFNA(INDEX($D$5:$D$49,MATCH(0,COUNTIF($O$4:O85,$D$5:$D$49),0),1),"")</f>
        <v/>
      </c>
      <c r="BP86" s="272" t="str">
        <f>_xlfn.IFNA(IF(B85&lt;&gt;"",IF(AND('1.4 Analyse &amp; Synthese'!N87&lt;&gt;"",'1.4 Analyse &amp; Synthese'!O87&lt;&gt;"",'1.4 Analyse &amp; Synthese'!P87&lt;&gt;""),0,1),""),"")</f>
        <v/>
      </c>
      <c r="BQ86" s="101" t="str">
        <f>_xlfn.IFNA(IF(B85&lt;&gt;"",IF(AND(ISBLANK('1.4 Analyse &amp; Synthese'!M87),ISBLANK('1.4 Analyse &amp; Synthese'!O87),ISBLANK('1.4 Analyse &amp; Synthese'!P87)),IF('1.4 Analyse &amp; Synthese'!N87="x",1,0),""),""),"")</f>
        <v/>
      </c>
      <c r="BV86" s="101" t="str">
        <f>_xlfn.IFNA(IF(F85&lt;&gt;"",IF(AND(ISBLANK('1.4 Analyse &amp; Synthese'!Q87),ISBLANK('1.4 Analyse &amp; Synthese'!R87),ISBLANK('1.4 Analyse &amp; Synthese'!S87)),IF('1.4 Analyse &amp; Synthese'!T87="x",1,0),""),""),"")</f>
        <v/>
      </c>
    </row>
    <row r="87" spans="15:74" x14ac:dyDescent="0.2">
      <c r="O87" s="101" t="str">
        <f t="array" ref="O87">_xlfn.IFNA(INDEX($D$5:$D$49,MATCH(0,COUNTIF($O$4:O86,$D$5:$D$49),0),1),"")</f>
        <v/>
      </c>
      <c r="BP87" s="272" t="str">
        <f>_xlfn.IFNA(IF(B86&lt;&gt;"",IF(AND('1.4 Analyse &amp; Synthese'!N88&lt;&gt;"",'1.4 Analyse &amp; Synthese'!O88&lt;&gt;"",'1.4 Analyse &amp; Synthese'!P88&lt;&gt;""),0,1),""),"")</f>
        <v/>
      </c>
      <c r="BQ87" s="101" t="str">
        <f>_xlfn.IFNA(IF(B86&lt;&gt;"",IF(AND(ISBLANK('1.4 Analyse &amp; Synthese'!M88),ISBLANK('1.4 Analyse &amp; Synthese'!O88),ISBLANK('1.4 Analyse &amp; Synthese'!P88)),IF('1.4 Analyse &amp; Synthese'!N88="x",1,0),""),""),"")</f>
        <v/>
      </c>
      <c r="BV87" s="101" t="str">
        <f>_xlfn.IFNA(IF(F86&lt;&gt;"",IF(AND(ISBLANK('1.4 Analyse &amp; Synthese'!Q88),ISBLANK('1.4 Analyse &amp; Synthese'!R88),ISBLANK('1.4 Analyse &amp; Synthese'!S88)),IF('1.4 Analyse &amp; Synthese'!T88="x",1,0),""),""),"")</f>
        <v/>
      </c>
    </row>
    <row r="88" spans="15:74" x14ac:dyDescent="0.2">
      <c r="O88" s="101" t="str">
        <f t="array" ref="O88">_xlfn.IFNA(INDEX($D$5:$D$49,MATCH(0,COUNTIF($O$4:O87,$D$5:$D$49),0),1),"")</f>
        <v/>
      </c>
      <c r="BP88" s="272" t="str">
        <f>_xlfn.IFNA(IF(B87&lt;&gt;"",IF(AND('1.4 Analyse &amp; Synthese'!N89&lt;&gt;"",'1.4 Analyse &amp; Synthese'!O89&lt;&gt;"",'1.4 Analyse &amp; Synthese'!P89&lt;&gt;""),0,1),""),"")</f>
        <v/>
      </c>
      <c r="BQ88" s="101" t="str">
        <f>_xlfn.IFNA(IF(B87&lt;&gt;"",IF(AND(ISBLANK('1.4 Analyse &amp; Synthese'!M89),ISBLANK('1.4 Analyse &amp; Synthese'!O89),ISBLANK('1.4 Analyse &amp; Synthese'!P89)),IF('1.4 Analyse &amp; Synthese'!N89="x",1,0),""),""),"")</f>
        <v/>
      </c>
      <c r="BV88" s="101" t="str">
        <f>_xlfn.IFNA(IF(F87&lt;&gt;"",IF(AND(ISBLANK('1.4 Analyse &amp; Synthese'!Q89),ISBLANK('1.4 Analyse &amp; Synthese'!R89),ISBLANK('1.4 Analyse &amp; Synthese'!S89)),IF('1.4 Analyse &amp; Synthese'!T89="x",1,0),""),""),"")</f>
        <v/>
      </c>
    </row>
    <row r="89" spans="15:74" x14ac:dyDescent="0.2">
      <c r="O89" s="101" t="str">
        <f t="array" ref="O89">_xlfn.IFNA(INDEX($D$5:$D$49,MATCH(0,COUNTIF($O$4:O88,$D$5:$D$49),0),1),"")</f>
        <v/>
      </c>
      <c r="BP89" s="272" t="str">
        <f>_xlfn.IFNA(IF(B88&lt;&gt;"",IF(AND('1.4 Analyse &amp; Synthese'!N90&lt;&gt;"",'1.4 Analyse &amp; Synthese'!O90&lt;&gt;"",'1.4 Analyse &amp; Synthese'!P90&lt;&gt;""),0,1),""),"")</f>
        <v/>
      </c>
      <c r="BQ89" s="101" t="str">
        <f>_xlfn.IFNA(IF(B88&lt;&gt;"",IF(AND(ISBLANK('1.4 Analyse &amp; Synthese'!M90),ISBLANK('1.4 Analyse &amp; Synthese'!O90),ISBLANK('1.4 Analyse &amp; Synthese'!P90)),IF('1.4 Analyse &amp; Synthese'!N90="x",1,0),""),""),"")</f>
        <v/>
      </c>
      <c r="BV89" s="101" t="str">
        <f>_xlfn.IFNA(IF(F88&lt;&gt;"",IF(AND(ISBLANK('1.4 Analyse &amp; Synthese'!Q90),ISBLANK('1.4 Analyse &amp; Synthese'!R90),ISBLANK('1.4 Analyse &amp; Synthese'!S90)),IF('1.4 Analyse &amp; Synthese'!T90="x",1,0),""),""),"")</f>
        <v/>
      </c>
    </row>
    <row r="90" spans="15:74" x14ac:dyDescent="0.2">
      <c r="O90" s="101" t="str">
        <f t="array" ref="O90">_xlfn.IFNA(INDEX($D$5:$D$49,MATCH(0,COUNTIF($O$4:O89,$D$5:$D$49),0),1),"")</f>
        <v/>
      </c>
      <c r="BP90" s="272" t="str">
        <f>_xlfn.IFNA(IF(B89&lt;&gt;"",IF(AND('1.4 Analyse &amp; Synthese'!N91&lt;&gt;"",'1.4 Analyse &amp; Synthese'!O91&lt;&gt;"",'1.4 Analyse &amp; Synthese'!P91&lt;&gt;""),0,1),""),"")</f>
        <v/>
      </c>
      <c r="BQ90" s="101" t="str">
        <f>_xlfn.IFNA(IF(B89&lt;&gt;"",IF(AND(ISBLANK('1.4 Analyse &amp; Synthese'!M91),ISBLANK('1.4 Analyse &amp; Synthese'!O91),ISBLANK('1.4 Analyse &amp; Synthese'!P91)),IF('1.4 Analyse &amp; Synthese'!N91="x",1,0),""),""),"")</f>
        <v/>
      </c>
      <c r="BV90" s="101" t="str">
        <f>_xlfn.IFNA(IF(F89&lt;&gt;"",IF(AND(ISBLANK('1.4 Analyse &amp; Synthese'!Q91),ISBLANK('1.4 Analyse &amp; Synthese'!R91),ISBLANK('1.4 Analyse &amp; Synthese'!S91)),IF('1.4 Analyse &amp; Synthese'!T91="x",1,0),""),""),"")</f>
        <v/>
      </c>
    </row>
    <row r="91" spans="15:74" x14ac:dyDescent="0.2">
      <c r="O91" s="101" t="str">
        <f t="array" ref="O91">_xlfn.IFNA(INDEX($D$5:$D$49,MATCH(0,COUNTIF($O$4:O90,$D$5:$D$49),0),1),"")</f>
        <v/>
      </c>
      <c r="BP91" s="272" t="str">
        <f>_xlfn.IFNA(IF(B90&lt;&gt;"",IF(AND('1.4 Analyse &amp; Synthese'!N92&lt;&gt;"",'1.4 Analyse &amp; Synthese'!O92&lt;&gt;"",'1.4 Analyse &amp; Synthese'!P92&lt;&gt;""),0,1),""),"")</f>
        <v/>
      </c>
      <c r="BQ91" s="101" t="str">
        <f>_xlfn.IFNA(IF(B90&lt;&gt;"",IF(AND(ISBLANK('1.4 Analyse &amp; Synthese'!M92),ISBLANK('1.4 Analyse &amp; Synthese'!O92),ISBLANK('1.4 Analyse &amp; Synthese'!P92)),IF('1.4 Analyse &amp; Synthese'!N92="x",1,0),""),""),"")</f>
        <v/>
      </c>
      <c r="BV91" s="101" t="str">
        <f>_xlfn.IFNA(IF(F90&lt;&gt;"",IF(AND(ISBLANK('1.4 Analyse &amp; Synthese'!Q92),ISBLANK('1.4 Analyse &amp; Synthese'!R92),ISBLANK('1.4 Analyse &amp; Synthese'!S92)),IF('1.4 Analyse &amp; Synthese'!T92="x",1,0),""),""),"")</f>
        <v/>
      </c>
    </row>
    <row r="92" spans="15:74" x14ac:dyDescent="0.2">
      <c r="O92" s="101" t="str">
        <f t="array" ref="O92">_xlfn.IFNA(INDEX($D$5:$D$49,MATCH(0,COUNTIF($O$4:O91,$D$5:$D$49),0),1),"")</f>
        <v/>
      </c>
      <c r="BP92" s="272" t="str">
        <f>_xlfn.IFNA(IF(B91&lt;&gt;"",IF(AND('1.4 Analyse &amp; Synthese'!N93&lt;&gt;"",'1.4 Analyse &amp; Synthese'!O93&lt;&gt;"",'1.4 Analyse &amp; Synthese'!P93&lt;&gt;""),0,1),""),"")</f>
        <v/>
      </c>
      <c r="BQ92" s="101" t="str">
        <f>_xlfn.IFNA(IF(B91&lt;&gt;"",IF(AND(ISBLANK('1.4 Analyse &amp; Synthese'!M93),ISBLANK('1.4 Analyse &amp; Synthese'!O93),ISBLANK('1.4 Analyse &amp; Synthese'!P93)),IF('1.4 Analyse &amp; Synthese'!N93="x",1,0),""),""),"")</f>
        <v/>
      </c>
      <c r="BV92" s="101" t="str">
        <f>_xlfn.IFNA(IF(F91&lt;&gt;"",IF(AND(ISBLANK('1.4 Analyse &amp; Synthese'!Q93),ISBLANK('1.4 Analyse &amp; Synthese'!R93),ISBLANK('1.4 Analyse &amp; Synthese'!S93)),IF('1.4 Analyse &amp; Synthese'!T93="x",1,0),""),""),"")</f>
        <v/>
      </c>
    </row>
    <row r="93" spans="15:74" x14ac:dyDescent="0.2">
      <c r="O93" s="101" t="str">
        <f t="array" ref="O93">_xlfn.IFNA(INDEX($D$5:$D$49,MATCH(0,COUNTIF($O$4:O92,$D$5:$D$49),0),1),"")</f>
        <v/>
      </c>
      <c r="BP93" s="272" t="str">
        <f>_xlfn.IFNA(IF(B92&lt;&gt;"",IF(AND('1.4 Analyse &amp; Synthese'!N94&lt;&gt;"",'1.4 Analyse &amp; Synthese'!O94&lt;&gt;"",'1.4 Analyse &amp; Synthese'!P94&lt;&gt;""),0,1),""),"")</f>
        <v/>
      </c>
      <c r="BQ93" s="101" t="str">
        <f>_xlfn.IFNA(IF(B92&lt;&gt;"",IF(AND(ISBLANK('1.4 Analyse &amp; Synthese'!M94),ISBLANK('1.4 Analyse &amp; Synthese'!O94),ISBLANK('1.4 Analyse &amp; Synthese'!P94)),IF('1.4 Analyse &amp; Synthese'!N94="x",1,0),""),""),"")</f>
        <v/>
      </c>
      <c r="BV93" s="101" t="str">
        <f>_xlfn.IFNA(IF(F92&lt;&gt;"",IF(AND(ISBLANK('1.4 Analyse &amp; Synthese'!Q94),ISBLANK('1.4 Analyse &amp; Synthese'!R94),ISBLANK('1.4 Analyse &amp; Synthese'!S94)),IF('1.4 Analyse &amp; Synthese'!T94="x",1,0),""),""),"")</f>
        <v/>
      </c>
    </row>
    <row r="94" spans="15:74" x14ac:dyDescent="0.2">
      <c r="O94" s="101" t="str">
        <f t="array" ref="O94">_xlfn.IFNA(INDEX($D$5:$D$49,MATCH(0,COUNTIF($O$4:O93,$D$5:$D$49),0),1),"")</f>
        <v/>
      </c>
      <c r="BP94" s="272" t="str">
        <f>_xlfn.IFNA(IF(B93&lt;&gt;"",IF(AND('1.4 Analyse &amp; Synthese'!N95&lt;&gt;"",'1.4 Analyse &amp; Synthese'!O95&lt;&gt;"",'1.4 Analyse &amp; Synthese'!P95&lt;&gt;""),0,1),""),"")</f>
        <v/>
      </c>
      <c r="BQ94" s="101" t="str">
        <f>_xlfn.IFNA(IF(B93&lt;&gt;"",IF(AND(ISBLANK('1.4 Analyse &amp; Synthese'!M95),ISBLANK('1.4 Analyse &amp; Synthese'!O95),ISBLANK('1.4 Analyse &amp; Synthese'!P95)),IF('1.4 Analyse &amp; Synthese'!N95="x",1,0),""),""),"")</f>
        <v/>
      </c>
      <c r="BV94" s="101" t="str">
        <f>_xlfn.IFNA(IF(F93&lt;&gt;"",IF(AND(ISBLANK('1.4 Analyse &amp; Synthese'!Q95),ISBLANK('1.4 Analyse &amp; Synthese'!R95),ISBLANK('1.4 Analyse &amp; Synthese'!S95)),IF('1.4 Analyse &amp; Synthese'!T95="x",1,0),""),""),"")</f>
        <v/>
      </c>
    </row>
    <row r="95" spans="15:74" x14ac:dyDescent="0.2">
      <c r="O95" s="101" t="str">
        <f t="array" ref="O95">_xlfn.IFNA(INDEX($D$5:$D$49,MATCH(0,COUNTIF($O$4:O94,$D$5:$D$49),0),1),"")</f>
        <v/>
      </c>
      <c r="BP95" s="272" t="str">
        <f>_xlfn.IFNA(IF(B94&lt;&gt;"",IF(AND('1.4 Analyse &amp; Synthese'!N96&lt;&gt;"",'1.4 Analyse &amp; Synthese'!O96&lt;&gt;"",'1.4 Analyse &amp; Synthese'!P96&lt;&gt;""),0,1),""),"")</f>
        <v/>
      </c>
      <c r="BQ95" s="101" t="str">
        <f>_xlfn.IFNA(IF(B94&lt;&gt;"",IF(AND(ISBLANK('1.4 Analyse &amp; Synthese'!M96),ISBLANK('1.4 Analyse &amp; Synthese'!O96),ISBLANK('1.4 Analyse &amp; Synthese'!P96)),IF('1.4 Analyse &amp; Synthese'!N96="x",1,0),""),""),"")</f>
        <v/>
      </c>
      <c r="BV95" s="101" t="str">
        <f>_xlfn.IFNA(IF(F94&lt;&gt;"",IF(AND(ISBLANK('1.4 Analyse &amp; Synthese'!Q96),ISBLANK('1.4 Analyse &amp; Synthese'!R96),ISBLANK('1.4 Analyse &amp; Synthese'!S96)),IF('1.4 Analyse &amp; Synthese'!T96="x",1,0),""),""),"")</f>
        <v/>
      </c>
    </row>
    <row r="96" spans="15:74" x14ac:dyDescent="0.2">
      <c r="O96" s="101" t="str">
        <f t="array" ref="O96">_xlfn.IFNA(INDEX($D$5:$D$49,MATCH(0,COUNTIF($O$4:O95,$D$5:$D$49),0),1),"")</f>
        <v/>
      </c>
      <c r="BP96" s="272" t="str">
        <f>_xlfn.IFNA(IF(B95&lt;&gt;"",IF(AND('1.4 Analyse &amp; Synthese'!N97&lt;&gt;"",'1.4 Analyse &amp; Synthese'!O97&lt;&gt;"",'1.4 Analyse &amp; Synthese'!P97&lt;&gt;""),0,1),""),"")</f>
        <v/>
      </c>
      <c r="BQ96" s="101" t="str">
        <f>_xlfn.IFNA(IF(B95&lt;&gt;"",IF(AND(ISBLANK('1.4 Analyse &amp; Synthese'!M97),ISBLANK('1.4 Analyse &amp; Synthese'!O97),ISBLANK('1.4 Analyse &amp; Synthese'!P97)),IF('1.4 Analyse &amp; Synthese'!N97="x",1,0),""),""),"")</f>
        <v/>
      </c>
      <c r="BV96" s="101" t="str">
        <f>_xlfn.IFNA(IF(F95&lt;&gt;"",IF(AND(ISBLANK('1.4 Analyse &amp; Synthese'!Q97),ISBLANK('1.4 Analyse &amp; Synthese'!R97),ISBLANK('1.4 Analyse &amp; Synthese'!S97)),IF('1.4 Analyse &amp; Synthese'!T97="x",1,0),""),""),"")</f>
        <v/>
      </c>
    </row>
    <row r="97" spans="15:74" x14ac:dyDescent="0.2">
      <c r="O97" s="101" t="str">
        <f t="array" ref="O97">_xlfn.IFNA(INDEX($D$5:$D$49,MATCH(0,COUNTIF($O$4:O96,$D$5:$D$49),0),1),"")</f>
        <v/>
      </c>
      <c r="BP97" s="272" t="str">
        <f>_xlfn.IFNA(IF(B96&lt;&gt;"",IF(AND('1.4 Analyse &amp; Synthese'!N98&lt;&gt;"",'1.4 Analyse &amp; Synthese'!O98&lt;&gt;"",'1.4 Analyse &amp; Synthese'!P98&lt;&gt;""),0,1),""),"")</f>
        <v/>
      </c>
      <c r="BQ97" s="101" t="str">
        <f>_xlfn.IFNA(IF(B96&lt;&gt;"",IF(AND(ISBLANK('1.4 Analyse &amp; Synthese'!M98),ISBLANK('1.4 Analyse &amp; Synthese'!O98),ISBLANK('1.4 Analyse &amp; Synthese'!P98)),IF('1.4 Analyse &amp; Synthese'!N98="x",1,0),""),""),"")</f>
        <v/>
      </c>
      <c r="BV97" s="101" t="str">
        <f>_xlfn.IFNA(IF(F96&lt;&gt;"",IF(AND(ISBLANK('1.4 Analyse &amp; Synthese'!Q98),ISBLANK('1.4 Analyse &amp; Synthese'!R98),ISBLANK('1.4 Analyse &amp; Synthese'!S98)),IF('1.4 Analyse &amp; Synthese'!T98="x",1,0),""),""),"")</f>
        <v/>
      </c>
    </row>
    <row r="98" spans="15:74" x14ac:dyDescent="0.2">
      <c r="O98" s="101" t="str">
        <f t="array" ref="O98">_xlfn.IFNA(INDEX($D$5:$D$49,MATCH(0,COUNTIF($O$4:O97,$D$5:$D$49),0),1),"")</f>
        <v/>
      </c>
      <c r="BP98" s="272" t="str">
        <f>_xlfn.IFNA(IF(B97&lt;&gt;"",IF(AND('1.4 Analyse &amp; Synthese'!N99&lt;&gt;"",'1.4 Analyse &amp; Synthese'!O99&lt;&gt;"",'1.4 Analyse &amp; Synthese'!P99&lt;&gt;""),0,1),""),"")</f>
        <v/>
      </c>
      <c r="BQ98" s="101" t="str">
        <f>_xlfn.IFNA(IF(B97&lt;&gt;"",IF(AND(ISBLANK('1.4 Analyse &amp; Synthese'!M99),ISBLANK('1.4 Analyse &amp; Synthese'!O99),ISBLANK('1.4 Analyse &amp; Synthese'!P99)),IF('1.4 Analyse &amp; Synthese'!N99="x",1,0),""),""),"")</f>
        <v/>
      </c>
      <c r="BV98" s="101" t="str">
        <f>_xlfn.IFNA(IF(F97&lt;&gt;"",IF(AND(ISBLANK('1.4 Analyse &amp; Synthese'!Q99),ISBLANK('1.4 Analyse &amp; Synthese'!R99),ISBLANK('1.4 Analyse &amp; Synthese'!S99)),IF('1.4 Analyse &amp; Synthese'!T99="x",1,0),""),""),"")</f>
        <v/>
      </c>
    </row>
    <row r="99" spans="15:74" x14ac:dyDescent="0.2">
      <c r="O99" s="101" t="str">
        <f t="array" ref="O99">_xlfn.IFNA(INDEX($D$5:$D$49,MATCH(0,COUNTIF($O$4:O98,$D$5:$D$49),0),1),"")</f>
        <v/>
      </c>
      <c r="BP99" s="272" t="str">
        <f>_xlfn.IFNA(IF(B98&lt;&gt;"",IF(AND('1.4 Analyse &amp; Synthese'!N100&lt;&gt;"",'1.4 Analyse &amp; Synthese'!O100&lt;&gt;"",'1.4 Analyse &amp; Synthese'!P100&lt;&gt;""),0,1),""),"")</f>
        <v/>
      </c>
      <c r="BQ99" s="101" t="str">
        <f>_xlfn.IFNA(IF(B98&lt;&gt;"",IF(AND(ISBLANK('1.4 Analyse &amp; Synthese'!M100),ISBLANK('1.4 Analyse &amp; Synthese'!O100),ISBLANK('1.4 Analyse &amp; Synthese'!P100)),IF('1.4 Analyse &amp; Synthese'!N100="x",1,0),""),""),"")</f>
        <v/>
      </c>
      <c r="BV99" s="101" t="str">
        <f>_xlfn.IFNA(IF(F98&lt;&gt;"",IF(AND(ISBLANK('1.4 Analyse &amp; Synthese'!Q100),ISBLANK('1.4 Analyse &amp; Synthese'!R100),ISBLANK('1.4 Analyse &amp; Synthese'!S100)),IF('1.4 Analyse &amp; Synthese'!T100="x",1,0),""),""),"")</f>
        <v/>
      </c>
    </row>
    <row r="100" spans="15:74" x14ac:dyDescent="0.2">
      <c r="O100" s="101" t="str">
        <f t="array" ref="O100">_xlfn.IFNA(INDEX($D$5:$D$49,MATCH(0,COUNTIF($O$4:O99,$D$5:$D$49),0),1),"")</f>
        <v/>
      </c>
      <c r="BP100" s="272" t="str">
        <f>_xlfn.IFNA(IF(B99&lt;&gt;"",IF(AND('1.4 Analyse &amp; Synthese'!N101&lt;&gt;"",'1.4 Analyse &amp; Synthese'!O101&lt;&gt;"",'1.4 Analyse &amp; Synthese'!P101&lt;&gt;""),0,1),""),"")</f>
        <v/>
      </c>
      <c r="BQ100" s="101" t="str">
        <f>_xlfn.IFNA(IF(B99&lt;&gt;"",IF(AND(ISBLANK('1.4 Analyse &amp; Synthese'!M101),ISBLANK('1.4 Analyse &amp; Synthese'!O101),ISBLANK('1.4 Analyse &amp; Synthese'!P101)),IF('1.4 Analyse &amp; Synthese'!N101="x",1,0),""),""),"")</f>
        <v/>
      </c>
      <c r="BV100" s="101" t="str">
        <f>_xlfn.IFNA(IF(F99&lt;&gt;"",IF(AND(ISBLANK('1.4 Analyse &amp; Synthese'!Q101),ISBLANK('1.4 Analyse &amp; Synthese'!R101),ISBLANK('1.4 Analyse &amp; Synthese'!S101)),IF('1.4 Analyse &amp; Synthese'!T101="x",1,0),""),""),"")</f>
        <v/>
      </c>
    </row>
    <row r="101" spans="15:74" x14ac:dyDescent="0.2">
      <c r="O101" s="101" t="str">
        <f t="array" ref="O101">_xlfn.IFNA(INDEX($D$5:$D$49,MATCH(0,COUNTIF($O$4:O100,$D$5:$D$49),0),1),"")</f>
        <v/>
      </c>
      <c r="BP101" s="272" t="str">
        <f>_xlfn.IFNA(IF(B100&lt;&gt;"",IF(AND('1.4 Analyse &amp; Synthese'!N102&lt;&gt;"",'1.4 Analyse &amp; Synthese'!O102&lt;&gt;"",'1.4 Analyse &amp; Synthese'!P102&lt;&gt;""),0,1),""),"")</f>
        <v/>
      </c>
      <c r="BQ101" s="101" t="str">
        <f>_xlfn.IFNA(IF(B100&lt;&gt;"",IF(AND(ISBLANK('1.4 Analyse &amp; Synthese'!M102),ISBLANK('1.4 Analyse &amp; Synthese'!O102),ISBLANK('1.4 Analyse &amp; Synthese'!P102)),IF('1.4 Analyse &amp; Synthese'!N102="x",1,0),""),""),"")</f>
        <v/>
      </c>
      <c r="BV101" s="101" t="str">
        <f>_xlfn.IFNA(IF(F100&lt;&gt;"",IF(AND(ISBLANK('1.4 Analyse &amp; Synthese'!Q102),ISBLANK('1.4 Analyse &amp; Synthese'!R102),ISBLANK('1.4 Analyse &amp; Synthese'!S102)),IF('1.4 Analyse &amp; Synthese'!T102="x",1,0),""),""),"")</f>
        <v/>
      </c>
    </row>
    <row r="102" spans="15:74" x14ac:dyDescent="0.2">
      <c r="O102" s="101" t="str">
        <f t="array" ref="O102">_xlfn.IFNA(INDEX($D$5:$D$49,MATCH(0,COUNTIF($O$4:O101,$D$5:$D$49),0),1),"")</f>
        <v/>
      </c>
      <c r="BP102" s="272" t="str">
        <f>_xlfn.IFNA(IF(B101&lt;&gt;"",IF(AND('1.4 Analyse &amp; Synthese'!N103&lt;&gt;"",'1.4 Analyse &amp; Synthese'!O103&lt;&gt;"",'1.4 Analyse &amp; Synthese'!P103&lt;&gt;""),0,1),""),"")</f>
        <v/>
      </c>
      <c r="BQ102" s="101" t="str">
        <f>_xlfn.IFNA(IF(B101&lt;&gt;"",IF(AND(ISBLANK('1.4 Analyse &amp; Synthese'!M103),ISBLANK('1.4 Analyse &amp; Synthese'!O103),ISBLANK('1.4 Analyse &amp; Synthese'!P103)),IF('1.4 Analyse &amp; Synthese'!N103="x",1,0),""),""),"")</f>
        <v/>
      </c>
      <c r="BV102" s="101" t="str">
        <f>_xlfn.IFNA(IF(F101&lt;&gt;"",IF(AND(ISBLANK('1.4 Analyse &amp; Synthese'!Q103),ISBLANK('1.4 Analyse &amp; Synthese'!R103),ISBLANK('1.4 Analyse &amp; Synthese'!S103)),IF('1.4 Analyse &amp; Synthese'!T103="x",1,0),""),""),"")</f>
        <v/>
      </c>
    </row>
    <row r="103" spans="15:74" x14ac:dyDescent="0.2">
      <c r="O103" s="101" t="str">
        <f t="array" ref="O103">_xlfn.IFNA(INDEX($D$5:$D$49,MATCH(0,COUNTIF($O$4:O102,$D$5:$D$49),0),1),"")</f>
        <v/>
      </c>
      <c r="BP103" s="272" t="str">
        <f>_xlfn.IFNA(IF(B102&lt;&gt;"",IF(AND('1.4 Analyse &amp; Synthese'!N104&lt;&gt;"",'1.4 Analyse &amp; Synthese'!O104&lt;&gt;"",'1.4 Analyse &amp; Synthese'!P104&lt;&gt;""),0,1),""),"")</f>
        <v/>
      </c>
      <c r="BQ103" s="101" t="str">
        <f>_xlfn.IFNA(IF(B102&lt;&gt;"",IF(AND(ISBLANK('1.4 Analyse &amp; Synthese'!M104),ISBLANK('1.4 Analyse &amp; Synthese'!O104),ISBLANK('1.4 Analyse &amp; Synthese'!P104)),IF('1.4 Analyse &amp; Synthese'!N104="x",1,0),""),""),"")</f>
        <v/>
      </c>
      <c r="BV103" s="101" t="str">
        <f>_xlfn.IFNA(IF(F102&lt;&gt;"",IF(AND(ISBLANK('1.4 Analyse &amp; Synthese'!Q104),ISBLANK('1.4 Analyse &amp; Synthese'!R104),ISBLANK('1.4 Analyse &amp; Synthese'!S104)),IF('1.4 Analyse &amp; Synthese'!T104="x",1,0),""),""),"")</f>
        <v/>
      </c>
    </row>
    <row r="104" spans="15:74" x14ac:dyDescent="0.2">
      <c r="O104" s="101" t="str">
        <f t="array" ref="O104">_xlfn.IFNA(INDEX($D$5:$D$49,MATCH(0,COUNTIF($O$4:O103,$D$5:$D$49),0),1),"")</f>
        <v/>
      </c>
      <c r="BP104" s="272" t="str">
        <f>_xlfn.IFNA(IF(B103&lt;&gt;"",IF(AND('1.4 Analyse &amp; Synthese'!N105&lt;&gt;"",'1.4 Analyse &amp; Synthese'!O105&lt;&gt;"",'1.4 Analyse &amp; Synthese'!P105&lt;&gt;""),0,1),""),"")</f>
        <v/>
      </c>
      <c r="BQ104" s="101" t="str">
        <f>_xlfn.IFNA(IF(B103&lt;&gt;"",IF(AND(ISBLANK('1.4 Analyse &amp; Synthese'!M105),ISBLANK('1.4 Analyse &amp; Synthese'!O105),ISBLANK('1.4 Analyse &amp; Synthese'!P105)),IF('1.4 Analyse &amp; Synthese'!N105="x",1,0),""),""),"")</f>
        <v/>
      </c>
      <c r="BV104" s="101" t="str">
        <f>_xlfn.IFNA(IF(F103&lt;&gt;"",IF(AND(ISBLANK('1.4 Analyse &amp; Synthese'!Q105),ISBLANK('1.4 Analyse &amp; Synthese'!R105),ISBLANK('1.4 Analyse &amp; Synthese'!S105)),IF('1.4 Analyse &amp; Synthese'!T105="x",1,0),""),""),"")</f>
        <v/>
      </c>
    </row>
    <row r="105" spans="15:74" x14ac:dyDescent="0.2">
      <c r="BP105" s="272" t="str">
        <f>_xlfn.IFNA(IF(B104&lt;&gt;"",IF(AND('1.4 Analyse &amp; Synthese'!N106&lt;&gt;"",'1.4 Analyse &amp; Synthese'!O106&lt;&gt;"",'1.4 Analyse &amp; Synthese'!P106&lt;&gt;""),0,1),""),"")</f>
        <v/>
      </c>
      <c r="BQ105" s="101" t="str">
        <f>_xlfn.IFNA(IF(B104&lt;&gt;"",IF(AND(ISBLANK('1.4 Analyse &amp; Synthese'!M106),ISBLANK('1.4 Analyse &amp; Synthese'!O106),ISBLANK('1.4 Analyse &amp; Synthese'!P106)),IF('1.4 Analyse &amp; Synthese'!N106="x",1,0),""),""),"")</f>
        <v/>
      </c>
      <c r="BV105" s="101" t="str">
        <f>_xlfn.IFNA(IF(F104&lt;&gt;"",IF(AND(ISBLANK('1.4 Analyse &amp; Synthese'!Q106),ISBLANK('1.4 Analyse &amp; Synthese'!R106),ISBLANK('1.4 Analyse &amp; Synthese'!S106)),IF('1.4 Analyse &amp; Synthese'!T106="x",1,0),""),""),"")</f>
        <v/>
      </c>
    </row>
    <row r="106" spans="15:74" x14ac:dyDescent="0.2">
      <c r="BP106" s="272" t="str">
        <f>_xlfn.IFNA(IF(B105&lt;&gt;"",IF(AND('1.4 Analyse &amp; Synthese'!N107&lt;&gt;"",'1.4 Analyse &amp; Synthese'!O107&lt;&gt;"",'1.4 Analyse &amp; Synthese'!P107&lt;&gt;""),0,1),""),"")</f>
        <v/>
      </c>
      <c r="BQ106" s="101" t="str">
        <f>_xlfn.IFNA(IF(B105&lt;&gt;"",IF(AND(ISBLANK('1.4 Analyse &amp; Synthese'!M107),ISBLANK('1.4 Analyse &amp; Synthese'!O107),ISBLANK('1.4 Analyse &amp; Synthese'!P107)),IF('1.4 Analyse &amp; Synthese'!M107="x",1,0),""),""),"")</f>
        <v/>
      </c>
      <c r="BV106" s="101" t="str">
        <f>_xlfn.IFNA(IF(F105&lt;&gt;"",IF(AND(ISBLANK('1.4 Analyse &amp; Synthese'!Q107),ISBLANK('1.4 Analyse &amp; Synthese'!R107),ISBLANK('1.4 Analyse &amp; Synthese'!S107)),IF('1.4 Analyse &amp; Synthese'!T107="x",1,0),""),""),"")</f>
        <v/>
      </c>
    </row>
    <row r="107" spans="15:74" x14ac:dyDescent="0.2">
      <c r="BP107" s="272" t="str">
        <f>_xlfn.IFNA(IF(B106&lt;&gt;"",IF(AND('1.4 Analyse &amp; Synthese'!N108&lt;&gt;"",'1.4 Analyse &amp; Synthese'!O108&lt;&gt;"",'1.4 Analyse &amp; Synthese'!P108&lt;&gt;""),0,1),""),"")</f>
        <v/>
      </c>
      <c r="BQ107" s="101" t="str">
        <f>_xlfn.IFNA(IF(B106&lt;&gt;"",IF(AND(ISBLANK('1.4 Analyse &amp; Synthese'!M108),ISBLANK('1.4 Analyse &amp; Synthese'!O108),ISBLANK('1.4 Analyse &amp; Synthese'!P108)),IF('1.4 Analyse &amp; Synthese'!M108="x",1,0),""),""),"")</f>
        <v/>
      </c>
      <c r="BV107" s="101" t="str">
        <f>_xlfn.IFNA(IF(F106&lt;&gt;"",IF(AND(ISBLANK('1.4 Analyse &amp; Synthese'!Q108),ISBLANK('1.4 Analyse &amp; Synthese'!R108),ISBLANK('1.4 Analyse &amp; Synthese'!S108)),IF('1.4 Analyse &amp; Synthese'!T108="x",1,0),""),""),"")</f>
        <v/>
      </c>
    </row>
    <row r="108" spans="15:74" x14ac:dyDescent="0.2">
      <c r="BP108" s="272" t="str">
        <f>_xlfn.IFNA(IF(B107&lt;&gt;"",IF(AND('1.4 Analyse &amp; Synthese'!N109&lt;&gt;"",'1.4 Analyse &amp; Synthese'!O109&lt;&gt;"",'1.4 Analyse &amp; Synthese'!P109&lt;&gt;""),0,1),""),"")</f>
        <v/>
      </c>
      <c r="BQ108" s="101" t="str">
        <f>_xlfn.IFNA(IF(B107&lt;&gt;"",IF(AND(ISBLANK('1.4 Analyse &amp; Synthese'!M109),ISBLANK('1.4 Analyse &amp; Synthese'!O109),ISBLANK('1.4 Analyse &amp; Synthese'!P109)),IF('1.4 Analyse &amp; Synthese'!M109="x",1,0),""),""),"")</f>
        <v/>
      </c>
      <c r="BV108" s="101" t="str">
        <f>_xlfn.IFNA(IF(F107&lt;&gt;"",IF(AND(ISBLANK('1.4 Analyse &amp; Synthese'!Q109),ISBLANK('1.4 Analyse &amp; Synthese'!R109),ISBLANK('1.4 Analyse &amp; Synthese'!S109)),IF('1.4 Analyse &amp; Synthese'!T109="x",1,0),""),""),"")</f>
        <v/>
      </c>
    </row>
    <row r="109" spans="15:74" x14ac:dyDescent="0.2">
      <c r="BP109" s="272" t="str">
        <f>_xlfn.IFNA(IF(B108&lt;&gt;"",IF(AND('1.4 Analyse &amp; Synthese'!N110&lt;&gt;"",'1.4 Analyse &amp; Synthese'!O110&lt;&gt;"",'1.4 Analyse &amp; Synthese'!P110&lt;&gt;""),0,1),""),"")</f>
        <v/>
      </c>
      <c r="BQ109" s="101" t="str">
        <f>_xlfn.IFNA(IF(B108&lt;&gt;"",IF(AND(ISBLANK('1.4 Analyse &amp; Synthese'!M110),ISBLANK('1.4 Analyse &amp; Synthese'!O110),ISBLANK('1.4 Analyse &amp; Synthese'!P110)),IF('1.4 Analyse &amp; Synthese'!M110="x",1,0),""),""),"")</f>
        <v/>
      </c>
      <c r="BV109" s="101" t="str">
        <f>_xlfn.IFNA(IF(F108&lt;&gt;"",IF(AND(ISBLANK('1.4 Analyse &amp; Synthese'!Q110),ISBLANK('1.4 Analyse &amp; Synthese'!R110),ISBLANK('1.4 Analyse &amp; Synthese'!S110)),IF('1.4 Analyse &amp; Synthese'!T110="x",1,0),""),""),"")</f>
        <v/>
      </c>
    </row>
    <row r="110" spans="15:74" x14ac:dyDescent="0.2">
      <c r="BP110" s="272" t="str">
        <f>_xlfn.IFNA(IF(B109&lt;&gt;"",IF(AND('1.4 Analyse &amp; Synthese'!N111&lt;&gt;"",'1.4 Analyse &amp; Synthese'!O111&lt;&gt;"",'1.4 Analyse &amp; Synthese'!P111&lt;&gt;""),0,1),""),"")</f>
        <v/>
      </c>
      <c r="BQ110" s="101" t="str">
        <f>_xlfn.IFNA(IF(B109&lt;&gt;"",IF(AND(ISBLANK('1.4 Analyse &amp; Synthese'!M111),ISBLANK('1.4 Analyse &amp; Synthese'!O111),ISBLANK('1.4 Analyse &amp; Synthese'!P111)),IF('1.4 Analyse &amp; Synthese'!M111="x",1,0),""),""),"")</f>
        <v/>
      </c>
      <c r="BV110" s="101" t="str">
        <f>_xlfn.IFNA(IF(F109&lt;&gt;"",IF(AND(ISBLANK('1.4 Analyse &amp; Synthese'!Q111),ISBLANK('1.4 Analyse &amp; Synthese'!R111),ISBLANK('1.4 Analyse &amp; Synthese'!S111)),IF('1.4 Analyse &amp; Synthese'!T111="x",1,0),""),""),"")</f>
        <v/>
      </c>
    </row>
    <row r="111" spans="15:74" x14ac:dyDescent="0.2">
      <c r="BP111" s="272" t="str">
        <f>_xlfn.IFNA(IF(B110&lt;&gt;"",IF(AND('1.4 Analyse &amp; Synthese'!N112&lt;&gt;"",'1.4 Analyse &amp; Synthese'!O112&lt;&gt;"",'1.4 Analyse &amp; Synthese'!P112&lt;&gt;""),0,1),""),"")</f>
        <v/>
      </c>
      <c r="BQ111" s="101" t="str">
        <f>_xlfn.IFNA(IF(B110&lt;&gt;"",IF(AND(ISBLANK('1.4 Analyse &amp; Synthese'!M112),ISBLANK('1.4 Analyse &amp; Synthese'!O112),ISBLANK('1.4 Analyse &amp; Synthese'!P112)),IF('1.4 Analyse &amp; Synthese'!M112="x",1,0),""),""),"")</f>
        <v/>
      </c>
      <c r="BV111" s="101" t="str">
        <f>_xlfn.IFNA(IF(F110&lt;&gt;"",IF(AND(ISBLANK('1.4 Analyse &amp; Synthese'!Q112),ISBLANK('1.4 Analyse &amp; Synthese'!R112),ISBLANK('1.4 Analyse &amp; Synthese'!S112)),IF('1.4 Analyse &amp; Synthese'!T112="x",1,0),""),""),"")</f>
        <v/>
      </c>
    </row>
    <row r="112" spans="15:74" x14ac:dyDescent="0.2">
      <c r="BP112" s="272" t="str">
        <f>_xlfn.IFNA(IF(B111&lt;&gt;"",IF(AND('1.4 Analyse &amp; Synthese'!N113&lt;&gt;"",'1.4 Analyse &amp; Synthese'!O113&lt;&gt;"",'1.4 Analyse &amp; Synthese'!P113&lt;&gt;""),0,1),""),"")</f>
        <v/>
      </c>
      <c r="BQ112" s="101" t="str">
        <f>_xlfn.IFNA(IF(B111&lt;&gt;"",IF(AND(ISBLANK('1.4 Analyse &amp; Synthese'!M113),ISBLANK('1.4 Analyse &amp; Synthese'!O113),ISBLANK('1.4 Analyse &amp; Synthese'!P113)),IF('1.4 Analyse &amp; Synthese'!M113="x",1,0),""),""),"")</f>
        <v/>
      </c>
      <c r="BV112" s="101" t="str">
        <f>_xlfn.IFNA(IF(F111&lt;&gt;"",IF(AND(ISBLANK('1.4 Analyse &amp; Synthese'!Q113),ISBLANK('1.4 Analyse &amp; Synthese'!R113),ISBLANK('1.4 Analyse &amp; Synthese'!S113)),IF('1.4 Analyse &amp; Synthese'!T113="x",1,0),""),""),"")</f>
        <v/>
      </c>
    </row>
    <row r="113" spans="68:74" x14ac:dyDescent="0.2">
      <c r="BP113" s="272" t="str">
        <f>_xlfn.IFNA(IF(B112&lt;&gt;"",IF(AND('1.4 Analyse &amp; Synthese'!N114&lt;&gt;"",'1.4 Analyse &amp; Synthese'!O114&lt;&gt;"",'1.4 Analyse &amp; Synthese'!P114&lt;&gt;""),0,1),""),"")</f>
        <v/>
      </c>
      <c r="BQ113" s="101" t="str">
        <f>_xlfn.IFNA(IF(B112&lt;&gt;"",IF(AND(ISBLANK('1.4 Analyse &amp; Synthese'!M114),ISBLANK('1.4 Analyse &amp; Synthese'!O114),ISBLANK('1.4 Analyse &amp; Synthese'!P114)),IF('1.4 Analyse &amp; Synthese'!M114="x",1,0),""),""),"")</f>
        <v/>
      </c>
      <c r="BV113" s="101" t="str">
        <f>_xlfn.IFNA(IF(F112&lt;&gt;"",IF(AND(ISBLANK('1.4 Analyse &amp; Synthese'!Q114),ISBLANK('1.4 Analyse &amp; Synthese'!R114),ISBLANK('1.4 Analyse &amp; Synthese'!S114)),IF('1.4 Analyse &amp; Synthese'!T114="x",1,0),""),""),"")</f>
        <v/>
      </c>
    </row>
    <row r="114" spans="68:74" x14ac:dyDescent="0.2">
      <c r="BP114" s="272" t="str">
        <f>_xlfn.IFNA(IF(B113&lt;&gt;"",IF(AND('1.4 Analyse &amp; Synthese'!N115&lt;&gt;"",'1.4 Analyse &amp; Synthese'!O115&lt;&gt;"",'1.4 Analyse &amp; Synthese'!P115&lt;&gt;""),0,1),""),"")</f>
        <v/>
      </c>
      <c r="BQ114" s="101" t="str">
        <f>_xlfn.IFNA(IF(B113&lt;&gt;"",IF(AND(ISBLANK('1.4 Analyse &amp; Synthese'!M115),ISBLANK('1.4 Analyse &amp; Synthese'!O115),ISBLANK('1.4 Analyse &amp; Synthese'!P115)),IF('1.4 Analyse &amp; Synthese'!M115="x",1,0),""),""),"")</f>
        <v/>
      </c>
      <c r="BV114" s="101" t="str">
        <f>_xlfn.IFNA(IF(F113&lt;&gt;"",IF(AND(ISBLANK('1.4 Analyse &amp; Synthese'!Q115),ISBLANK('1.4 Analyse &amp; Synthese'!R115),ISBLANK('1.4 Analyse &amp; Synthese'!S115)),IF('1.4 Analyse &amp; Synthese'!T115="x",1,0),""),""),"")</f>
        <v/>
      </c>
    </row>
    <row r="115" spans="68:74" x14ac:dyDescent="0.2">
      <c r="BP115" s="272" t="str">
        <f>_xlfn.IFNA(IF(B114&lt;&gt;"",IF(AND('1.4 Analyse &amp; Synthese'!N116&lt;&gt;"",'1.4 Analyse &amp; Synthese'!O116&lt;&gt;"",'1.4 Analyse &amp; Synthese'!P116&lt;&gt;""),0,1),""),"")</f>
        <v/>
      </c>
      <c r="BQ115" s="101" t="str">
        <f>_xlfn.IFNA(IF(B114&lt;&gt;"",IF(AND(ISBLANK('1.4 Analyse &amp; Synthese'!M116),ISBLANK('1.4 Analyse &amp; Synthese'!O116),ISBLANK('1.4 Analyse &amp; Synthese'!P116)),IF('1.4 Analyse &amp; Synthese'!M116="x",1,0),""),""),"")</f>
        <v/>
      </c>
      <c r="BV115" s="101" t="str">
        <f>_xlfn.IFNA(IF(F114&lt;&gt;"",IF(AND(ISBLANK('1.4 Analyse &amp; Synthese'!Q116),ISBLANK('1.4 Analyse &amp; Synthese'!R116),ISBLANK('1.4 Analyse &amp; Synthese'!S116)),IF('1.4 Analyse &amp; Synthese'!T116="x",1,0),""),""),"")</f>
        <v/>
      </c>
    </row>
    <row r="116" spans="68:74" x14ac:dyDescent="0.2">
      <c r="BP116" s="272" t="str">
        <f>_xlfn.IFNA(IF(B115&lt;&gt;"",IF(AND('1.4 Analyse &amp; Synthese'!N117&lt;&gt;"",'1.4 Analyse &amp; Synthese'!O117&lt;&gt;"",'1.4 Analyse &amp; Synthese'!P117&lt;&gt;""),0,1),""),"")</f>
        <v/>
      </c>
      <c r="BQ116" s="101" t="str">
        <f>_xlfn.IFNA(IF(B115&lt;&gt;"",IF(AND(ISBLANK('1.4 Analyse &amp; Synthese'!M117),ISBLANK('1.4 Analyse &amp; Synthese'!O117),ISBLANK('1.4 Analyse &amp; Synthese'!P117)),IF('1.4 Analyse &amp; Synthese'!M117="x",1,0),""),""),"")</f>
        <v/>
      </c>
      <c r="BV116" s="101" t="str">
        <f>_xlfn.IFNA(IF(F115&lt;&gt;"",IF(AND(ISBLANK('1.4 Analyse &amp; Synthese'!Q117),ISBLANK('1.4 Analyse &amp; Synthese'!R117),ISBLANK('1.4 Analyse &amp; Synthese'!S117)),IF('1.4 Analyse &amp; Synthese'!T117="x",1,0),""),""),"")</f>
        <v/>
      </c>
    </row>
    <row r="117" spans="68:74" x14ac:dyDescent="0.2">
      <c r="BP117" s="272" t="str">
        <f>_xlfn.IFNA(IF(B116&lt;&gt;"",IF(AND('1.4 Analyse &amp; Synthese'!N118&lt;&gt;"",'1.4 Analyse &amp; Synthese'!O118&lt;&gt;"",'1.4 Analyse &amp; Synthese'!P118&lt;&gt;""),0,1),""),"")</f>
        <v/>
      </c>
      <c r="BQ117" s="101" t="str">
        <f>_xlfn.IFNA(IF(B116&lt;&gt;"",IF(AND(ISBLANK('1.4 Analyse &amp; Synthese'!M118),ISBLANK('1.4 Analyse &amp; Synthese'!O118),ISBLANK('1.4 Analyse &amp; Synthese'!P118)),IF('1.4 Analyse &amp; Synthese'!M118="x",1,0),""),""),"")</f>
        <v/>
      </c>
      <c r="BV117" s="101" t="str">
        <f>_xlfn.IFNA(IF(F116&lt;&gt;"",IF(AND(ISBLANK('1.4 Analyse &amp; Synthese'!Q118),ISBLANK('1.4 Analyse &amp; Synthese'!R118),ISBLANK('1.4 Analyse &amp; Synthese'!S118)),IF('1.4 Analyse &amp; Synthese'!T118="x",1,0),""),""),"")</f>
        <v/>
      </c>
    </row>
    <row r="118" spans="68:74" x14ac:dyDescent="0.2">
      <c r="BP118" s="272" t="str">
        <f>_xlfn.IFNA(IF(B117&lt;&gt;"",IF(AND('1.4 Analyse &amp; Synthese'!N119&lt;&gt;"",'1.4 Analyse &amp; Synthese'!O119&lt;&gt;"",'1.4 Analyse &amp; Synthese'!P119&lt;&gt;""),0,1),""),"")</f>
        <v/>
      </c>
      <c r="BQ118" s="101" t="str">
        <f>_xlfn.IFNA(IF(B117&lt;&gt;"",IF(AND(ISBLANK('1.4 Analyse &amp; Synthese'!M119),ISBLANK('1.4 Analyse &amp; Synthese'!O119),ISBLANK('1.4 Analyse &amp; Synthese'!P119)),IF('1.4 Analyse &amp; Synthese'!M119="x",1,0),""),""),"")</f>
        <v/>
      </c>
      <c r="BV118" s="101" t="str">
        <f>_xlfn.IFNA(IF(F117&lt;&gt;"",IF(AND(ISBLANK('1.4 Analyse &amp; Synthese'!Q119),ISBLANK('1.4 Analyse &amp; Synthese'!R119),ISBLANK('1.4 Analyse &amp; Synthese'!S119)),IF('1.4 Analyse &amp; Synthese'!T119="x",1,0),""),""),"")</f>
        <v/>
      </c>
    </row>
    <row r="119" spans="68:74" x14ac:dyDescent="0.2">
      <c r="BP119" s="272" t="str">
        <f>_xlfn.IFNA(IF(B118&lt;&gt;"",IF(AND('1.4 Analyse &amp; Synthese'!N120&lt;&gt;"",'1.4 Analyse &amp; Synthese'!O120&lt;&gt;"",'1.4 Analyse &amp; Synthese'!P120&lt;&gt;""),0,1),""),"")</f>
        <v/>
      </c>
      <c r="BV119" s="101" t="str">
        <f>_xlfn.IFNA(IF(F118&lt;&gt;"",IF(AND(ISBLANK('1.4 Analyse &amp; Synthese'!Q120),ISBLANK('1.4 Analyse &amp; Synthese'!R120),ISBLANK('1.4 Analyse &amp; Synthese'!S120)),IF('1.4 Analyse &amp; Synthese'!T120="x",1,0),""),""),"")</f>
        <v/>
      </c>
    </row>
    <row r="120" spans="68:74" x14ac:dyDescent="0.2">
      <c r="BP120" s="272" t="str">
        <f>_xlfn.IFNA(IF(B119&lt;&gt;"",IF(AND('1.4 Analyse &amp; Synthese'!N121&lt;&gt;"",'1.4 Analyse &amp; Synthese'!O121&lt;&gt;"",'1.4 Analyse &amp; Synthese'!P121&lt;&gt;""),0,1),""),"")</f>
        <v/>
      </c>
    </row>
    <row r="121" spans="68:74" x14ac:dyDescent="0.2">
      <c r="BP121" s="272" t="str">
        <f>_xlfn.IFNA(IF(B120&lt;&gt;"",IF(AND('1.4 Analyse &amp; Synthese'!N122&lt;&gt;"",'1.4 Analyse &amp; Synthese'!O122&lt;&gt;"",'1.4 Analyse &amp; Synthese'!P122&lt;&gt;""),0,1),""),"")</f>
        <v/>
      </c>
    </row>
    <row r="122" spans="68:74" x14ac:dyDescent="0.2">
      <c r="BP122" s="272" t="str">
        <f>_xlfn.IFNA(IF(B121&lt;&gt;"",IF(AND('1.4 Analyse &amp; Synthese'!N123&lt;&gt;"",'1.4 Analyse &amp; Synthese'!O123&lt;&gt;"",'1.4 Analyse &amp; Synthese'!P123&lt;&gt;""),0,1),""),"")</f>
        <v/>
      </c>
    </row>
    <row r="123" spans="68:74" x14ac:dyDescent="0.2">
      <c r="BP123" s="272" t="str">
        <f>_xlfn.IFNA(IF(B122&lt;&gt;"",IF(AND('1.4 Analyse &amp; Synthese'!N124&lt;&gt;"",'1.4 Analyse &amp; Synthese'!O124&lt;&gt;"",'1.4 Analyse &amp; Synthese'!P124&lt;&gt;""),0,1),""),"")</f>
        <v/>
      </c>
    </row>
    <row r="124" spans="68:74" x14ac:dyDescent="0.2">
      <c r="BP124" s="272" t="str">
        <f>_xlfn.IFNA(IF(B123&lt;&gt;"",IF(AND('1.4 Analyse &amp; Synthese'!N125&lt;&gt;"",'1.4 Analyse &amp; Synthese'!O125&lt;&gt;"",'1.4 Analyse &amp; Synthese'!P125&lt;&gt;""),0,1),""),"")</f>
        <v/>
      </c>
    </row>
    <row r="125" spans="68:74" x14ac:dyDescent="0.2">
      <c r="BP125" s="272" t="str">
        <f>_xlfn.IFNA(IF(B124&lt;&gt;"",IF(AND('1.4 Analyse &amp; Synthese'!N126&lt;&gt;"",'1.4 Analyse &amp; Synthese'!O126&lt;&gt;"",'1.4 Analyse &amp; Synthese'!P126&lt;&gt;""),0,1),""),"")</f>
        <v/>
      </c>
    </row>
    <row r="126" spans="68:74" x14ac:dyDescent="0.2">
      <c r="BP126" s="272" t="str">
        <f>_xlfn.IFNA(IF(B125&lt;&gt;"",IF(AND('1.4 Analyse &amp; Synthese'!N127&lt;&gt;"",'1.4 Analyse &amp; Synthese'!O127&lt;&gt;"",'1.4 Analyse &amp; Synthese'!P127&lt;&gt;""),0,1),""),"")</f>
        <v/>
      </c>
    </row>
    <row r="127" spans="68:74" x14ac:dyDescent="0.2">
      <c r="BP127" s="272" t="str">
        <f>_xlfn.IFNA(IF(B126&lt;&gt;"",IF(AND('1.4 Analyse &amp; Synthese'!N128&lt;&gt;"",'1.4 Analyse &amp; Synthese'!O128&lt;&gt;"",'1.4 Analyse &amp; Synthese'!P128&lt;&gt;""),0,1),""),"")</f>
        <v/>
      </c>
    </row>
    <row r="128" spans="68:74" x14ac:dyDescent="0.2">
      <c r="BP128" s="272" t="str">
        <f>_xlfn.IFNA(IF(B127&lt;&gt;"",IF(AND('1.4 Analyse &amp; Synthese'!N129&lt;&gt;"",'1.4 Analyse &amp; Synthese'!O129&lt;&gt;"",'1.4 Analyse &amp; Synthese'!P129&lt;&gt;""),0,1),""),"")</f>
        <v/>
      </c>
    </row>
    <row r="129" spans="68:68" x14ac:dyDescent="0.2">
      <c r="BP129" s="272" t="str">
        <f>_xlfn.IFNA(IF(B128&lt;&gt;"",IF(AND('1.4 Analyse &amp; Synthese'!N130&lt;&gt;"",'1.4 Analyse &amp; Synthese'!O130&lt;&gt;"",'1.4 Analyse &amp; Synthese'!P130&lt;&gt;""),0,1),""),"")</f>
        <v/>
      </c>
    </row>
    <row r="130" spans="68:68" x14ac:dyDescent="0.2">
      <c r="BP130" s="272" t="str">
        <f>_xlfn.IFNA(IF(B129&lt;&gt;"",IF(AND('1.4 Analyse &amp; Synthese'!N131&lt;&gt;"",'1.4 Analyse &amp; Synthese'!O131&lt;&gt;"",'1.4 Analyse &amp; Synthese'!P131&lt;&gt;""),0,1),""),"")</f>
        <v/>
      </c>
    </row>
    <row r="131" spans="68:68" x14ac:dyDescent="0.2">
      <c r="BP131" s="272" t="str">
        <f>_xlfn.IFNA(IF(B130&lt;&gt;"",IF(AND('1.4 Analyse &amp; Synthese'!N132&lt;&gt;"",'1.4 Analyse &amp; Synthese'!O132&lt;&gt;"",'1.4 Analyse &amp; Synthese'!P132&lt;&gt;""),0,1),""),"")</f>
        <v/>
      </c>
    </row>
    <row r="132" spans="68:68" x14ac:dyDescent="0.2">
      <c r="BP132" s="272" t="str">
        <f>_xlfn.IFNA(IF(B131&lt;&gt;"",IF(AND('1.4 Analyse &amp; Synthese'!N133&lt;&gt;"",'1.4 Analyse &amp; Synthese'!O133&lt;&gt;"",'1.4 Analyse &amp; Synthese'!P133&lt;&gt;""),0,1),""),"")</f>
        <v/>
      </c>
    </row>
    <row r="133" spans="68:68" x14ac:dyDescent="0.2">
      <c r="BP133" s="272" t="str">
        <f>_xlfn.IFNA(IF(B132&lt;&gt;"",IF(AND('1.4 Analyse &amp; Synthese'!N134&lt;&gt;"",'1.4 Analyse &amp; Synthese'!O134&lt;&gt;"",'1.4 Analyse &amp; Synthese'!P134&lt;&gt;""),0,1),""),"")</f>
        <v/>
      </c>
    </row>
    <row r="134" spans="68:68" x14ac:dyDescent="0.2">
      <c r="BP134" s="272" t="str">
        <f>_xlfn.IFNA(IF(B133&lt;&gt;"",IF(AND('1.4 Analyse &amp; Synthese'!N135&lt;&gt;"",'1.4 Analyse &amp; Synthese'!O135&lt;&gt;"",'1.4 Analyse &amp; Synthese'!P135&lt;&gt;""),0,1),""),"")</f>
        <v/>
      </c>
    </row>
    <row r="135" spans="68:68" x14ac:dyDescent="0.2">
      <c r="BP135" s="272" t="str">
        <f>_xlfn.IFNA(IF(B134&lt;&gt;"",IF(AND('1.4 Analyse &amp; Synthese'!N136&lt;&gt;"",'1.4 Analyse &amp; Synthese'!O136&lt;&gt;"",'1.4 Analyse &amp; Synthese'!P136&lt;&gt;""),0,1),""),"")</f>
        <v/>
      </c>
    </row>
    <row r="136" spans="68:68" x14ac:dyDescent="0.2">
      <c r="BP136" s="272" t="str">
        <f>_xlfn.IFNA(IF(B135&lt;&gt;"",IF(AND('1.4 Analyse &amp; Synthese'!N137&lt;&gt;"",'1.4 Analyse &amp; Synthese'!O137&lt;&gt;"",'1.4 Analyse &amp; Synthese'!P137&lt;&gt;""),0,1),""),"")</f>
        <v/>
      </c>
    </row>
    <row r="137" spans="68:68" x14ac:dyDescent="0.2">
      <c r="BP137" s="272" t="str">
        <f>_xlfn.IFNA(IF(B136&lt;&gt;"",IF(AND('1.4 Analyse &amp; Synthese'!N138&lt;&gt;"",'1.4 Analyse &amp; Synthese'!O138&lt;&gt;"",'1.4 Analyse &amp; Synthese'!P138&lt;&gt;""),0,1),""),"")</f>
        <v/>
      </c>
    </row>
    <row r="138" spans="68:68" x14ac:dyDescent="0.2">
      <c r="BP138" s="272" t="str">
        <f>_xlfn.IFNA(IF(B137&lt;&gt;"",IF(AND('1.4 Analyse &amp; Synthese'!N139&lt;&gt;"",'1.4 Analyse &amp; Synthese'!O139&lt;&gt;"",'1.4 Analyse &amp; Synthese'!P139&lt;&gt;""),0,1),""),"")</f>
        <v/>
      </c>
    </row>
    <row r="139" spans="68:68" x14ac:dyDescent="0.2">
      <c r="BP139" s="272" t="str">
        <f>_xlfn.IFNA(IF(B138&lt;&gt;"",IF(AND('1.4 Analyse &amp; Synthese'!N140&lt;&gt;"",'1.4 Analyse &amp; Synthese'!O140&lt;&gt;"",'1.4 Analyse &amp; Synthese'!P140&lt;&gt;""),0,1),""),"")</f>
        <v/>
      </c>
    </row>
    <row r="140" spans="68:68" x14ac:dyDescent="0.2">
      <c r="BP140" s="272" t="str">
        <f>_xlfn.IFNA(IF(B139&lt;&gt;"",IF(AND('1.4 Analyse &amp; Synthese'!N141&lt;&gt;"",'1.4 Analyse &amp; Synthese'!O141&lt;&gt;"",'1.4 Analyse &amp; Synthese'!P141&lt;&gt;""),0,1),""),"")</f>
        <v/>
      </c>
    </row>
    <row r="141" spans="68:68" x14ac:dyDescent="0.2">
      <c r="BP141" s="272" t="str">
        <f>_xlfn.IFNA(IF(B140&lt;&gt;"",IF(AND('1.4 Analyse &amp; Synthese'!N142&lt;&gt;"",'1.4 Analyse &amp; Synthese'!O142&lt;&gt;"",'1.4 Analyse &amp; Synthese'!P142&lt;&gt;""),0,1),""),"")</f>
        <v/>
      </c>
    </row>
    <row r="142" spans="68:68" x14ac:dyDescent="0.2">
      <c r="BP142" s="272" t="str">
        <f>_xlfn.IFNA(IF(B141&lt;&gt;"",IF(AND('1.4 Analyse &amp; Synthese'!N143&lt;&gt;"",'1.4 Analyse &amp; Synthese'!O143&lt;&gt;"",'1.4 Analyse &amp; Synthese'!P143&lt;&gt;""),0,1),""),"")</f>
        <v/>
      </c>
    </row>
    <row r="143" spans="68:68" x14ac:dyDescent="0.2">
      <c r="BP143" s="272" t="str">
        <f>_xlfn.IFNA(IF(B142&lt;&gt;"",IF(AND('1.4 Analyse &amp; Synthese'!N144&lt;&gt;"",'1.4 Analyse &amp; Synthese'!O144&lt;&gt;"",'1.4 Analyse &amp; Synthese'!P144&lt;&gt;""),0,1),""),"")</f>
        <v/>
      </c>
    </row>
    <row r="144" spans="68:68" x14ac:dyDescent="0.2">
      <c r="BP144" s="272" t="str">
        <f>_xlfn.IFNA(IF(B143&lt;&gt;"",IF(AND('1.4 Analyse &amp; Synthese'!N145&lt;&gt;"",'1.4 Analyse &amp; Synthese'!O145&lt;&gt;"",'1.4 Analyse &amp; Synthese'!P145&lt;&gt;""),0,1),""),"")</f>
        <v/>
      </c>
    </row>
    <row r="145" spans="68:68" x14ac:dyDescent="0.2">
      <c r="BP145" s="272" t="str">
        <f>_xlfn.IFNA(IF(B144&lt;&gt;"",IF(AND('1.4 Analyse &amp; Synthese'!N146&lt;&gt;"",'1.4 Analyse &amp; Synthese'!O146&lt;&gt;"",'1.4 Analyse &amp; Synthese'!P146&lt;&gt;""),0,1),""),"")</f>
        <v/>
      </c>
    </row>
    <row r="146" spans="68:68" x14ac:dyDescent="0.2">
      <c r="BP146" s="272" t="str">
        <f>_xlfn.IFNA(IF(B145&lt;&gt;"",IF(AND('1.4 Analyse &amp; Synthese'!N147&lt;&gt;"",'1.4 Analyse &amp; Synthese'!O147&lt;&gt;"",'1.4 Analyse &amp; Synthese'!P147&lt;&gt;""),0,1),""),"")</f>
        <v/>
      </c>
    </row>
    <row r="147" spans="68:68" x14ac:dyDescent="0.2">
      <c r="BP147" s="272" t="str">
        <f>_xlfn.IFNA(IF(B146&lt;&gt;"",IF(AND('1.4 Analyse &amp; Synthese'!N148&lt;&gt;"",'1.4 Analyse &amp; Synthese'!O148&lt;&gt;"",'1.4 Analyse &amp; Synthese'!P148&lt;&gt;""),0,1),""),"")</f>
        <v/>
      </c>
    </row>
    <row r="148" spans="68:68" x14ac:dyDescent="0.2">
      <c r="BP148" s="272" t="str">
        <f>_xlfn.IFNA(IF(B147&lt;&gt;"",IF(AND('1.4 Analyse &amp; Synthese'!N149&lt;&gt;"",'1.4 Analyse &amp; Synthese'!O149&lt;&gt;"",'1.4 Analyse &amp; Synthese'!P149&lt;&gt;""),0,1),""),"")</f>
        <v/>
      </c>
    </row>
    <row r="149" spans="68:68" x14ac:dyDescent="0.2">
      <c r="BP149" s="272" t="str">
        <f>_xlfn.IFNA(IF(B148&lt;&gt;"",IF(AND('1.4 Analyse &amp; Synthese'!N150&lt;&gt;"",'1.4 Analyse &amp; Synthese'!O150&lt;&gt;"",'1.4 Analyse &amp; Synthese'!P150&lt;&gt;""),0,1),""),"")</f>
        <v/>
      </c>
    </row>
  </sheetData>
  <mergeCells count="2">
    <mergeCell ref="BM4:BN4"/>
    <mergeCell ref="BK4:BL4"/>
  </mergeCells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 enableFormatConditionsCalculation="0"/>
  <dimension ref="B1:HO66"/>
  <sheetViews>
    <sheetView topLeftCell="GZ1" workbookViewId="0">
      <selection activeCell="EQ6" sqref="EQ6"/>
    </sheetView>
  </sheetViews>
  <sheetFormatPr baseColWidth="10" defaultRowHeight="16" x14ac:dyDescent="0.2"/>
  <cols>
    <col min="1" max="1" width="10.83203125" style="130"/>
    <col min="2" max="2" width="4.6640625" style="130" bestFit="1" customWidth="1"/>
    <col min="3" max="3" width="28.33203125" style="277" bestFit="1" customWidth="1"/>
    <col min="4" max="4" width="28.33203125" style="222" bestFit="1" customWidth="1"/>
    <col min="5" max="5" width="14.5" style="277" bestFit="1" customWidth="1"/>
    <col min="6" max="6" width="13.5" style="277" bestFit="1" customWidth="1"/>
    <col min="7" max="8" width="25" style="277" bestFit="1" customWidth="1"/>
    <col min="9" max="9" width="4.83203125" style="277" bestFit="1" customWidth="1"/>
    <col min="10" max="11" width="25" style="277" bestFit="1" customWidth="1"/>
    <col min="12" max="13" width="25.6640625" style="277" bestFit="1" customWidth="1"/>
    <col min="14" max="15" width="18.83203125" style="277" bestFit="1" customWidth="1"/>
    <col min="16" max="16" width="4.83203125" style="277" bestFit="1" customWidth="1"/>
    <col min="17" max="18" width="28.33203125" style="277" bestFit="1" customWidth="1"/>
    <col min="19" max="20" width="25.6640625" style="277" bestFit="1" customWidth="1"/>
    <col min="21" max="22" width="25" style="277" bestFit="1" customWidth="1"/>
    <col min="23" max="23" width="4.83203125" style="277" bestFit="1" customWidth="1"/>
    <col min="24" max="25" width="20.6640625" style="277" bestFit="1" customWidth="1"/>
    <col min="26" max="26" width="14.5" style="277" bestFit="1" customWidth="1"/>
    <col min="27" max="27" width="13.5" style="277" bestFit="1" customWidth="1"/>
    <col min="28" max="28" width="15" style="277" bestFit="1" customWidth="1"/>
    <col min="29" max="29" width="14" style="277" bestFit="1" customWidth="1"/>
    <col min="30" max="30" width="4.83203125" style="277" bestFit="1" customWidth="1"/>
    <col min="31" max="32" width="18.6640625" style="277" bestFit="1" customWidth="1"/>
    <col min="33" max="33" width="14.5" style="277" bestFit="1" customWidth="1"/>
    <col min="34" max="34" width="13.5" style="277" bestFit="1" customWidth="1"/>
    <col min="35" max="36" width="19.83203125" style="277" bestFit="1" customWidth="1"/>
    <col min="37" max="37" width="4.83203125" style="277" bestFit="1" customWidth="1"/>
    <col min="38" max="39" width="25" style="277" bestFit="1" customWidth="1"/>
    <col min="40" max="40" width="14.5" style="277" bestFit="1" customWidth="1"/>
    <col min="41" max="41" width="13.5" style="277" bestFit="1" customWidth="1"/>
    <col min="42" max="43" width="25" style="277" bestFit="1" customWidth="1"/>
    <col min="44" max="44" width="4.83203125" style="277" bestFit="1" customWidth="1"/>
    <col min="45" max="46" width="29.5" style="277" bestFit="1" customWidth="1"/>
    <col min="47" max="48" width="25.6640625" style="277" bestFit="1" customWidth="1"/>
    <col min="49" max="49" width="15" style="277" bestFit="1" customWidth="1"/>
    <col min="50" max="50" width="14" style="277" bestFit="1" customWidth="1"/>
    <col min="51" max="51" width="4.83203125" style="277" bestFit="1" customWidth="1"/>
    <col min="52" max="53" width="22.33203125" style="277" bestFit="1" customWidth="1"/>
    <col min="54" max="54" width="14.5" style="277" bestFit="1" customWidth="1"/>
    <col min="55" max="55" width="13.5" style="277" bestFit="1" customWidth="1"/>
    <col min="56" max="57" width="25" style="277" bestFit="1" customWidth="1"/>
    <col min="58" max="58" width="4.83203125" style="277" bestFit="1" customWidth="1"/>
    <col min="59" max="60" width="28.33203125" style="277" bestFit="1" customWidth="1"/>
    <col min="61" max="61" width="14.5" style="277" bestFit="1" customWidth="1"/>
    <col min="62" max="62" width="13.5" style="277" bestFit="1" customWidth="1"/>
    <col min="63" max="63" width="15" style="277" bestFit="1" customWidth="1"/>
    <col min="64" max="64" width="14" style="277" bestFit="1" customWidth="1"/>
    <col min="65" max="65" width="4.83203125" style="277" bestFit="1" customWidth="1"/>
    <col min="66" max="67" width="28.33203125" style="277" bestFit="1" customWidth="1"/>
    <col min="68" max="68" width="15.5" style="277" bestFit="1" customWidth="1"/>
    <col min="69" max="69" width="14.5" style="277" bestFit="1" customWidth="1"/>
    <col min="70" max="71" width="25" style="277" bestFit="1" customWidth="1"/>
    <col min="72" max="72" width="5.83203125" style="277" bestFit="1" customWidth="1"/>
    <col min="73" max="74" width="28.33203125" style="277" bestFit="1" customWidth="1"/>
    <col min="75" max="75" width="15.5" style="277" bestFit="1" customWidth="1"/>
    <col min="76" max="76" width="14.5" style="277" bestFit="1" customWidth="1"/>
    <col min="77" max="78" width="22.83203125" style="277" bestFit="1" customWidth="1"/>
    <col min="79" max="79" width="5.83203125" style="277" bestFit="1" customWidth="1"/>
    <col min="80" max="80" width="17.6640625" style="277" bestFit="1" customWidth="1"/>
    <col min="81" max="81" width="16.6640625" style="277" bestFit="1" customWidth="1"/>
    <col min="82" max="82" width="15.5" style="277" bestFit="1" customWidth="1"/>
    <col min="83" max="83" width="14.5" style="277" bestFit="1" customWidth="1"/>
    <col min="84" max="84" width="16" style="277" bestFit="1" customWidth="1"/>
    <col min="85" max="85" width="15.1640625" style="277" bestFit="1" customWidth="1"/>
    <col min="86" max="86" width="5.83203125" style="277" bestFit="1" customWidth="1"/>
    <col min="87" max="88" width="25.6640625" style="277" bestFit="1" customWidth="1"/>
    <col min="89" max="89" width="15.5" style="277" bestFit="1" customWidth="1"/>
    <col min="90" max="90" width="14.5" style="277" bestFit="1" customWidth="1"/>
    <col min="91" max="91" width="16" style="277" bestFit="1" customWidth="1"/>
    <col min="92" max="92" width="15.1640625" style="277" bestFit="1" customWidth="1"/>
    <col min="93" max="93" width="5.83203125" style="277" bestFit="1" customWidth="1"/>
    <col min="94" max="95" width="29.5" style="277" bestFit="1" customWidth="1"/>
    <col min="96" max="97" width="25.6640625" style="277" bestFit="1" customWidth="1"/>
    <col min="98" max="99" width="16.33203125" style="277" bestFit="1" customWidth="1"/>
    <col min="100" max="100" width="5.83203125" style="277" bestFit="1" customWidth="1"/>
    <col min="101" max="102" width="29.5" style="277" bestFit="1" customWidth="1"/>
    <col min="103" max="104" width="19" style="277" bestFit="1" customWidth="1"/>
    <col min="105" max="106" width="19.83203125" style="277" bestFit="1" customWidth="1"/>
    <col min="107" max="107" width="5.83203125" style="277" bestFit="1" customWidth="1"/>
    <col min="108" max="109" width="24" style="277" bestFit="1" customWidth="1"/>
    <col min="110" max="110" width="20.83203125" style="277" bestFit="1" customWidth="1"/>
    <col min="111" max="111" width="25.6640625" style="277" bestFit="1" customWidth="1"/>
    <col min="112" max="112" width="17.83203125" style="277" bestFit="1" customWidth="1"/>
    <col min="113" max="113" width="19.83203125" style="277" bestFit="1" customWidth="1"/>
    <col min="114" max="114" width="5.83203125" style="277" bestFit="1" customWidth="1"/>
    <col min="115" max="116" width="29.5" style="277" bestFit="1" customWidth="1"/>
    <col min="117" max="118" width="20.83203125" style="277" bestFit="1" customWidth="1"/>
    <col min="119" max="120" width="19.83203125" style="277" bestFit="1" customWidth="1"/>
    <col min="121" max="121" width="5.83203125" style="277" bestFit="1" customWidth="1"/>
    <col min="122" max="122" width="17.6640625" style="277" bestFit="1" customWidth="1"/>
    <col min="123" max="123" width="16.6640625" style="277" bestFit="1" customWidth="1"/>
    <col min="124" max="124" width="15.5" style="277" bestFit="1" customWidth="1"/>
    <col min="125" max="125" width="14.5" style="277" bestFit="1" customWidth="1"/>
    <col min="126" max="126" width="16" style="277" bestFit="1" customWidth="1"/>
    <col min="127" max="127" width="15.1640625" style="277" bestFit="1" customWidth="1"/>
    <col min="128" max="128" width="5.83203125" style="277" bestFit="1" customWidth="1"/>
    <col min="129" max="130" width="29.5" style="277" bestFit="1" customWidth="1"/>
    <col min="131" max="132" width="20.83203125" style="277" bestFit="1" customWidth="1"/>
    <col min="133" max="134" width="19.83203125" style="277" bestFit="1" customWidth="1"/>
    <col min="135" max="135" width="5.83203125" style="277" bestFit="1" customWidth="1"/>
    <col min="136" max="137" width="20.6640625" style="277" bestFit="1" customWidth="1"/>
    <col min="138" max="139" width="19.83203125" style="277" bestFit="1" customWidth="1"/>
    <col min="140" max="141" width="17.1640625" style="277" bestFit="1" customWidth="1"/>
    <col min="142" max="142" width="5.83203125" style="277" bestFit="1" customWidth="1"/>
    <col min="143" max="143" width="10.83203125" style="277"/>
    <col min="144" max="144" width="27.33203125" style="277" bestFit="1" customWidth="1"/>
    <col min="145" max="145" width="11.5" style="277" bestFit="1" customWidth="1"/>
    <col min="146" max="146" width="25" style="277" bestFit="1" customWidth="1"/>
    <col min="147" max="147" width="28.33203125" style="277" bestFit="1" customWidth="1"/>
    <col min="148" max="148" width="25" style="277" bestFit="1" customWidth="1"/>
    <col min="149" max="149" width="25.6640625" style="277" bestFit="1" customWidth="1"/>
    <col min="150" max="150" width="18.83203125" style="277" bestFit="1" customWidth="1"/>
    <col min="151" max="151" width="25.6640625" style="277" bestFit="1" customWidth="1"/>
    <col min="152" max="152" width="27.33203125" style="277" bestFit="1" customWidth="1"/>
    <col min="153" max="153" width="25.6640625" style="277" bestFit="1" customWidth="1"/>
    <col min="154" max="154" width="25" style="277" bestFit="1" customWidth="1"/>
    <col min="155" max="155" width="25.6640625" style="277" bestFit="1" customWidth="1"/>
    <col min="156" max="156" width="20.6640625" style="277" bestFit="1" customWidth="1"/>
    <col min="157" max="157" width="13.5" style="277" bestFit="1" customWidth="1"/>
    <col min="158" max="158" width="14.1640625" style="277" bestFit="1" customWidth="1"/>
    <col min="159" max="159" width="15" style="277" bestFit="1" customWidth="1"/>
    <col min="160" max="160" width="18.6640625" style="277" bestFit="1" customWidth="1"/>
    <col min="161" max="161" width="13.5" style="277" bestFit="1" customWidth="1"/>
    <col min="162" max="163" width="19.83203125" style="277" bestFit="1" customWidth="1"/>
    <col min="164" max="164" width="25" style="277" bestFit="1" customWidth="1"/>
    <col min="165" max="165" width="13.5" style="277" bestFit="1" customWidth="1"/>
    <col min="166" max="167" width="25" style="277" bestFit="1" customWidth="1"/>
    <col min="168" max="168" width="22.83203125" style="277" bestFit="1" customWidth="1"/>
    <col min="169" max="169" width="25.6640625" style="277" bestFit="1" customWidth="1"/>
    <col min="170" max="170" width="14.1640625" style="277" bestFit="1" customWidth="1"/>
    <col min="171" max="171" width="25.6640625" style="277" bestFit="1" customWidth="1"/>
    <col min="172" max="172" width="22.33203125" style="277" bestFit="1" customWidth="1"/>
    <col min="173" max="173" width="13.5" style="277" bestFit="1" customWidth="1"/>
    <col min="174" max="175" width="25" style="277" bestFit="1" customWidth="1"/>
    <col min="176" max="176" width="27.33203125" style="277" bestFit="1" customWidth="1"/>
    <col min="177" max="177" width="13.5" style="277" bestFit="1" customWidth="1"/>
    <col min="178" max="178" width="14.1640625" style="277" bestFit="1" customWidth="1"/>
    <col min="179" max="179" width="22.33203125" style="277" bestFit="1" customWidth="1"/>
    <col min="180" max="180" width="28.33203125" style="277" bestFit="1" customWidth="1"/>
    <col min="181" max="181" width="13.5" style="277" bestFit="1" customWidth="1"/>
    <col min="182" max="182" width="25" style="277" bestFit="1" customWidth="1"/>
    <col min="183" max="183" width="28.33203125" style="277" bestFit="1" customWidth="1"/>
    <col min="184" max="184" width="27.33203125" style="277" bestFit="1" customWidth="1"/>
    <col min="185" max="185" width="13.5" style="277" bestFit="1" customWidth="1"/>
    <col min="186" max="187" width="22.83203125" style="277" bestFit="1" customWidth="1"/>
    <col min="188" max="188" width="15.83203125" style="277" bestFit="1" customWidth="1"/>
    <col min="189" max="189" width="13.5" style="277" bestFit="1" customWidth="1"/>
    <col min="190" max="190" width="14.1640625" style="277" bestFit="1" customWidth="1"/>
    <col min="191" max="191" width="12.1640625" style="277" bestFit="1" customWidth="1"/>
    <col min="192" max="192" width="25.6640625" style="277" bestFit="1" customWidth="1"/>
    <col min="193" max="193" width="13.5" style="277" bestFit="1" customWidth="1"/>
    <col min="194" max="194" width="14.1640625" style="277" bestFit="1" customWidth="1"/>
    <col min="195" max="195" width="25.6640625" style="277" bestFit="1" customWidth="1"/>
    <col min="196" max="196" width="29.5" style="277" bestFit="1" customWidth="1"/>
    <col min="197" max="197" width="25.6640625" style="277" bestFit="1" customWidth="1"/>
    <col min="198" max="198" width="16.33203125" style="277" bestFit="1" customWidth="1"/>
    <col min="199" max="200" width="29.5" style="277" bestFit="1" customWidth="1"/>
    <col min="201" max="201" width="19" style="277" bestFit="1" customWidth="1"/>
    <col min="202" max="202" width="19.83203125" style="277" bestFit="1" customWidth="1"/>
    <col min="203" max="203" width="29.5" style="277" bestFit="1" customWidth="1"/>
    <col min="204" max="204" width="24" style="277" bestFit="1" customWidth="1"/>
    <col min="205" max="205" width="25.6640625" style="277" bestFit="1" customWidth="1"/>
    <col min="206" max="206" width="19.83203125" style="277" bestFit="1" customWidth="1"/>
    <col min="207" max="207" width="25.6640625" style="277" bestFit="1" customWidth="1"/>
    <col min="208" max="208" width="29.5" style="277" bestFit="1" customWidth="1"/>
    <col min="209" max="209" width="20.83203125" style="277" bestFit="1" customWidth="1"/>
    <col min="210" max="210" width="19.83203125" style="277" bestFit="1" customWidth="1"/>
    <col min="211" max="211" width="29.5" style="277" bestFit="1" customWidth="1"/>
    <col min="212" max="212" width="15.83203125" style="277" bestFit="1" customWidth="1"/>
    <col min="213" max="213" width="13.5" style="277" bestFit="1" customWidth="1"/>
    <col min="214" max="214" width="14.1640625" style="277" bestFit="1" customWidth="1"/>
    <col min="215" max="215" width="12.1640625" style="277" bestFit="1" customWidth="1"/>
    <col min="216" max="216" width="29.5" style="277" bestFit="1" customWidth="1"/>
    <col min="217" max="217" width="20.83203125" style="277" bestFit="1" customWidth="1"/>
    <col min="218" max="218" width="19.83203125" style="277" bestFit="1" customWidth="1"/>
    <col min="219" max="219" width="29.5" style="277" bestFit="1" customWidth="1"/>
    <col min="220" max="220" width="20.6640625" style="277" bestFit="1" customWidth="1"/>
    <col min="221" max="221" width="19.83203125" style="277" bestFit="1" customWidth="1"/>
    <col min="222" max="222" width="17.1640625" style="277" bestFit="1" customWidth="1"/>
    <col min="223" max="223" width="20.33203125" style="277" bestFit="1" customWidth="1"/>
    <col min="224" max="16384" width="10.83203125" style="130"/>
  </cols>
  <sheetData>
    <row r="1" spans="2:223" x14ac:dyDescent="0.2">
      <c r="E1" s="277" t="str">
        <f>C1&amp;CHAR(10)&amp;D1</f>
        <v xml:space="preserve">
</v>
      </c>
    </row>
    <row r="3" spans="2:223" ht="16" customHeight="1" x14ac:dyDescent="0.2">
      <c r="C3" s="500" t="s">
        <v>2</v>
      </c>
      <c r="D3" s="500"/>
      <c r="E3" s="500"/>
      <c r="F3" s="500"/>
      <c r="G3" s="500"/>
      <c r="H3" s="500"/>
      <c r="I3" s="500"/>
      <c r="J3" s="500" t="s">
        <v>3</v>
      </c>
      <c r="K3" s="500"/>
      <c r="L3" s="500"/>
      <c r="M3" s="500"/>
      <c r="N3" s="500"/>
      <c r="O3" s="500"/>
      <c r="P3" s="500"/>
      <c r="Q3" s="500" t="s">
        <v>4</v>
      </c>
      <c r="R3" s="500"/>
      <c r="S3" s="500"/>
      <c r="T3" s="500"/>
      <c r="U3" s="500"/>
      <c r="V3" s="500"/>
      <c r="W3" s="500"/>
      <c r="X3" s="500" t="s">
        <v>173</v>
      </c>
      <c r="Y3" s="500"/>
      <c r="Z3" s="500"/>
      <c r="AA3" s="500"/>
      <c r="AB3" s="500"/>
      <c r="AC3" s="500"/>
      <c r="AD3" s="500"/>
      <c r="AE3" s="500" t="s">
        <v>6</v>
      </c>
      <c r="AF3" s="500"/>
      <c r="AG3" s="500"/>
      <c r="AH3" s="500"/>
      <c r="AI3" s="500"/>
      <c r="AJ3" s="500"/>
      <c r="AK3" s="500"/>
      <c r="AL3" s="500" t="s">
        <v>7</v>
      </c>
      <c r="AM3" s="500"/>
      <c r="AN3" s="500"/>
      <c r="AO3" s="500"/>
      <c r="AP3" s="500"/>
      <c r="AQ3" s="500"/>
      <c r="AR3" s="500"/>
      <c r="AS3" s="500" t="s">
        <v>8</v>
      </c>
      <c r="AT3" s="500"/>
      <c r="AU3" s="500"/>
      <c r="AV3" s="500"/>
      <c r="AW3" s="500"/>
      <c r="AX3" s="500"/>
      <c r="AY3" s="500"/>
      <c r="AZ3" s="500" t="s">
        <v>9</v>
      </c>
      <c r="BA3" s="500"/>
      <c r="BB3" s="500"/>
      <c r="BC3" s="500"/>
      <c r="BD3" s="500"/>
      <c r="BE3" s="500"/>
      <c r="BF3" s="500"/>
      <c r="BG3" s="500" t="s">
        <v>10</v>
      </c>
      <c r="BH3" s="500"/>
      <c r="BI3" s="500"/>
      <c r="BJ3" s="500"/>
      <c r="BK3" s="500"/>
      <c r="BL3" s="500"/>
      <c r="BM3" s="500"/>
      <c r="BN3" s="500" t="s">
        <v>11</v>
      </c>
      <c r="BO3" s="500"/>
      <c r="BP3" s="500"/>
      <c r="BQ3" s="500"/>
      <c r="BR3" s="500"/>
      <c r="BS3" s="500"/>
      <c r="BT3" s="500"/>
      <c r="BU3" s="500" t="s">
        <v>12</v>
      </c>
      <c r="BV3" s="500"/>
      <c r="BW3" s="500"/>
      <c r="BX3" s="500"/>
      <c r="BY3" s="500"/>
      <c r="BZ3" s="500"/>
      <c r="CA3" s="500"/>
      <c r="CB3" s="500" t="s">
        <v>13</v>
      </c>
      <c r="CC3" s="500"/>
      <c r="CD3" s="500"/>
      <c r="CE3" s="500"/>
      <c r="CF3" s="500"/>
      <c r="CG3" s="500"/>
      <c r="CH3" s="500"/>
      <c r="CI3" s="500" t="s">
        <v>14</v>
      </c>
      <c r="CJ3" s="500"/>
      <c r="CK3" s="500"/>
      <c r="CL3" s="500"/>
      <c r="CM3" s="500"/>
      <c r="CN3" s="500"/>
      <c r="CO3" s="500"/>
      <c r="CP3" s="500" t="s">
        <v>15</v>
      </c>
      <c r="CQ3" s="500"/>
      <c r="CR3" s="500"/>
      <c r="CS3" s="500"/>
      <c r="CT3" s="500"/>
      <c r="CU3" s="500"/>
      <c r="CV3" s="500"/>
      <c r="CW3" s="500" t="s">
        <v>16</v>
      </c>
      <c r="CX3" s="500"/>
      <c r="CY3" s="500"/>
      <c r="CZ3" s="500"/>
      <c r="DA3" s="500"/>
      <c r="DB3" s="500"/>
      <c r="DC3" s="500"/>
      <c r="DD3" s="500" t="s">
        <v>17</v>
      </c>
      <c r="DE3" s="500"/>
      <c r="DF3" s="500"/>
      <c r="DG3" s="500"/>
      <c r="DH3" s="500"/>
      <c r="DI3" s="500"/>
      <c r="DJ3" s="500"/>
      <c r="DK3" s="500" t="s">
        <v>18</v>
      </c>
      <c r="DL3" s="500"/>
      <c r="DM3" s="500"/>
      <c r="DN3" s="500"/>
      <c r="DO3" s="500"/>
      <c r="DP3" s="500"/>
      <c r="DQ3" s="500"/>
      <c r="DR3" s="500" t="s">
        <v>19</v>
      </c>
      <c r="DS3" s="500"/>
      <c r="DT3" s="500"/>
      <c r="DU3" s="500"/>
      <c r="DV3" s="500"/>
      <c r="DW3" s="500"/>
      <c r="DX3" s="500"/>
      <c r="DY3" s="500" t="s">
        <v>20</v>
      </c>
      <c r="DZ3" s="500"/>
      <c r="EA3" s="500"/>
      <c r="EB3" s="500"/>
      <c r="EC3" s="500"/>
      <c r="ED3" s="500"/>
      <c r="EE3" s="500"/>
      <c r="EF3" s="500" t="s">
        <v>21</v>
      </c>
      <c r="EG3" s="500"/>
      <c r="EH3" s="500"/>
      <c r="EI3" s="500"/>
      <c r="EJ3" s="500"/>
      <c r="EK3" s="500"/>
      <c r="EL3" s="500"/>
      <c r="EN3" s="497" t="s">
        <v>2</v>
      </c>
      <c r="EO3" s="498"/>
      <c r="EP3" s="498"/>
      <c r="EQ3" s="499"/>
      <c r="ER3" s="497" t="s">
        <v>3</v>
      </c>
      <c r="ES3" s="498"/>
      <c r="ET3" s="498"/>
      <c r="EU3" s="499"/>
      <c r="EV3" s="497" t="s">
        <v>4</v>
      </c>
      <c r="EW3" s="498"/>
      <c r="EX3" s="498"/>
      <c r="EY3" s="499"/>
      <c r="EZ3" s="497" t="s">
        <v>821</v>
      </c>
      <c r="FA3" s="498"/>
      <c r="FB3" s="498"/>
      <c r="FC3" s="499"/>
      <c r="FD3" s="497" t="s">
        <v>6</v>
      </c>
      <c r="FE3" s="498"/>
      <c r="FF3" s="498"/>
      <c r="FG3" s="499"/>
      <c r="FH3" s="497" t="s">
        <v>7</v>
      </c>
      <c r="FI3" s="498"/>
      <c r="FJ3" s="498"/>
      <c r="FK3" s="499"/>
      <c r="FL3" s="497" t="s">
        <v>8</v>
      </c>
      <c r="FM3" s="498"/>
      <c r="FN3" s="498"/>
      <c r="FO3" s="499"/>
      <c r="FP3" s="497" t="s">
        <v>9</v>
      </c>
      <c r="FQ3" s="498"/>
      <c r="FR3" s="498"/>
      <c r="FS3" s="499"/>
      <c r="FT3" s="497" t="s">
        <v>10</v>
      </c>
      <c r="FU3" s="498"/>
      <c r="FV3" s="498"/>
      <c r="FW3" s="499"/>
      <c r="FX3" s="497" t="s">
        <v>11</v>
      </c>
      <c r="FY3" s="498"/>
      <c r="FZ3" s="498"/>
      <c r="GA3" s="499"/>
      <c r="GB3" s="497" t="s">
        <v>12</v>
      </c>
      <c r="GC3" s="498"/>
      <c r="GD3" s="498"/>
      <c r="GE3" s="499"/>
      <c r="GF3" s="497" t="s">
        <v>13</v>
      </c>
      <c r="GG3" s="498"/>
      <c r="GH3" s="498"/>
      <c r="GI3" s="499"/>
      <c r="GJ3" s="497" t="s">
        <v>14</v>
      </c>
      <c r="GK3" s="498"/>
      <c r="GL3" s="498"/>
      <c r="GM3" s="499"/>
      <c r="GN3" s="497" t="s">
        <v>15</v>
      </c>
      <c r="GO3" s="498"/>
      <c r="GP3" s="498"/>
      <c r="GQ3" s="499"/>
      <c r="GR3" s="497" t="s">
        <v>16</v>
      </c>
      <c r="GS3" s="498"/>
      <c r="GT3" s="498"/>
      <c r="GU3" s="499"/>
      <c r="GV3" s="497" t="s">
        <v>17</v>
      </c>
      <c r="GW3" s="498"/>
      <c r="GX3" s="498"/>
      <c r="GY3" s="499"/>
      <c r="GZ3" s="497" t="s">
        <v>18</v>
      </c>
      <c r="HA3" s="498"/>
      <c r="HB3" s="498"/>
      <c r="HC3" s="499"/>
      <c r="HD3" s="497" t="s">
        <v>19</v>
      </c>
      <c r="HE3" s="498"/>
      <c r="HF3" s="498"/>
      <c r="HG3" s="499"/>
      <c r="HH3" s="497" t="s">
        <v>20</v>
      </c>
      <c r="HI3" s="498"/>
      <c r="HJ3" s="498"/>
      <c r="HK3" s="499"/>
      <c r="HL3" s="497" t="s">
        <v>21</v>
      </c>
      <c r="HM3" s="498"/>
      <c r="HN3" s="498"/>
      <c r="HO3" s="499"/>
    </row>
    <row r="4" spans="2:223" x14ac:dyDescent="0.2">
      <c r="B4" s="131"/>
    </row>
    <row r="5" spans="2:223" x14ac:dyDescent="0.2">
      <c r="B5" s="132" t="s">
        <v>61</v>
      </c>
      <c r="C5" s="129" t="s">
        <v>577</v>
      </c>
      <c r="D5" s="112" t="s">
        <v>571</v>
      </c>
      <c r="E5" s="129" t="s">
        <v>570</v>
      </c>
      <c r="F5" s="381" t="s">
        <v>569</v>
      </c>
      <c r="G5" s="277" t="s">
        <v>495</v>
      </c>
      <c r="H5" s="381" t="s">
        <v>568</v>
      </c>
      <c r="I5" s="381" t="s">
        <v>626</v>
      </c>
      <c r="J5" s="133" t="s">
        <v>567</v>
      </c>
      <c r="K5" s="382" t="s">
        <v>566</v>
      </c>
      <c r="L5" s="133" t="s">
        <v>565</v>
      </c>
      <c r="M5" s="383" t="s">
        <v>564</v>
      </c>
      <c r="N5" s="384" t="s">
        <v>563</v>
      </c>
      <c r="O5" s="383" t="s">
        <v>562</v>
      </c>
      <c r="P5" s="383" t="s">
        <v>578</v>
      </c>
      <c r="Q5" s="129" t="s">
        <v>561</v>
      </c>
      <c r="R5" s="112" t="s">
        <v>558</v>
      </c>
      <c r="S5" s="129" t="s">
        <v>559</v>
      </c>
      <c r="T5" s="381" t="s">
        <v>557</v>
      </c>
      <c r="U5" s="277" t="s">
        <v>560</v>
      </c>
      <c r="V5" s="381" t="s">
        <v>556</v>
      </c>
      <c r="W5" s="381" t="s">
        <v>579</v>
      </c>
      <c r="X5" s="133" t="s">
        <v>553</v>
      </c>
      <c r="Y5" s="382" t="s">
        <v>552</v>
      </c>
      <c r="Z5" s="133" t="s">
        <v>554</v>
      </c>
      <c r="AA5" s="383" t="s">
        <v>551</v>
      </c>
      <c r="AB5" s="384" t="s">
        <v>555</v>
      </c>
      <c r="AC5" s="383" t="s">
        <v>550</v>
      </c>
      <c r="AD5" s="383" t="s">
        <v>580</v>
      </c>
      <c r="AE5" s="129" t="s">
        <v>547</v>
      </c>
      <c r="AF5" s="112" t="s">
        <v>546</v>
      </c>
      <c r="AG5" s="129" t="s">
        <v>548</v>
      </c>
      <c r="AH5" s="381" t="s">
        <v>545</v>
      </c>
      <c r="AI5" s="277" t="s">
        <v>549</v>
      </c>
      <c r="AJ5" s="381" t="s">
        <v>544</v>
      </c>
      <c r="AK5" s="381" t="s">
        <v>581</v>
      </c>
      <c r="AL5" s="133" t="s">
        <v>541</v>
      </c>
      <c r="AM5" s="382" t="s">
        <v>540</v>
      </c>
      <c r="AN5" s="133" t="s">
        <v>542</v>
      </c>
      <c r="AO5" s="383" t="s">
        <v>539</v>
      </c>
      <c r="AP5" s="384" t="s">
        <v>543</v>
      </c>
      <c r="AQ5" s="383" t="s">
        <v>538</v>
      </c>
      <c r="AR5" s="383" t="s">
        <v>582</v>
      </c>
      <c r="AS5" s="129" t="s">
        <v>537</v>
      </c>
      <c r="AT5" s="112" t="s">
        <v>534</v>
      </c>
      <c r="AU5" s="129" t="s">
        <v>536</v>
      </c>
      <c r="AV5" s="381" t="s">
        <v>533</v>
      </c>
      <c r="AW5" s="277" t="s">
        <v>535</v>
      </c>
      <c r="AX5" s="381" t="s">
        <v>532</v>
      </c>
      <c r="AY5" s="381" t="s">
        <v>583</v>
      </c>
      <c r="AZ5" s="133" t="s">
        <v>529</v>
      </c>
      <c r="BA5" s="382" t="s">
        <v>528</v>
      </c>
      <c r="BB5" s="133" t="s">
        <v>530</v>
      </c>
      <c r="BC5" s="383" t="s">
        <v>527</v>
      </c>
      <c r="BD5" s="384" t="s">
        <v>531</v>
      </c>
      <c r="BE5" s="383" t="s">
        <v>526</v>
      </c>
      <c r="BF5" s="383" t="s">
        <v>584</v>
      </c>
      <c r="BG5" s="129" t="s">
        <v>523</v>
      </c>
      <c r="BH5" s="112" t="s">
        <v>522</v>
      </c>
      <c r="BI5" s="129" t="s">
        <v>524</v>
      </c>
      <c r="BJ5" s="381" t="s">
        <v>521</v>
      </c>
      <c r="BK5" s="277" t="s">
        <v>525</v>
      </c>
      <c r="BL5" s="381" t="s">
        <v>520</v>
      </c>
      <c r="BM5" s="381" t="s">
        <v>585</v>
      </c>
      <c r="BN5" s="133" t="s">
        <v>519</v>
      </c>
      <c r="BO5" s="382" t="s">
        <v>516</v>
      </c>
      <c r="BP5" s="133" t="s">
        <v>517</v>
      </c>
      <c r="BQ5" s="383" t="s">
        <v>515</v>
      </c>
      <c r="BR5" s="384" t="s">
        <v>518</v>
      </c>
      <c r="BS5" s="383" t="s">
        <v>514</v>
      </c>
      <c r="BT5" s="383" t="s">
        <v>587</v>
      </c>
      <c r="BU5" s="129" t="s">
        <v>588</v>
      </c>
      <c r="BV5" s="112" t="s">
        <v>513</v>
      </c>
      <c r="BW5" s="129" t="s">
        <v>589</v>
      </c>
      <c r="BX5" s="381" t="s">
        <v>590</v>
      </c>
      <c r="BY5" s="277" t="s">
        <v>591</v>
      </c>
      <c r="BZ5" s="381" t="s">
        <v>586</v>
      </c>
      <c r="CA5" s="381" t="s">
        <v>592</v>
      </c>
      <c r="CB5" s="133" t="s">
        <v>593</v>
      </c>
      <c r="CC5" s="382" t="s">
        <v>572</v>
      </c>
      <c r="CD5" s="133" t="s">
        <v>512</v>
      </c>
      <c r="CE5" s="383" t="s">
        <v>511</v>
      </c>
      <c r="CF5" s="384" t="s">
        <v>510</v>
      </c>
      <c r="CG5" s="383" t="s">
        <v>509</v>
      </c>
      <c r="CH5" s="383" t="s">
        <v>594</v>
      </c>
      <c r="CI5" s="129" t="s">
        <v>506</v>
      </c>
      <c r="CJ5" s="112" t="s">
        <v>505</v>
      </c>
      <c r="CK5" s="129" t="s">
        <v>507</v>
      </c>
      <c r="CL5" s="381" t="s">
        <v>504</v>
      </c>
      <c r="CM5" s="277" t="s">
        <v>508</v>
      </c>
      <c r="CN5" s="381" t="s">
        <v>503</v>
      </c>
      <c r="CO5" s="381" t="s">
        <v>595</v>
      </c>
      <c r="CP5" s="133" t="s">
        <v>502</v>
      </c>
      <c r="CQ5" s="382" t="s">
        <v>500</v>
      </c>
      <c r="CR5" s="133" t="s">
        <v>501</v>
      </c>
      <c r="CS5" s="383" t="s">
        <v>499</v>
      </c>
      <c r="CT5" s="384" t="s">
        <v>497</v>
      </c>
      <c r="CU5" s="383" t="s">
        <v>498</v>
      </c>
      <c r="CV5" s="383" t="s">
        <v>596</v>
      </c>
      <c r="CW5" s="129" t="s">
        <v>493</v>
      </c>
      <c r="CX5" s="112" t="s">
        <v>492</v>
      </c>
      <c r="CY5" s="129" t="s">
        <v>494</v>
      </c>
      <c r="CZ5" s="381" t="s">
        <v>491</v>
      </c>
      <c r="DA5" s="277" t="s">
        <v>496</v>
      </c>
      <c r="DB5" s="381" t="s">
        <v>490</v>
      </c>
      <c r="DC5" s="381" t="s">
        <v>597</v>
      </c>
      <c r="DD5" s="133" t="s">
        <v>487</v>
      </c>
      <c r="DE5" s="382" t="s">
        <v>486</v>
      </c>
      <c r="DF5" s="133" t="s">
        <v>488</v>
      </c>
      <c r="DG5" s="383" t="s">
        <v>485</v>
      </c>
      <c r="DH5" s="384" t="s">
        <v>489</v>
      </c>
      <c r="DI5" s="383" t="s">
        <v>484</v>
      </c>
      <c r="DJ5" s="383" t="s">
        <v>598</v>
      </c>
      <c r="DK5" s="129" t="s">
        <v>482</v>
      </c>
      <c r="DL5" s="112" t="s">
        <v>483</v>
      </c>
      <c r="DM5" s="129" t="s">
        <v>480</v>
      </c>
      <c r="DN5" s="381" t="s">
        <v>481</v>
      </c>
      <c r="DO5" s="277" t="s">
        <v>479</v>
      </c>
      <c r="DP5" s="381" t="s">
        <v>478</v>
      </c>
      <c r="DQ5" s="381" t="s">
        <v>576</v>
      </c>
      <c r="DR5" s="133" t="s">
        <v>477</v>
      </c>
      <c r="DS5" s="382" t="s">
        <v>476</v>
      </c>
      <c r="DT5" s="133" t="s">
        <v>475</v>
      </c>
      <c r="DU5" s="383" t="s">
        <v>474</v>
      </c>
      <c r="DV5" s="384" t="s">
        <v>473</v>
      </c>
      <c r="DW5" s="383" t="s">
        <v>472</v>
      </c>
      <c r="DX5" s="383" t="s">
        <v>575</v>
      </c>
      <c r="DY5" s="129" t="s">
        <v>471</v>
      </c>
      <c r="DZ5" s="112" t="s">
        <v>470</v>
      </c>
      <c r="EA5" s="129" t="s">
        <v>469</v>
      </c>
      <c r="EB5" s="381" t="s">
        <v>468</v>
      </c>
      <c r="EC5" s="277" t="s">
        <v>467</v>
      </c>
      <c r="ED5" s="381" t="s">
        <v>466</v>
      </c>
      <c r="EE5" s="381" t="s">
        <v>573</v>
      </c>
      <c r="EF5" s="133" t="s">
        <v>465</v>
      </c>
      <c r="EG5" s="382" t="s">
        <v>464</v>
      </c>
      <c r="EH5" s="133" t="s">
        <v>463</v>
      </c>
      <c r="EI5" s="383" t="s">
        <v>462</v>
      </c>
      <c r="EJ5" s="384" t="s">
        <v>461</v>
      </c>
      <c r="EK5" s="384" t="s">
        <v>460</v>
      </c>
      <c r="EL5" s="383" t="s">
        <v>574</v>
      </c>
      <c r="EN5" s="277" t="s">
        <v>29</v>
      </c>
      <c r="EO5" s="277" t="s">
        <v>27</v>
      </c>
      <c r="EP5" s="277" t="s">
        <v>28</v>
      </c>
      <c r="EQ5" s="277" t="s">
        <v>132</v>
      </c>
      <c r="ER5" s="277" t="s">
        <v>745</v>
      </c>
      <c r="ES5" s="277" t="s">
        <v>746</v>
      </c>
      <c r="ET5" s="277" t="s">
        <v>747</v>
      </c>
      <c r="EU5" s="277" t="s">
        <v>748</v>
      </c>
      <c r="EV5" s="277" t="s">
        <v>749</v>
      </c>
      <c r="EW5" s="277" t="s">
        <v>750</v>
      </c>
      <c r="EX5" s="277" t="s">
        <v>751</v>
      </c>
      <c r="EY5" s="277" t="s">
        <v>752</v>
      </c>
      <c r="EZ5" s="277" t="s">
        <v>753</v>
      </c>
      <c r="FA5" s="277" t="s">
        <v>754</v>
      </c>
      <c r="FB5" s="277" t="s">
        <v>755</v>
      </c>
      <c r="FC5" s="277" t="s">
        <v>756</v>
      </c>
      <c r="FD5" s="277" t="s">
        <v>757</v>
      </c>
      <c r="FE5" s="277" t="s">
        <v>758</v>
      </c>
      <c r="FF5" s="277" t="s">
        <v>759</v>
      </c>
      <c r="FG5" s="277" t="s">
        <v>760</v>
      </c>
      <c r="FH5" s="277" t="s">
        <v>761</v>
      </c>
      <c r="FI5" s="277" t="s">
        <v>762</v>
      </c>
      <c r="FJ5" s="277" t="s">
        <v>763</v>
      </c>
      <c r="FK5" s="277" t="s">
        <v>764</v>
      </c>
      <c r="FL5" s="277" t="s">
        <v>765</v>
      </c>
      <c r="FM5" s="277" t="s">
        <v>766</v>
      </c>
      <c r="FN5" s="277" t="s">
        <v>767</v>
      </c>
      <c r="FO5" s="277" t="s">
        <v>768</v>
      </c>
      <c r="FP5" s="277" t="s">
        <v>769</v>
      </c>
      <c r="FQ5" s="277" t="s">
        <v>770</v>
      </c>
      <c r="FR5" s="277" t="s">
        <v>771</v>
      </c>
      <c r="FS5" s="277" t="s">
        <v>772</v>
      </c>
      <c r="FT5" s="277" t="s">
        <v>773</v>
      </c>
      <c r="FU5" s="277" t="s">
        <v>774</v>
      </c>
      <c r="FV5" s="277" t="s">
        <v>775</v>
      </c>
      <c r="FW5" s="277" t="s">
        <v>776</v>
      </c>
      <c r="FX5" s="277" t="s">
        <v>777</v>
      </c>
      <c r="FY5" s="277" t="s">
        <v>778</v>
      </c>
      <c r="FZ5" s="277" t="s">
        <v>779</v>
      </c>
      <c r="GA5" s="277" t="s">
        <v>780</v>
      </c>
      <c r="GB5" s="277" t="s">
        <v>781</v>
      </c>
      <c r="GC5" s="277" t="s">
        <v>782</v>
      </c>
      <c r="GD5" s="277" t="s">
        <v>783</v>
      </c>
      <c r="GE5" s="277" t="s">
        <v>784</v>
      </c>
      <c r="GF5" s="277" t="s">
        <v>785</v>
      </c>
      <c r="GG5" s="277" t="s">
        <v>786</v>
      </c>
      <c r="GH5" s="277" t="s">
        <v>787</v>
      </c>
      <c r="GI5" s="277" t="s">
        <v>788</v>
      </c>
      <c r="GJ5" s="277" t="s">
        <v>789</v>
      </c>
      <c r="GK5" s="277" t="s">
        <v>790</v>
      </c>
      <c r="GL5" s="277" t="s">
        <v>791</v>
      </c>
      <c r="GM5" s="277" t="s">
        <v>792</v>
      </c>
      <c r="GN5" s="277" t="s">
        <v>793</v>
      </c>
      <c r="GO5" s="277" t="s">
        <v>794</v>
      </c>
      <c r="GP5" s="277" t="s">
        <v>795</v>
      </c>
      <c r="GQ5" s="277" t="s">
        <v>796</v>
      </c>
      <c r="GR5" s="277" t="s">
        <v>797</v>
      </c>
      <c r="GS5" s="277" t="s">
        <v>798</v>
      </c>
      <c r="GT5" s="277" t="s">
        <v>799</v>
      </c>
      <c r="GU5" s="277" t="s">
        <v>800</v>
      </c>
      <c r="GV5" s="277" t="s">
        <v>801</v>
      </c>
      <c r="GW5" s="277" t="s">
        <v>802</v>
      </c>
      <c r="GX5" s="277" t="s">
        <v>803</v>
      </c>
      <c r="GY5" s="277" t="s">
        <v>804</v>
      </c>
      <c r="GZ5" s="277" t="s">
        <v>805</v>
      </c>
      <c r="HA5" s="277" t="s">
        <v>806</v>
      </c>
      <c r="HB5" s="277" t="s">
        <v>807</v>
      </c>
      <c r="HC5" s="277" t="s">
        <v>808</v>
      </c>
      <c r="HD5" s="277" t="s">
        <v>809</v>
      </c>
      <c r="HE5" s="277" t="s">
        <v>810</v>
      </c>
      <c r="HF5" s="277" t="s">
        <v>811</v>
      </c>
      <c r="HG5" s="277" t="s">
        <v>812</v>
      </c>
      <c r="HH5" s="277" t="s">
        <v>813</v>
      </c>
      <c r="HI5" s="277" t="s">
        <v>814</v>
      </c>
      <c r="HJ5" s="277" t="s">
        <v>815</v>
      </c>
      <c r="HK5" s="277" t="s">
        <v>816</v>
      </c>
      <c r="HL5" s="277" t="s">
        <v>817</v>
      </c>
      <c r="HM5" s="277" t="s">
        <v>818</v>
      </c>
      <c r="HN5" s="277" t="s">
        <v>819</v>
      </c>
      <c r="HO5" s="277" t="s">
        <v>820</v>
      </c>
    </row>
    <row r="6" spans="2:223" ht="48" x14ac:dyDescent="0.2">
      <c r="B6" s="134">
        <f>'1.4 Analyse &amp; Synthese'!B7</f>
        <v>1</v>
      </c>
      <c r="C6" s="277" t="str">
        <f>IF(AND('1.4 Analyse &amp; Synthese'!Q7=1,'1.4 Analyse &amp; Synthese'!F7="Empfehlung"),'1.4 Analyse &amp; Synthese'!I7&amp;CHAR(13)&amp;"("&amp;'(Codierung)'!$C$2&amp;" - "&amp;'1.4 Analyse &amp; Synthese'!C7&amp;")","")</f>
        <v/>
      </c>
      <c r="D6" s="222" t="str">
        <f t="array" ref="D6">_xlfn.IFNA(INDEX($C$6:$C$66,MATCH(0,COUNTIF($D$4:D5,$C$6:$C$66),0),1),"")</f>
        <v>Vertragsmanagementanwendung_x000D_(Empfehlung - Bochicchio)</v>
      </c>
      <c r="E6" s="277" t="str">
        <f>IF(AND('1.4 Analyse &amp; Synthese'!Q7=1,'1.4 Analyse &amp; Synthese'!F7="Methode"),'1.4 Analyse &amp; Synthese'!I7&amp;CHAR(13)&amp;"("&amp;'(Codierung)'!$C$3&amp;" - "&amp;'1.4 Analyse &amp; Synthese'!C7&amp;")","")</f>
        <v/>
      </c>
      <c r="F6" s="277" t="str">
        <f t="array" ref="F6">_xlfn.IFNA(INDEX($E$6:$E$66,MATCH(0,COUNTIF($F$4:F5,$E$6:$E$66),0),1),"")</f>
        <v/>
      </c>
      <c r="G6" s="277" t="str">
        <f>IF(AND('1.4 Analyse &amp; Synthese'!Q7=1,'1.4 Analyse &amp; Synthese'!F7="Werkzeug"),'1.4 Analyse &amp; Synthese'!I7&amp;CHAR(13)&amp;"("&amp;'(Codierung)'!$C$4&amp;" - "&amp;'1.4 Analyse &amp; Synthese'!C7&amp;")","")</f>
        <v/>
      </c>
      <c r="H6" s="277" t="str">
        <f t="array" ref="H6">_xlfn.IFNA(INDEX($G$6:$G$66,MATCH(0,COUNTIF($H$4:H5,$G$6:$G$66),0),1),"")</f>
        <v>Atificial Intelligence_x000D_(Werkzeug - Chhetri)</v>
      </c>
      <c r="J6" s="277" t="str">
        <f>IF(AND('1.4 Analyse &amp; Synthese'!R7=1,'1.4 Analyse &amp; Synthese'!F7="Empfehlung"),'1.4 Analyse &amp; Synthese'!I7&amp;CHAR(13)&amp;"("&amp;'(Codierung)'!$C$2&amp;" - "&amp;'1.4 Analyse &amp; Synthese'!C7&amp;")","")</f>
        <v/>
      </c>
      <c r="K6" s="277" t="str">
        <f t="array" ref="K6">_xlfn.IFNA(INDEX($J$6:$J$66,MATCH(0,COUNTIF($K$4:K5,$J$6:$J$66),0),1),"")</f>
        <v>Open-Source Plattform_x000D_(Empfehlung - Bahrami )</v>
      </c>
      <c r="L6" s="277" t="str">
        <f>IF(AND('1.4 Analyse &amp; Synthese'!R7=1,'1.4 Analyse &amp; Synthese'!F7="Methode"),'1.4 Analyse &amp; Synthese'!I7&amp;CHAR(13)&amp;"("&amp;'(Codierung)'!$C$3&amp;" - "&amp;'1.4 Analyse &amp; Synthese'!C7&amp;")","")</f>
        <v/>
      </c>
      <c r="M6" s="277" t="str">
        <f t="array" ref="M6">_xlfn.IFNA(INDEX($L$6:$L$66,MATCH(0,COUNTIF($M$4:M5,$L$6:$L$66),0),1),"")</f>
        <v>Infrastruktur Interpreter_x000D_(Methode - Allison)</v>
      </c>
      <c r="N6" s="277" t="str">
        <f>IF(AND('1.4 Analyse &amp; Synthese'!R7=1,'1.4 Analyse &amp; Synthese'!F7="Werkzeug"),'1.4 Analyse &amp; Synthese'!I7&amp;CHAR(13)&amp;"("&amp;'(Codierung)'!$C$4&amp;" - "&amp;'1.4 Analyse &amp; Synthese'!C7&amp;")","")</f>
        <v/>
      </c>
      <c r="O6" s="277" t="str">
        <f t="array" ref="O6">_xlfn.IFNA(INDEX($N$6:$N$66,MATCH(0,COUNTIF($O$4:O5,$N$6:$N$66),0),1),"")</f>
        <v>Atificial Intelligence_x000D_(Werkzeug - Vukovic )</v>
      </c>
      <c r="Q6" s="277" t="str">
        <f>IF(AND('1.4 Analyse &amp; Synthese'!S7=1,'1.4 Analyse &amp; Synthese'!F7="Empfehlung"),'1.4 Analyse &amp; Synthese'!I7&amp;CHAR(13)&amp;"("&amp;'(Codierung)'!$C$2&amp;" - "&amp;'1.4 Analyse &amp; Synthese'!C7&amp;")","")</f>
        <v>Cloud Metrik Evaluierung_x000D_(Empfehlung - Abdeladim)</v>
      </c>
      <c r="R6" s="277" t="str">
        <f t="array" ref="R6">_xlfn.IFNA(INDEX($Q$6:$Q$66,MATCH(0,COUNTIF($R$4:R5,$Q$6:$Q$66),0),1),"")</f>
        <v>Cloud Metrik Evaluierung_x000D_(Empfehlung - Abdeladim)</v>
      </c>
      <c r="S6" s="277" t="str">
        <f>IF(AND('1.4 Analyse &amp; Synthese'!S7=1,'1.4 Analyse &amp; Synthese'!F7="Methode"),'1.4 Analyse &amp; Synthese'!I7&amp;CHAR(13)&amp;"("&amp;'(Codierung)'!$C$3&amp;" - "&amp;'1.4 Analyse &amp; Synthese'!C7&amp;")","")</f>
        <v/>
      </c>
      <c r="T6" s="277" t="str">
        <f t="array" ref="T6">_xlfn.IFNA(INDEX($S$6:$S$66,MATCH(0,COUNTIF($T$4:T5,$S$6:$S$66),0),1),"")</f>
        <v>Monitoring System_x000D_(Methode - Al-Hazmi )</v>
      </c>
      <c r="U6" s="277" t="str">
        <f>IF(AND('1.4 Analyse &amp; Synthese'!S7=1,'1.4 Analyse &amp; Synthese'!F7="Werkzeug"),'1.4 Analyse &amp; Synthese'!I7&amp;CHAR(13)&amp;"("&amp;'(Codierung)'!$C$4&amp;" - "&amp;'1.4 Analyse &amp; Synthese'!C7&amp;")","")</f>
        <v/>
      </c>
      <c r="V6" s="277" t="str">
        <f t="array" ref="V6">_xlfn.IFNA(INDEX($U$6:$U$66,MATCH(0,COUNTIF($V$4:V5,$U$6:$U$66),0),1),"")</f>
        <v>Cloud Service Komposition_x000D_(Werkzeug - Dastjerdi )</v>
      </c>
      <c r="X6" s="277" t="str">
        <f>IF(AND('1.4 Analyse &amp; Synthese'!T7=1,'1.4 Analyse &amp; Synthese'!F7="Empfehlung"),'1.4 Analyse &amp; Synthese'!I7&amp;CHAR(13)&amp;"("&amp;'(Codierung)'!$C$2&amp;" - "&amp;'1.4 Analyse &amp; Synthese'!C7&amp;")","")</f>
        <v/>
      </c>
      <c r="Y6" s="277" t="str">
        <f t="array" ref="Y6">_xlfn.IFNA(INDEX($X$6:$X$66,MATCH(0,COUNTIF($Y$4:Y5,$X$6:$X$66),0),1),"")</f>
        <v>Datenintegration_x000D_(Empfehlung - Bennani )</v>
      </c>
      <c r="Z6" s="277" t="str">
        <f>IF(AND('1.4 Analyse &amp; Synthese'!T7=1,'1.4 Analyse &amp; Synthese'!F7="Methode"),'1.4 Analyse &amp; Synthese'!I7&amp;CHAR(13)&amp;"("&amp;'(Codierung)'!$C$3&amp;" - "&amp;'1.4 Analyse &amp; Synthese'!C7&amp;")","")</f>
        <v/>
      </c>
      <c r="AA6" s="277" t="str">
        <f t="array" ref="AA6">_xlfn.IFNA(INDEX($Z$6:$Z$66,MATCH(0,COUNTIF($AA$4:AA5,$Z$6:$Z$66),0),1),"")</f>
        <v/>
      </c>
      <c r="AB6" s="277" t="str">
        <f>IF(AND('1.4 Analyse &amp; Synthese'!T7=1,'1.4 Analyse &amp; Synthese'!F7="Werkzeug"),'1.4 Analyse &amp; Synthese'!I7&amp;CHAR(13)&amp;"("&amp;'(Codierung)'!$C$4&amp;" - "&amp;'1.4 Analyse &amp; Synthese'!C7&amp;")","")</f>
        <v/>
      </c>
      <c r="AC6" s="277" t="str">
        <f t="array" ref="AC6">_xlfn.IFNA(INDEX($AB$6:$AB$66,MATCH(0,COUNTIF($AC$4:AC5,$AB$6:$AB$66),0),1),"")</f>
        <v/>
      </c>
      <c r="AE6" s="277" t="str">
        <f>IF(AND('1.4 Analyse &amp; Synthese'!U7=1,'1.4 Analyse &amp; Synthese'!F7="Empfehlung"),'1.4 Analyse &amp; Synthese'!I7&amp;CHAR(13)&amp;"("&amp;'(Codierung)'!$C$2&amp;" - "&amp;'1.4 Analyse &amp; Synthese'!C7&amp;")","")</f>
        <v/>
      </c>
      <c r="AF6" s="277" t="str">
        <f t="array" ref="AF6">_xlfn.IFNA(INDEX($AE$6:$AE$66,MATCH(0,COUNTIF($AF$4:AF5,$AE$6:$AE$66),0),1),"")</f>
        <v>Ressourcenverteilung_x000D_(Empfehlung - Abosi)</v>
      </c>
      <c r="AG6" s="277" t="str">
        <f>IF(AND('1.4 Analyse &amp; Synthese'!U7=1,'1.4 Analyse &amp; Synthese'!F7="Methode"),'1.4 Analyse &amp; Synthese'!I7&amp;CHAR(13)&amp;"("&amp;'(Codierung)'!$C$3&amp;" - "&amp;'1.4 Analyse &amp; Synthese'!C7&amp;")","")</f>
        <v/>
      </c>
      <c r="AH6" s="277" t="str">
        <f t="array" ref="AH6">_xlfn.IFNA(INDEX($AG$6:$AG$66,MATCH(0,COUNTIF($AH$4:AH5,$AG$6:$AG$66),0),1),"")</f>
        <v/>
      </c>
      <c r="AI6" s="277" t="str">
        <f>IF(AND('1.4 Analyse &amp; Synthese'!U7=1,'1.4 Analyse &amp; Synthese'!F7="Werkzeug"),'1.4 Analyse &amp; Synthese'!I7&amp;CHAR(13)&amp;"("&amp;'(Codierung)'!$C$4&amp;" - "&amp;'1.4 Analyse &amp; Synthese'!C7&amp;")","")</f>
        <v/>
      </c>
      <c r="AJ6" s="277" t="str">
        <f t="array" ref="AJ6">_xlfn.IFNA(INDEX($AI$6:$AI$66,MATCH(0,COUNTIF($AJ$4:AJ5,$AI$6:$AI$66),0),1),"")</f>
        <v>Open-Source Plattform_x000D_(Werkzeug - Paraiso)</v>
      </c>
      <c r="AL6" s="277" t="str">
        <f>IF(AND('1.4 Analyse &amp; Synthese'!V7=1,'1.4 Analyse &amp; Synthese'!F7="Empfehlung"),'1.4 Analyse &amp; Synthese'!I7&amp;CHAR(13)&amp;"("&amp;'(Codierung)'!$C$2&amp;" - "&amp;'1.4 Analyse &amp; Synthese'!C7&amp;")","")</f>
        <v/>
      </c>
      <c r="AM6" s="277" t="str">
        <f t="array" ref="AM6">_xlfn.IFNA(INDEX($AL$6:$AL$66,MATCH(0,COUNTIF($AM$4:AM5,$AL$6:$AL$66),0),1),"")</f>
        <v>Datenintegration_x000D_(Empfehlung - Ghafour)</v>
      </c>
      <c r="AN6" s="277" t="str">
        <f>IF(AND('1.4 Analyse &amp; Synthese'!V7=1,'1.4 Analyse &amp; Synthese'!F7="Methode"),'1.4 Analyse &amp; Synthese'!I7&amp;CHAR(13)&amp;"("&amp;'(Codierung)'!$C$3&amp;" - "&amp;'1.4 Analyse &amp; Synthese'!C7&amp;")","")</f>
        <v/>
      </c>
      <c r="AO6" s="277" t="str">
        <f t="array" ref="AO6">_xlfn.IFNA(INDEX($AN$6:$AN$66,MATCH(0,COUNTIF($AO$4:AO5,$AN$6:$AN$66),0),1),"")</f>
        <v/>
      </c>
      <c r="AP6" s="277" t="str">
        <f>IF(AND('1.4 Analyse &amp; Synthese'!V7=1,'1.4 Analyse &amp; Synthese'!F7="Werkzeug"),'1.4 Analyse &amp; Synthese'!I7&amp;CHAR(13)&amp;"("&amp;'(Codierung)'!$C$4&amp;" - "&amp;'1.4 Analyse &amp; Synthese'!C7&amp;")","")</f>
        <v/>
      </c>
      <c r="AQ6" s="277" t="str">
        <f t="array" ref="AQ6">_xlfn.IFNA(INDEX($AP$6:$AP$66,MATCH(0,COUNTIF($AQ$4:AQ5,$AP$6:$AP$66),0),1),"")</f>
        <v>Einheitl. Servicebeschreibung_x000D_(Werkzeug - El-Awadi)</v>
      </c>
      <c r="AS6" s="277" t="str">
        <f>IF(AND('1.4 Analyse &amp; Synthese'!W7=1,'1.4 Analyse &amp; Synthese'!F7="Empfehlung"),'1.4 Analyse &amp; Synthese'!I7&amp;CHAR(13)&amp;"("&amp;'(Codierung)'!$C$2&amp;" - "&amp;'1.4 Analyse &amp; Synthese'!C7&amp;")","")</f>
        <v/>
      </c>
      <c r="AT6" s="277" t="str">
        <f t="array" ref="AT6">_xlfn.IFNA(INDEX($AS$6:$AS$66,MATCH(0,COUNTIF($AT$4:AT5,$AS$6:$AS$66),0),1),"")</f>
        <v>Open-Source Plattform_x000D_(Empfehlung - Bahrami )</v>
      </c>
      <c r="AU6" s="277" t="str">
        <f>IF(AND('1.4 Analyse &amp; Synthese'!W7=1,'1.4 Analyse &amp; Synthese'!F7="Methode"),'1.4 Analyse &amp; Synthese'!I7&amp;CHAR(13)&amp;"("&amp;'(Codierung)'!$C$3&amp;" - "&amp;'1.4 Analyse &amp; Synthese'!C7&amp;")","")</f>
        <v/>
      </c>
      <c r="AV6" s="277" t="str">
        <f t="array" ref="AV6">_xlfn.IFNA(INDEX($AU$6:$AU$66,MATCH(0,COUNTIF($AV$4:AV5,$AU$6:$AU$66),0),1),"")</f>
        <v>SLA Management Aggregation_x000D_(Methode - Stanik)</v>
      </c>
      <c r="AW6" s="277" t="str">
        <f>IF(AND('1.4 Analyse &amp; Synthese'!W7=1,'1.4 Analyse &amp; Synthese'!F7="Werkzeug"),'1.4 Analyse &amp; Synthese'!I7&amp;CHAR(13)&amp;"("&amp;'(Codierung)'!$C$4&amp;" - "&amp;'1.4 Analyse &amp; Synthese'!C7&amp;")","")</f>
        <v/>
      </c>
      <c r="AX6" s="277" t="str">
        <f t="array" ref="AX6">_xlfn.IFNA(INDEX($AW$6:$AW$66,MATCH(0,COUNTIF($AX$4:AX5,$AW$6:$AW$66),0),1),"")</f>
        <v/>
      </c>
      <c r="AZ6" s="277" t="str">
        <f>IF(AND('1.4 Analyse &amp; Synthese'!X7=1,'1.4 Analyse &amp; Synthese'!F7="Empfehlung"),'1.4 Analyse &amp; Synthese'!I7&amp;CHAR(13)&amp;"("&amp;'(Codierung)'!$C$2&amp;" - "&amp;'1.4 Analyse &amp; Synthese'!C7&amp;")","")</f>
        <v>Cloud Metrik Evaluierung_x000D_(Empfehlung - Abdeladim)</v>
      </c>
      <c r="BA6" s="277" t="str">
        <f t="array" ref="BA6">_xlfn.IFNA(INDEX($AZ$6:$AZ$66,MATCH(0,COUNTIF($BA$4:BA5,$AZ$6:$AZ$66),0),1),"")</f>
        <v>Cloud Metrik Evaluierung_x000D_(Empfehlung - Abdeladim)</v>
      </c>
      <c r="BB6" s="277" t="str">
        <f>IF(AND('1.4 Analyse &amp; Synthese'!X7=1,'1.4 Analyse &amp; Synthese'!F7="Methode"),'1.4 Analyse &amp; Synthese'!I7&amp;CHAR(13)&amp;"("&amp;'(Codierung)'!$C$3&amp;" - "&amp;'1.4 Analyse &amp; Synthese'!C7&amp;")","")</f>
        <v/>
      </c>
      <c r="BC6" s="277" t="str">
        <f t="array" ref="BC6">_xlfn.IFNA(INDEX($BB$6:$BB$66,MATCH(0,COUNTIF($BC$4:BC5,$BB$6:$BB$66),0),1),"")</f>
        <v/>
      </c>
      <c r="BD6" s="277" t="str">
        <f>IF(AND('1.4 Analyse &amp; Synthese'!X7=1,'1.4 Analyse &amp; Synthese'!F7="Werkzeug"),'1.4 Analyse &amp; Synthese'!I7&amp;CHAR(13)&amp;"("&amp;'(Codierung)'!$C$4&amp;" - "&amp;'1.4 Analyse &amp; Synthese'!C7&amp;")","")</f>
        <v/>
      </c>
      <c r="BE6" s="277" t="str">
        <f t="array" ref="BE6">_xlfn.IFNA(INDEX($BD$6:$BD$66,MATCH(0,COUNTIF($BE$4:BE5,$BD$6:$BD$66),0),1),"")</f>
        <v>Einheitl. Servicebeschreibung_x000D_(Werkzeug - El-Awadi)</v>
      </c>
      <c r="BG6" s="277" t="str">
        <f>IF(AND('1.4 Analyse &amp; Synthese'!Y7=1,'1.4 Analyse &amp; Synthese'!F7="Empfehlung"),'1.4 Analyse &amp; Synthese'!I7&amp;CHAR(13)&amp;"("&amp;'(Codierung)'!$C$2&amp;" - "&amp;'1.4 Analyse &amp; Synthese'!C7&amp;")","")</f>
        <v/>
      </c>
      <c r="BH6" s="277" t="str">
        <f t="array" ref="BH6">_xlfn.IFNA(INDEX($BG$6:$BG$66,MATCH(0,COUNTIF($BH$4:BH5,$BG$6:$BG$66),0),1),"")</f>
        <v>Vertragsmanagementanwendung_x000D_(Empfehlung - Bochicchio)</v>
      </c>
      <c r="BI6" s="277" t="str">
        <f>IF(AND('1.4 Analyse &amp; Synthese'!Y7=1,'1.4 Analyse &amp; Synthese'!F7="Methode"),'1.4 Analyse &amp; Synthese'!I7&amp;CHAR(13)&amp;"("&amp;'(Codierung)'!$C$3&amp;" - "&amp;'1.4 Analyse &amp; Synthese'!C7&amp;")","")</f>
        <v/>
      </c>
      <c r="BJ6" s="277" t="str">
        <f t="array" ref="BJ6">_xlfn.IFNA(INDEX($BI$6:$BI$66,MATCH(0,COUNTIF($BJ$4:BJ5,$BI$6:$BI$66),0),1),"")</f>
        <v/>
      </c>
      <c r="BK6" s="277" t="str">
        <f>IF(AND('1.4 Analyse &amp; Synthese'!Y7=1,'1.4 Analyse &amp; Synthese'!F7="Werkzeug"),'1.4 Analyse &amp; Synthese'!I7&amp;CHAR(13)&amp;"("&amp;'(Codierung)'!$C$4&amp;" - "&amp;'1.4 Analyse &amp; Synthese'!C7&amp;")","")</f>
        <v/>
      </c>
      <c r="BL6" s="277" t="str">
        <f t="array" ref="BL6">_xlfn.IFNA(INDEX($BK$6:$BK$66,MATCH(0,COUNTIF($BL$4:BL5,$BK$6:$BK$66),0),1),"")</f>
        <v/>
      </c>
      <c r="BN6" s="277" t="str">
        <f>IF(AND('1.4 Analyse &amp; Synthese'!Z7=1,'1.4 Analyse &amp; Synthese'!F7="Empfehlung"),'1.4 Analyse &amp; Synthese'!I7&amp;CHAR(13)&amp;"("&amp;'(Codierung)'!$C$2&amp;" - "&amp;'1.4 Analyse &amp; Synthese'!C7&amp;")","")</f>
        <v>Cloud Metrik Evaluierung_x000D_(Empfehlung - Abdeladim)</v>
      </c>
      <c r="BO6" s="277" t="str">
        <f t="array" ref="BO6">_xlfn.IFNA(INDEX($BN$6:$BN$66,MATCH(0,COUNTIF($BO$4:BO5,$BN$6:$BN$66),0),1),"")</f>
        <v>Cloud Metrik Evaluierung_x000D_(Empfehlung - Abdeladim)</v>
      </c>
      <c r="BP6" s="277" t="str">
        <f>IF(AND('1.4 Analyse &amp; Synthese'!Z7=1,'1.4 Analyse &amp; Synthese'!F7="Methode"),'1.4 Analyse &amp; Synthese'!I7&amp;CHAR(13)&amp;"("&amp;'(Codierung)'!$C$3&amp;" - "&amp;'1.4 Analyse &amp; Synthese'!C7&amp;")","")</f>
        <v/>
      </c>
      <c r="BQ6" s="277" t="str">
        <f t="array" ref="BQ6">_xlfn.IFNA(INDEX($BP$6:$BP$66,MATCH(0,COUNTIF($BQ$4:BQ5,$BP$6:$BP$66),0),1),"")</f>
        <v/>
      </c>
      <c r="BR6" s="277" t="str">
        <f>IF(AND('1.4 Analyse &amp; Synthese'!Z7=1,'1.4 Analyse &amp; Synthese'!F7="Werkzeug"),'1.4 Analyse &amp; Synthese'!I7&amp;CHAR(13)&amp;"("&amp;'(Codierung)'!$C$4&amp;" - "&amp;'1.4 Analyse &amp; Synthese'!C7&amp;")","")</f>
        <v/>
      </c>
      <c r="BS6" s="277" t="str">
        <f t="array" ref="BS6">_xlfn.IFNA(INDEX($BR$6:$BR$66,MATCH(0,COUNTIF($BS$4:BS5,$BR$6:$BR$66),0),1),"")</f>
        <v>Atificial Intelligence_x000D_(Werkzeug - Chhetri)</v>
      </c>
      <c r="BU6" s="277" t="str">
        <f>IF(AND('1.4 Analyse &amp; Synthese'!AA7=1,'1.4 Analyse &amp; Synthese'!F7="Empfehlung"),'1.4 Analyse &amp; Synthese'!I7&amp;CHAR(13)&amp;"("&amp;'(Codierung)'!$C$2&amp;" - "&amp;'1.4 Analyse &amp; Synthese'!C7&amp;")","")</f>
        <v/>
      </c>
      <c r="BV6" s="277" t="str">
        <f t="array" ref="BV6">_xlfn.IFNA(INDEX($BU$6:$BU$66,MATCH(0,COUNTIF($BV$4:BV5,$BU$6:$BU$66),0),1),"")</f>
        <v>Vertragsmanagementanwendung_x000D_(Empfehlung - Bochicchio)</v>
      </c>
      <c r="BW6" s="277" t="str">
        <f>IF(AND('1.4 Analyse &amp; Synthese'!AA7=1,'1.4 Analyse &amp; Synthese'!F7="Methode"),'1.4 Analyse &amp; Synthese'!I7&amp;CHAR(13)&amp;"("&amp;'(Codierung)'!$C$3&amp;" - "&amp;'1.4 Analyse &amp; Synthese'!C7&amp;")","")</f>
        <v/>
      </c>
      <c r="BX6" s="277" t="str">
        <f t="array" ref="BX6">_xlfn.IFNA(INDEX($BW$6:$BW$66,MATCH(0,COUNTIF($BX$4:BX5,$BW$6:$BW$66),0),1),"")</f>
        <v/>
      </c>
      <c r="BY6" s="277" t="str">
        <f>IF(AND('1.4 Analyse &amp; Synthese'!AA7=1,'1.4 Analyse &amp; Synthese'!F7="Werkzeug"),'1.4 Analyse &amp; Synthese'!I7&amp;CHAR(13)&amp;"("&amp;'(Codierung)'!$C$4&amp;" - "&amp;'1.4 Analyse &amp; Synthese'!C7&amp;")","")</f>
        <v/>
      </c>
      <c r="BZ6" s="277" t="str">
        <f t="array" ref="BZ6">_xlfn.IFNA(INDEX($BY$6:$BY$66,MATCH(0,COUNTIF($BZ$4:BZ5,$BY$6:$BY$66),0),1),"")</f>
        <v>Cloud Service Komposition_x000D_(Werkzeug - Dastjerdi )</v>
      </c>
      <c r="CB6" s="277" t="str">
        <f>IF(AND('1.4 Analyse &amp; Synthese'!AB7=1,'1.4 Analyse &amp; Synthese'!F7="Empfehlung"),'1.4 Analyse &amp; Synthese'!I7&amp;CHAR(13)&amp;"("&amp;'(Codierung)'!$C$2&amp;" - "&amp;'1.4 Analyse &amp; Synthese'!C7&amp;")","")</f>
        <v/>
      </c>
      <c r="CC6" s="277" t="str">
        <f t="array" ref="CC6">_xlfn.IFNA(INDEX($CB$6:$CB$66,MATCH(0,COUNTIF($CC$4:CC5,$CB$6:$CB$66),0),1),"")</f>
        <v/>
      </c>
      <c r="CD6" s="277" t="str">
        <f>IF(AND('1.4 Analyse &amp; Synthese'!AB7=1,'1.4 Analyse &amp; Synthese'!F7="Methode"),'1.4 Analyse &amp; Synthese'!I7&amp;CHAR(13)&amp;"("&amp;'(Codierung)'!$C$3&amp;" - "&amp;'1.4 Analyse &amp; Synthese'!C7&amp;")","")</f>
        <v/>
      </c>
      <c r="CE6" s="277" t="str">
        <f t="array" ref="CE6">_xlfn.IFNA(INDEX($CD$6:$CD$66,MATCH(0,COUNTIF($CE$4:CE5,$CD$6:$CD$66),0),1),"")</f>
        <v/>
      </c>
      <c r="CF6" s="277" t="str">
        <f>IF(AND('1.4 Analyse &amp; Synthese'!AB7=1,'1.4 Analyse &amp; Synthese'!F7="Werkzeug"),'1.4 Analyse &amp; Synthese'!I7&amp;CHAR(13)&amp;"("&amp;'(Codierung)'!$C$4&amp;" - "&amp;'1.4 Analyse &amp; Synthese'!C7&amp;")","")</f>
        <v/>
      </c>
      <c r="CG6" s="277" t="str">
        <f t="array" ref="CG6">_xlfn.IFNA(INDEX($CF$6:$CF$66,MATCH(0,COUNTIF($CG$4:CG5,$CF$6:$CF$66),0),1),"")</f>
        <v/>
      </c>
      <c r="CI6" s="277" t="str">
        <f>IF(AND('1.4 Analyse &amp; Synthese'!AC7=1,'1.4 Analyse &amp; Synthese'!F7="Empfehlung"),'1.4 Analyse &amp; Synthese'!I7&amp;CHAR(13)&amp;"("&amp;'(Codierung)'!$C$2&amp;" - "&amp;'1.4 Analyse &amp; Synthese'!C7&amp;")","")</f>
        <v/>
      </c>
      <c r="CJ6" s="277" t="str">
        <f t="array" ref="CJ6">_xlfn.IFNA(INDEX($CI$6:$CI$66,MATCH(0,COUNTIF($CJ$4:CJ5,$CI$6:$CI$66),0),1),"")</f>
        <v>Rechtliche Rahmenbedingung_x000D_(Empfehlung - Kafeza )</v>
      </c>
      <c r="CK6" s="277" t="str">
        <f>IF(AND('1.4 Analyse &amp; Synthese'!AC7=1,'1.4 Analyse &amp; Synthese'!F7="Methode"),'1.4 Analyse &amp; Synthese'!I7&amp;CHAR(13)&amp;"("&amp;'(Codierung)'!$C$3&amp;" - "&amp;'1.4 Analyse &amp; Synthese'!C7&amp;")","")</f>
        <v/>
      </c>
      <c r="CL6" s="277" t="str">
        <f t="array" ref="CL6">_xlfn.IFNA(INDEX($CK$6:$CK$66,MATCH(0,COUNTIF($CL$4:CL5,$CK$6:$CK$66),0),1),"")</f>
        <v/>
      </c>
      <c r="CM6" s="277" t="str">
        <f>IF(AND('1.4 Analyse &amp; Synthese'!AC7=1,'1.4 Analyse &amp; Synthese'!F7="Werkzeug"),'1.4 Analyse &amp; Synthese'!I7&amp;CHAR(13)&amp;"("&amp;'(Codierung)'!$C$4&amp;" - "&amp;'1.4 Analyse &amp; Synthese'!C7&amp;")","")</f>
        <v/>
      </c>
      <c r="CN6" s="277" t="str">
        <f t="array" ref="CN6">_xlfn.IFNA(INDEX($CM$6:$CM$66,MATCH(0,COUNTIF($CN$4:CN5,$CM$6:$CM$66),0),1),"")</f>
        <v/>
      </c>
      <c r="CP6" s="277" t="str">
        <f>IF(AND('1.4 Analyse &amp; Synthese'!AD7=1,'1.4 Analyse &amp; Synthese'!F7="Empfehlung"),'1.4 Analyse &amp; Synthese'!I7&amp;CHAR(13)&amp;"("&amp;'(Codierung)'!$C$2&amp;" - "&amp;'1.4 Analyse &amp; Synthese'!C7&amp;")","")</f>
        <v/>
      </c>
      <c r="CQ6" s="277" t="str">
        <f t="array" ref="CQ6">_xlfn.IFNA(INDEX($CP$6:$CP$66,MATCH(0,COUNTIF($CQ$4:CQ5,$CP$6:$CP$66),0),1),"")</f>
        <v>Ressourcenverteilung_x000D_(Empfehlung - Abosi)</v>
      </c>
      <c r="CR6" s="277" t="str">
        <f>IF(AND('1.4 Analyse &amp; Synthese'!AD7=1,'1.4 Analyse &amp; Synthese'!F7="Methode"),'1.4 Analyse &amp; Synthese'!I7&amp;CHAR(13)&amp;"("&amp;'(Codierung)'!$C$3&amp;" - "&amp;'1.4 Analyse &amp; Synthese'!C7&amp;")","")</f>
        <v/>
      </c>
      <c r="CS6" s="277" t="str">
        <f t="array" ref="CS6">_xlfn.IFNA(INDEX($CR$6:$CR$66,MATCH(0,COUNTIF($CS$4:CS5,$CR$6:$CR$66),0),1),"")</f>
        <v>Monitoring System_x000D_(Methode - Al-Hazmi )</v>
      </c>
      <c r="CT6" s="277" t="str">
        <f>IF(AND('1.4 Analyse &amp; Synthese'!AD7=1,'1.4 Analyse &amp; Synthese'!F7="Werkzeug"),'1.4 Analyse &amp; Synthese'!I7&amp;CHAR(13)&amp;"("&amp;'(Codierung)'!$C$4&amp;" - "&amp;'1.4 Analyse &amp; Synthese'!C7&amp;")","")</f>
        <v/>
      </c>
      <c r="CU6" s="277" t="str">
        <f t="array" ref="CU6">_xlfn.IFNA(INDEX($CT$6:$CT$66,MATCH(0,COUNTIF($CU$4:CU5,$CT$6:$CT$66),0),1),"")</f>
        <v>Collaboration SaaS_x000D_(Werkzeug - Xia)</v>
      </c>
      <c r="CW6" s="277" t="str">
        <f>IF(AND('1.4 Analyse &amp; Synthese'!AE7=1,'1.4 Analyse &amp; Synthese'!F7="Empfehlung"),'1.4 Analyse &amp; Synthese'!I7&amp;CHAR(13)&amp;"("&amp;'(Codierung)'!$C$2&amp;" - "&amp;'1.4 Analyse &amp; Synthese'!C7&amp;")","")</f>
        <v/>
      </c>
      <c r="CX6" s="277" t="str">
        <f t="array" ref="CX6">_xlfn.IFNA(INDEX($CW$6:$CW$66,MATCH(0,COUNTIF($CX$4:CX5,$CW$6:$CW$66),0),1),"")</f>
        <v>Open-Source Plattform_x000D_(Empfehlung - Bahrami )</v>
      </c>
      <c r="CY6" s="277" t="str">
        <f>IF(AND('1.4 Analyse &amp; Synthese'!AE7=1,'1.4 Analyse &amp; Synthese'!F7="Methode"),'1.4 Analyse &amp; Synthese'!I7&amp;CHAR(13)&amp;"("&amp;'(Codierung)'!$C$3&amp;" - "&amp;'1.4 Analyse &amp; Synthese'!C7&amp;")","")</f>
        <v/>
      </c>
      <c r="CZ6" s="277" t="str">
        <f t="array" ref="CZ6">_xlfn.IFNA(INDEX($CY$6:$CY$66,MATCH(0,COUNTIF($CZ$4:CZ5,$CY$6:$CY$66),0),1),"")</f>
        <v>Monitoring System_x000D_(Methode - Al-Hazmi )</v>
      </c>
      <c r="DA6" s="277" t="str">
        <f>IF(AND('1.4 Analyse &amp; Synthese'!AE7=1,'1.4 Analyse &amp; Synthese'!F7="Werkzeug"),'1.4 Analyse &amp; Synthese'!I7&amp;CHAR(13)&amp;"("&amp;'(Codierung)'!$C$4&amp;" - "&amp;'1.4 Analyse &amp; Synthese'!C7&amp;")","")</f>
        <v/>
      </c>
      <c r="DB6" s="277" t="str">
        <f t="array" ref="DB6">_xlfn.IFNA(INDEX($DA$6:$DA$66,MATCH(0,COUNTIF($DB$4:DB5,$DA$6:$DA$66),0),1),"")</f>
        <v>Open-Source Plattform_x000D_(Werkzeug - Paraiso)</v>
      </c>
      <c r="DD6" s="277" t="str">
        <f>IF(AND('1.4 Analyse &amp; Synthese'!AF7=1,'1.4 Analyse &amp; Synthese'!F7="Empfehlung"),'1.4 Analyse &amp; Synthese'!I7&amp;CHAR(13)&amp;"("&amp;'(Codierung)'!$C$2&amp;" - "&amp;'1.4 Analyse &amp; Synthese'!C7&amp;")","")</f>
        <v/>
      </c>
      <c r="DE6" s="277" t="str">
        <f t="array" ref="DE6">_xlfn.IFNA(INDEX($DD$6:$DD$66,MATCH(0,COUNTIF($DE$4:DE5,$DD$6:$DD$66),0),1),"")</f>
        <v>Ressourcenverteilung_x000D_(Empfehlung - Abosi)</v>
      </c>
      <c r="DF6" s="277" t="str">
        <f>IF(AND('1.4 Analyse &amp; Synthese'!AF7=1,'1.4 Analyse &amp; Synthese'!F7="Methode"),'1.4 Analyse &amp; Synthese'!I7&amp;CHAR(13)&amp;"("&amp;'(Codierung)'!$C$3&amp;" - "&amp;'1.4 Analyse &amp; Synthese'!C7&amp;")","")</f>
        <v/>
      </c>
      <c r="DG6" s="277" t="str">
        <f t="array" ref="DG6">_xlfn.IFNA(INDEX($DF$6:$DF$66,MATCH(0,COUNTIF($DG$4:DG5,$DF$6:$DF$66),0),1),"")</f>
        <v>Infrastruktur Interpreter_x000D_(Methode - Allison)</v>
      </c>
      <c r="DH6" s="277" t="str">
        <f>IF(AND('1.4 Analyse &amp; Synthese'!AF7=1,'1.4 Analyse &amp; Synthese'!F7="Werkzeug"),'1.4 Analyse &amp; Synthese'!I7&amp;CHAR(13)&amp;"("&amp;'(Codierung)'!$C$4&amp;" - "&amp;'1.4 Analyse &amp; Synthese'!C7&amp;")","")</f>
        <v/>
      </c>
      <c r="DI6" s="277" t="str">
        <f t="array" ref="DI6">_xlfn.IFNA(INDEX($DH$6:$DH$66,MATCH(0,COUNTIF($DI$4:DI5,$DH$6:$DH$66),0),1),"")</f>
        <v>Open-Source Plattform_x000D_(Werkzeug - Paraiso)</v>
      </c>
      <c r="DK6" s="277" t="str">
        <f>IF(AND('1.4 Analyse &amp; Synthese'!AG7=1,'1.4 Analyse &amp; Synthese'!F7="Empfehlung"),'1.4 Analyse &amp; Synthese'!I7&amp;CHAR(13)&amp;"("&amp;'(Codierung)'!$C$2&amp;" - "&amp;'1.4 Analyse &amp; Synthese'!C7&amp;")","")</f>
        <v/>
      </c>
      <c r="DL6" s="277" t="str">
        <f t="array" ref="DL6">_xlfn.IFNA(INDEX($DK$6:$DK$66,MATCH(0,COUNTIF($DL$4:DL5,$DK$6:$DK$66),0),1),"")</f>
        <v>Virtualisierungsinfrastruktur_x000D_(Empfehlung - Celesti )</v>
      </c>
      <c r="DM6" s="277" t="str">
        <f>IF(AND('1.4 Analyse &amp; Synthese'!AG7=1,'1.4 Analyse &amp; Synthese'!F7="Methode"),'1.4 Analyse &amp; Synthese'!I7&amp;CHAR(13)&amp;"("&amp;'(Codierung)'!$C$3&amp;" - "&amp;'1.4 Analyse &amp; Synthese'!C7&amp;")","")</f>
        <v/>
      </c>
      <c r="DN6" s="277" t="str">
        <f t="array" ref="DN6">_xlfn.IFNA(INDEX($DM$6:$DM$66,MATCH(0,COUNTIF($DN$4:DN5,$DM$6:$DM$66),0),1),"")</f>
        <v>Monitoring System_x000D_(Methode - Al-Hazmi )</v>
      </c>
      <c r="DO6" s="277" t="str">
        <f>IF(AND('1.4 Analyse &amp; Synthese'!AG7=1,'1.4 Analyse &amp; Synthese'!F7="Werkzeug"),'1.4 Analyse &amp; Synthese'!I7&amp;CHAR(13)&amp;"("&amp;'(Codierung)'!$C$4&amp;" - "&amp;'1.4 Analyse &amp; Synthese'!C7&amp;")","")</f>
        <v/>
      </c>
      <c r="DP6" s="277" t="str">
        <f t="array" ref="DP6">_xlfn.IFNA(INDEX($DO$6:$DO$66,MATCH(0,COUNTIF($DP$4:DP5,$DO$6:$DO$66),0),1),"")</f>
        <v>Open-Source Plattform_x000D_(Werkzeug - Paraiso)</v>
      </c>
      <c r="DR6" s="277" t="str">
        <f>IF(AND('1.4 Analyse &amp; Synthese'!AH7=1,'1.4 Analyse &amp; Synthese'!F7="Empfehlung"),'1.4 Analyse &amp; Synthese'!I7&amp;CHAR(13)&amp;"("&amp;'(Codierung)'!$C$2&amp;" - "&amp;'1.4 Analyse &amp; Synthese'!C7&amp;")","")</f>
        <v/>
      </c>
      <c r="DS6" s="277" t="str">
        <f t="array" ref="DS6">_xlfn.IFNA(INDEX($DR$6:$DR$66,MATCH(0,COUNTIF($DS$4:DS5,$DR$6:$DR$66),0),1),"")</f>
        <v/>
      </c>
      <c r="DT6" s="277" t="str">
        <f>IF(AND('1.4 Analyse &amp; Synthese'!AH7=1,'1.4 Analyse &amp; Synthese'!F7="Methode"),'1.4 Analyse &amp; Synthese'!I7&amp;CHAR(13)&amp;"("&amp;'(Codierung)'!$C$3&amp;" - "&amp;'1.4 Analyse &amp; Synthese'!C7&amp;")","")</f>
        <v/>
      </c>
      <c r="DU6" s="277" t="str">
        <f t="array" ref="DU6">_xlfn.IFNA(INDEX($DT$6:$DT$66,MATCH(0,COUNTIF($DU$4:DU5,$DT$6:$DT$66),0),1),"")</f>
        <v/>
      </c>
      <c r="DV6" s="277" t="str">
        <f>IF(AND('1.4 Analyse &amp; Synthese'!AH7=1,'1.4 Analyse &amp; Synthese'!F7="Werkzeug"),'1.4 Analyse &amp; Synthese'!I7&amp;CHAR(13)&amp;"("&amp;'(Codierung)'!$C$4&amp;" - "&amp;'1.4 Analyse &amp; Synthese'!C7&amp;")","")</f>
        <v/>
      </c>
      <c r="DW6" s="277" t="str">
        <f t="array" ref="DW6">_xlfn.IFNA(INDEX($DV$6:$DV$66,MATCH(0,COUNTIF($DW$4:DW5,$DV$6:$DV$66),0),1),"")</f>
        <v/>
      </c>
      <c r="DY6" s="277" t="str">
        <f>IF(AND('1.4 Analyse &amp; Synthese'!AI7=1,'1.4 Analyse &amp; Synthese'!F7="Empfehlung"),'1.4 Analyse &amp; Synthese'!I7&amp;CHAR(13)&amp;"("&amp;'(Codierung)'!$C$2&amp;" - "&amp;'1.4 Analyse &amp; Synthese'!C7&amp;")","")</f>
        <v/>
      </c>
      <c r="DZ6" s="277" t="str">
        <f t="array" ref="DZ6">_xlfn.IFNA(INDEX($DY$6:$DY$66,MATCH(0,COUNTIF($DZ$4:DZ5,$DY$6:$DY$66),0),1),"")</f>
        <v>Virtualisierungsinfrastruktur_x000D_(Empfehlung - Celesti )</v>
      </c>
      <c r="EA6" s="277" t="str">
        <f>IF(AND('1.4 Analyse &amp; Synthese'!AI7=1,'1.4 Analyse &amp; Synthese'!F7="Methode"),'1.4 Analyse &amp; Synthese'!I7&amp;CHAR(13)&amp;"("&amp;'(Codierung)'!$C$3&amp;" - "&amp;'1.4 Analyse &amp; Synthese'!C7&amp;")","")</f>
        <v/>
      </c>
      <c r="EB6" s="277" t="str">
        <f t="array" ref="EB6">_xlfn.IFNA(INDEX($EA$6:$EA$66,MATCH(0,COUNTIF($EB$4:EB5,$EA$6:$EA$66),0),1),"")</f>
        <v>Monitoring System_x000D_(Methode - Al-Hazmi )</v>
      </c>
      <c r="EC6" s="277" t="str">
        <f>IF(AND('1.4 Analyse &amp; Synthese'!AI7=1,'1.4 Analyse &amp; Synthese'!F7="Werkzeug"),'1.4 Analyse &amp; Synthese'!I7&amp;CHAR(13)&amp;"("&amp;'(Codierung)'!$C$4&amp;" - "&amp;'1.4 Analyse &amp; Synthese'!C7&amp;")","")</f>
        <v/>
      </c>
      <c r="ED6" s="277" t="str">
        <f t="array" ref="ED6">_xlfn.IFNA(INDEX($EC$6:$EC$66,MATCH(0,COUNTIF($ED$4:ED5,$EC$6:$EC$66),0),1),"")</f>
        <v>Open-Source Plattform_x000D_(Werkzeug - Paraiso)</v>
      </c>
      <c r="EF6" s="277" t="str">
        <f>IF(AND('1.4 Analyse &amp; Synthese'!AJ7=1,'1.4 Analyse &amp; Synthese'!F7="Empfehlung"),'1.4 Analyse &amp; Synthese'!I7&amp;CHAR(13)&amp;"("&amp;'(Codierung)'!$C$2&amp;" - "&amp;'1.4 Analyse &amp; Synthese'!C7&amp;")","")</f>
        <v/>
      </c>
      <c r="EG6" s="277" t="str">
        <f t="array" ref="EG6">_xlfn.IFNA(INDEX($EF$6:$EF$66,MATCH(0,COUNTIF($EG$4:EG5,$EF$6:$EF$66),0),1),"")</f>
        <v>Datenintegration_x000D_(Empfehlung - Bennani )</v>
      </c>
      <c r="EH6" s="277" t="str">
        <f>IF(AND('1.4 Analyse &amp; Synthese'!AJ7=1,'1.4 Analyse &amp; Synthese'!F7="Methode"),'1.4 Analyse &amp; Synthese'!I7&amp;CHAR(13)&amp;"("&amp;'(Codierung)'!$C$3&amp;" - "&amp;'1.4 Analyse &amp; Synthese'!C7&amp;")","")</f>
        <v/>
      </c>
      <c r="EI6" s="277" t="str">
        <f t="array" ref="EI6">_xlfn.IFNA(INDEX($EH$6:$EH$66,MATCH(0,COUNTIF($EI$4:EI5,$EH$6:$EH$66),0),1),"")</f>
        <v>Open-Source Plattform_x000D_(Methode - Ferry)</v>
      </c>
      <c r="EJ6" s="277" t="str">
        <f>IF(AND('1.4 Analyse &amp; Synthese'!AJ7=1,'1.4 Analyse &amp; Synthese'!F7="Werkzeug"),'1.4 Analyse &amp; Synthese'!I7&amp;CHAR(13)&amp;"("&amp;'(Codierung)'!$C$4&amp;" - "&amp;'1.4 Analyse &amp; Synthese'!C7&amp;")","")</f>
        <v/>
      </c>
      <c r="EK6" s="277" t="str">
        <f t="array" ref="EK6">_xlfn.IFNA(INDEX($EJ$6:$EJ$66,MATCH(0,COUNTIF($EK$4:EK5,$EJ$6:$EJ$66),0),1),"")</f>
        <v>Datenintegration_x000D_(Werkzeug - Vernik)</v>
      </c>
      <c r="EN6" s="222" t="str">
        <f>D6</f>
        <v>Vertragsmanagementanwendung_x000D_(Empfehlung - Bochicchio)</v>
      </c>
      <c r="EO6" s="277" t="str">
        <f>F6</f>
        <v/>
      </c>
      <c r="EP6" s="277" t="str">
        <f>H6</f>
        <v>Atificial Intelligence_x000D_(Werkzeug - Chhetri)</v>
      </c>
      <c r="EQ6" s="277" t="str">
        <f>ZahlenInBereich(Tabelle1[[Empfehlung]:[Werkzeug]],ROW()-5)</f>
        <v>Vertragsmanagementanwendung_x000D_(Empfehlung - Bochicchio)</v>
      </c>
      <c r="ER6" s="277" t="str">
        <f>K6</f>
        <v>Open-Source Plattform_x000D_(Empfehlung - Bahrami )</v>
      </c>
      <c r="ES6" s="277" t="str">
        <f>M6</f>
        <v>Infrastruktur Interpreter_x000D_(Methode - Allison)</v>
      </c>
      <c r="ET6" s="277" t="str">
        <f>O6</f>
        <v>Atificial Intelligence_x000D_(Werkzeug - Vukovic )</v>
      </c>
      <c r="EU6" s="277" t="str">
        <f>ZahlenInBereich(Tabelle1[[Empfehlung2]:[Werkzeug4]],ROW()-5)</f>
        <v>Open-Source Plattform_x000D_(Empfehlung - Bahrami )</v>
      </c>
      <c r="EV6" s="277" t="str">
        <f>R6</f>
        <v>Cloud Metrik Evaluierung_x000D_(Empfehlung - Abdeladim)</v>
      </c>
      <c r="EW6" s="277" t="str">
        <f>T6</f>
        <v>Monitoring System_x000D_(Methode - Al-Hazmi )</v>
      </c>
      <c r="EX6" s="277" t="str">
        <f>V6</f>
        <v>Cloud Service Komposition_x000D_(Werkzeug - Dastjerdi )</v>
      </c>
      <c r="EY6" s="277" t="str">
        <f>ZahlenInBereich(Tabelle1[[Empfehlung6]:[Werkzeug8]],ROW()-5)</f>
        <v>Cloud Metrik Evaluierung_x000D_(Empfehlung - Abdeladim)</v>
      </c>
      <c r="EZ6" s="277" t="str">
        <f>Y6</f>
        <v>Datenintegration_x000D_(Empfehlung - Bennani )</v>
      </c>
      <c r="FA6" s="277" t="str">
        <f>AA6</f>
        <v/>
      </c>
      <c r="FB6" s="277" t="str">
        <f>AC6</f>
        <v/>
      </c>
      <c r="FC6" s="277" t="str">
        <f>ZahlenInBereich(Tabelle1[[Empfehlung10]:[Werkzeug12]],ROW()-5)</f>
        <v>Datenintegration_x000D_(Empfehlung - Bennani )</v>
      </c>
      <c r="FD6" s="277" t="str">
        <f>AF6</f>
        <v>Ressourcenverteilung_x000D_(Empfehlung - Abosi)</v>
      </c>
      <c r="FE6" s="277" t="str">
        <f>AH6</f>
        <v/>
      </c>
      <c r="FF6" s="277" t="str">
        <f>AJ6</f>
        <v>Open-Source Plattform_x000D_(Werkzeug - Paraiso)</v>
      </c>
      <c r="FG6" s="277" t="str">
        <f>ZahlenInBereich(Tabelle1[[Empfehlung14]:[Werkzeug16]],ROW()-5)</f>
        <v>Ressourcenverteilung_x000D_(Empfehlung - Abosi)</v>
      </c>
      <c r="FH6" s="277" t="str">
        <f>AM6</f>
        <v>Datenintegration_x000D_(Empfehlung - Ghafour)</v>
      </c>
      <c r="FI6" s="277" t="str">
        <f>AO6</f>
        <v/>
      </c>
      <c r="FJ6" s="277" t="str">
        <f>AQ6</f>
        <v>Einheitl. Servicebeschreibung_x000D_(Werkzeug - El-Awadi)</v>
      </c>
      <c r="FK6" s="277" t="str">
        <f>ZahlenInBereich(Tabelle1[[Empfehlung18]:[Werkzeug20]],ROW()-5)</f>
        <v>Datenintegration_x000D_(Empfehlung - Ghafour)</v>
      </c>
      <c r="FL6" s="277" t="str">
        <f>AT6</f>
        <v>Open-Source Plattform_x000D_(Empfehlung - Bahrami )</v>
      </c>
      <c r="FM6" s="277" t="str">
        <f>AV6</f>
        <v>SLA Management Aggregation_x000D_(Methode - Stanik)</v>
      </c>
      <c r="FN6" s="277" t="str">
        <f>AX6</f>
        <v/>
      </c>
      <c r="FO6" s="277" t="str">
        <f>ZahlenInBereich(Tabelle1[[Empfehlung22]:[Werkzeug24]],ROW()-5)</f>
        <v>Open-Source Plattform_x000D_(Empfehlung - Bahrami )</v>
      </c>
      <c r="FP6" s="277" t="str">
        <f>BA6</f>
        <v>Cloud Metrik Evaluierung_x000D_(Empfehlung - Abdeladim)</v>
      </c>
      <c r="FQ6" s="277" t="str">
        <f>BC6</f>
        <v/>
      </c>
      <c r="FR6" s="277" t="str">
        <f>BE6</f>
        <v>Einheitl. Servicebeschreibung_x000D_(Werkzeug - El-Awadi)</v>
      </c>
      <c r="FS6" s="277" t="str">
        <f>ZahlenInBereich(Tabelle1[[Empfehlung26]:[Werkzeug28]],ROW()-5)</f>
        <v>Cloud Metrik Evaluierung_x000D_(Empfehlung - Abdeladim)</v>
      </c>
      <c r="FT6" s="277" t="str">
        <f>BH6</f>
        <v>Vertragsmanagementanwendung_x000D_(Empfehlung - Bochicchio)</v>
      </c>
      <c r="FU6" s="277" t="str">
        <f>BJ6</f>
        <v/>
      </c>
      <c r="FV6" s="277" t="str">
        <f>BL6</f>
        <v/>
      </c>
      <c r="FW6" s="277" t="str">
        <f>ZahlenInBereich(Tabelle1[[Empfehlung30]:[Werkzeug32]],ROW()-5)</f>
        <v>Vertragsmanagementanwendung_x000D_(Empfehlung - Bochicchio)</v>
      </c>
      <c r="FX6" s="277" t="str">
        <f>BO6</f>
        <v>Cloud Metrik Evaluierung_x000D_(Empfehlung - Abdeladim)</v>
      </c>
      <c r="FY6" s="277" t="str">
        <f>BQ6</f>
        <v/>
      </c>
      <c r="FZ6" s="277" t="str">
        <f>BS6</f>
        <v>Atificial Intelligence_x000D_(Werkzeug - Chhetri)</v>
      </c>
      <c r="GA6" s="277" t="str">
        <f>ZahlenInBereich(Tabelle1[[Empfehlung34]:[Werkzeug36]],ROW()-5)</f>
        <v>Cloud Metrik Evaluierung_x000D_(Empfehlung - Abdeladim)</v>
      </c>
      <c r="GB6" s="277" t="str">
        <f>BV6</f>
        <v>Vertragsmanagementanwendung_x000D_(Empfehlung - Bochicchio)</v>
      </c>
      <c r="GC6" s="277" t="str">
        <f>BX6</f>
        <v/>
      </c>
      <c r="GD6" s="277" t="str">
        <f>BZ6</f>
        <v>Cloud Service Komposition_x000D_(Werkzeug - Dastjerdi )</v>
      </c>
      <c r="GE6" s="277" t="str">
        <f>ZahlenInBereich(Tabelle1[[Empfehlung38]:[Werkzeug40]],ROW()-5)</f>
        <v>Vertragsmanagementanwendung_x000D_(Empfehlung - Bochicchio)</v>
      </c>
      <c r="GF6" s="277" t="str">
        <f>CC6</f>
        <v/>
      </c>
      <c r="GG6" s="277" t="str">
        <f>CE6</f>
        <v/>
      </c>
      <c r="GH6" s="277" t="str">
        <f>CG6</f>
        <v/>
      </c>
      <c r="GI6" s="277" t="str">
        <f>ZahlenInBereich(Tabelle1[[Empfehlung42]:[Werkzeug44]],ROW()-5)</f>
        <v/>
      </c>
      <c r="GJ6" s="277" t="str">
        <f>CJ6</f>
        <v>Rechtliche Rahmenbedingung_x000D_(Empfehlung - Kafeza )</v>
      </c>
      <c r="GK6" s="277" t="str">
        <f>CL6</f>
        <v/>
      </c>
      <c r="GL6" s="277" t="str">
        <f>CN6</f>
        <v/>
      </c>
      <c r="GM6" s="277" t="str">
        <f>ZahlenInBereich(Tabelle1[[Empfehlung46]:[Werkzeug48]],ROW()-5)</f>
        <v>Rechtliche Rahmenbedingung_x000D_(Empfehlung - Kafeza )</v>
      </c>
      <c r="GN6" s="277" t="str">
        <f>CQ6</f>
        <v>Ressourcenverteilung_x000D_(Empfehlung - Abosi)</v>
      </c>
      <c r="GO6" s="277" t="str">
        <f>CS6</f>
        <v>Monitoring System_x000D_(Methode - Al-Hazmi )</v>
      </c>
      <c r="GP6" s="277" t="str">
        <f>CU6</f>
        <v>Collaboration SaaS_x000D_(Werkzeug - Xia)</v>
      </c>
      <c r="GQ6" s="277" t="str">
        <f>ZahlenInBereich(Tabelle1[[Empfehlung50]:[Werkzeug52]],ROW()-5)</f>
        <v>Ressourcenverteilung_x000D_(Empfehlung - Abosi)</v>
      </c>
      <c r="GR6" s="277" t="str">
        <f>CX6</f>
        <v>Open-Source Plattform_x000D_(Empfehlung - Bahrami )</v>
      </c>
      <c r="GS6" s="277" t="str">
        <f>CZ6</f>
        <v>Monitoring System_x000D_(Methode - Al-Hazmi )</v>
      </c>
      <c r="GT6" s="277" t="str">
        <f>DB6</f>
        <v>Open-Source Plattform_x000D_(Werkzeug - Paraiso)</v>
      </c>
      <c r="GU6" s="277" t="str">
        <f>ZahlenInBereich(Tabelle1[[Empfehlung54]:[Werkzeug56]],ROW()-5)</f>
        <v>Open-Source Plattform_x000D_(Empfehlung - Bahrami )</v>
      </c>
      <c r="GV6" s="277" t="str">
        <f>DE6</f>
        <v>Ressourcenverteilung_x000D_(Empfehlung - Abosi)</v>
      </c>
      <c r="GW6" s="277" t="str">
        <f>DG6</f>
        <v>Infrastruktur Interpreter_x000D_(Methode - Allison)</v>
      </c>
      <c r="GX6" s="277" t="str">
        <f>DI6</f>
        <v>Open-Source Plattform_x000D_(Werkzeug - Paraiso)</v>
      </c>
      <c r="GY6" s="277" t="str">
        <f>ZahlenInBereich(Tabelle1[[Empfehlung58]:[Werkzeug60]],ROW()-5)</f>
        <v>Ressourcenverteilung_x000D_(Empfehlung - Abosi)</v>
      </c>
      <c r="GZ6" s="277" t="str">
        <f>DL6</f>
        <v>Virtualisierungsinfrastruktur_x000D_(Empfehlung - Celesti )</v>
      </c>
      <c r="HA6" s="277" t="str">
        <f>DN6</f>
        <v>Monitoring System_x000D_(Methode - Al-Hazmi )</v>
      </c>
      <c r="HB6" s="277" t="str">
        <f>DP6</f>
        <v>Open-Source Plattform_x000D_(Werkzeug - Paraiso)</v>
      </c>
      <c r="HC6" s="277" t="str">
        <f>ZahlenInBereich(Tabelle1[[Empfehlung62]:[Werkzeug64]],ROW()-5)</f>
        <v>Virtualisierungsinfrastruktur_x000D_(Empfehlung - Celesti )</v>
      </c>
      <c r="HD6" s="277" t="str">
        <f>DS6</f>
        <v/>
      </c>
      <c r="HE6" s="277" t="str">
        <f>DU6</f>
        <v/>
      </c>
      <c r="HF6" s="277" t="str">
        <f>DW6</f>
        <v/>
      </c>
      <c r="HG6" s="277" t="str">
        <f>ZahlenInBereich(Tabelle1[[Empfehlung66]:[Werkzeug68]],ROW()-5)</f>
        <v/>
      </c>
      <c r="HH6" s="277" t="str">
        <f>DZ6</f>
        <v>Virtualisierungsinfrastruktur_x000D_(Empfehlung - Celesti )</v>
      </c>
      <c r="HI6" s="277" t="str">
        <f>EB6</f>
        <v>Monitoring System_x000D_(Methode - Al-Hazmi )</v>
      </c>
      <c r="HJ6" s="277" t="str">
        <f>ED6</f>
        <v>Open-Source Plattform_x000D_(Werkzeug - Paraiso)</v>
      </c>
      <c r="HK6" s="277" t="str">
        <f>ZahlenInBereich(Tabelle1[[Empfehlung70]:[Werkzeug72]],ROW()-5)</f>
        <v>Virtualisierungsinfrastruktur_x000D_(Empfehlung - Celesti )</v>
      </c>
      <c r="HL6" s="277" t="str">
        <f>EG6</f>
        <v>Datenintegration_x000D_(Empfehlung - Bennani )</v>
      </c>
      <c r="HM6" s="277" t="str">
        <f>EI6</f>
        <v>Open-Source Plattform_x000D_(Methode - Ferry)</v>
      </c>
      <c r="HN6" s="277" t="str">
        <f>EK6</f>
        <v>Datenintegration_x000D_(Werkzeug - Vernik)</v>
      </c>
      <c r="HO6" s="277" t="str">
        <f>ZahlenInBereich(Tabelle1[[Empfehlung74]:[Werkzeug76]],ROW()-5)</f>
        <v>Datenintegration_x000D_(Empfehlung - Bennani )</v>
      </c>
    </row>
    <row r="7" spans="2:223" ht="32" x14ac:dyDescent="0.2">
      <c r="B7" s="134">
        <f>'1.4 Analyse &amp; Synthese'!B8</f>
        <v>2</v>
      </c>
      <c r="C7" s="277" t="str">
        <f>IF(AND('1.4 Analyse &amp; Synthese'!Q8=1,'1.4 Analyse &amp; Synthese'!F8="Empfehlung"),'1.4 Analyse &amp; Synthese'!I8&amp;CHAR(13)&amp;"("&amp;'(Codierung)'!$C$2&amp;" - "&amp;'1.4 Analyse &amp; Synthese'!C8&amp;")","")</f>
        <v/>
      </c>
      <c r="D7" s="222" t="str">
        <f t="array" ref="D7">_xlfn.IFNA(INDEX($C$6:$C$66,MATCH(0,COUNTIF($D$4:D6,$C$6:$C$66),0),1),"")</f>
        <v>Open-Source Plattform_x000D_(Empfehlung - Moscato)</v>
      </c>
      <c r="E7" s="277" t="str">
        <f>IF(AND('1.4 Analyse &amp; Synthese'!Q8=1,'1.4 Analyse &amp; Synthese'!F8="Methode"),'1.4 Analyse &amp; Synthese'!I8&amp;CHAR(13)&amp;"("&amp;'(Codierung)'!$C$3&amp;" - "&amp;'1.4 Analyse &amp; Synthese'!C8&amp;")","")</f>
        <v/>
      </c>
      <c r="F7" s="277" t="str">
        <f t="array" ref="F7">_xlfn.IFNA(INDEX($E$6:$E$66,MATCH(0,COUNTIF($F$4:F6,$E$6:$E$66),0),1),"")</f>
        <v/>
      </c>
      <c r="G7" s="277" t="str">
        <f>IF(AND('1.4 Analyse &amp; Synthese'!Q8=1,'1.4 Analyse &amp; Synthese'!F8="Werkzeug"),'1.4 Analyse &amp; Synthese'!I8&amp;CHAR(13)&amp;"("&amp;'(Codierung)'!$C$4&amp;" - "&amp;'1.4 Analyse &amp; Synthese'!C8&amp;")","")</f>
        <v/>
      </c>
      <c r="H7" s="277" t="str">
        <f t="array" ref="H7">_xlfn.IFNA(INDEX($G$6:$G$66,MATCH(0,COUNTIF($H$4:H6,$G$6:$G$66),0),1),"")</f>
        <v>Einheitl. Servicebeschreibung_x000D_(Werkzeug - El-Awadi)</v>
      </c>
      <c r="J7" s="277" t="str">
        <f>IF(AND('1.4 Analyse &amp; Synthese'!R8=1,'1.4 Analyse &amp; Synthese'!F8="Empfehlung"),'1.4 Analyse &amp; Synthese'!I8&amp;CHAR(13)&amp;"("&amp;'(Codierung)'!$C$2&amp;" - "&amp;'1.4 Analyse &amp; Synthese'!C8&amp;")","")</f>
        <v/>
      </c>
      <c r="K7" s="277" t="str">
        <f t="array" ref="K7">_xlfn.IFNA(INDEX($J$6:$J$66,MATCH(0,COUNTIF($K$4:K6,$J$6:$J$66),0),1),"")</f>
        <v>Einheitl. Servicebeschreibung_x000D_(Empfehlung - Rekik )</v>
      </c>
      <c r="L7" s="277" t="str">
        <f>IF(AND('1.4 Analyse &amp; Synthese'!R8=1,'1.4 Analyse &amp; Synthese'!F8="Methode"),'1.4 Analyse &amp; Synthese'!I8&amp;CHAR(13)&amp;"("&amp;'(Codierung)'!$C$3&amp;" - "&amp;'1.4 Analyse &amp; Synthese'!C8&amp;")","")</f>
        <v/>
      </c>
      <c r="M7" s="277" t="str">
        <f t="array" ref="M7">_xlfn.IFNA(INDEX($L$6:$L$66,MATCH(0,COUNTIF($M$4:M6,$L$6:$L$66),0),1),"")</f>
        <v>Open-Source Plattform_x000D_(Methode - Ferry)</v>
      </c>
      <c r="N7" s="277" t="str">
        <f>IF(AND('1.4 Analyse &amp; Synthese'!R8=1,'1.4 Analyse &amp; Synthese'!F8="Werkzeug"),'1.4 Analyse &amp; Synthese'!I8&amp;CHAR(13)&amp;"("&amp;'(Codierung)'!$C$4&amp;" - "&amp;'1.4 Analyse &amp; Synthese'!C8&amp;")","")</f>
        <v/>
      </c>
      <c r="O7" s="277" t="str">
        <f t="array" ref="O7">_xlfn.IFNA(INDEX($N$6:$N$66,MATCH(0,COUNTIF($O$4:O6,$N$6:$N$66),0),1),"")</f>
        <v>Collaboration SaaS_x000D_(Werkzeug - Xia)</v>
      </c>
      <c r="Q7" s="277" t="str">
        <f>IF(AND('1.4 Analyse &amp; Synthese'!S8=1,'1.4 Analyse &amp; Synthese'!F8="Empfehlung"),'1.4 Analyse &amp; Synthese'!I8&amp;CHAR(13)&amp;"("&amp;'(Codierung)'!$C$2&amp;" - "&amp;'1.4 Analyse &amp; Synthese'!C8&amp;")","")</f>
        <v/>
      </c>
      <c r="R7" s="277" t="str">
        <f t="array" ref="R7">_xlfn.IFNA(INDEX($Q$6:$Q$66,MATCH(0,COUNTIF($R$4:R6,$Q$6:$Q$66),0),1),"")</f>
        <v>Datenintegration_x000D_(Empfehlung - Bennani )</v>
      </c>
      <c r="S7" s="277" t="str">
        <f>IF(AND('1.4 Analyse &amp; Synthese'!S8=1,'1.4 Analyse &amp; Synthese'!F8="Methode"),'1.4 Analyse &amp; Synthese'!I8&amp;CHAR(13)&amp;"("&amp;'(Codierung)'!$C$3&amp;" - "&amp;'1.4 Analyse &amp; Synthese'!C8&amp;")","")</f>
        <v/>
      </c>
      <c r="T7" s="277" t="str">
        <f t="array" ref="T7">_xlfn.IFNA(INDEX($S$6:$S$66,MATCH(0,COUNTIF($T$4:T6,$S$6:$S$66),0),1),"")</f>
        <v>Monitoring System_x000D_(Methode - Ludwig )</v>
      </c>
      <c r="U7" s="277" t="str">
        <f>IF(AND('1.4 Analyse &amp; Synthese'!S8=1,'1.4 Analyse &amp; Synthese'!F8="Werkzeug"),'1.4 Analyse &amp; Synthese'!I8&amp;CHAR(13)&amp;"("&amp;'(Codierung)'!$C$4&amp;" - "&amp;'1.4 Analyse &amp; Synthese'!C8&amp;")","")</f>
        <v/>
      </c>
      <c r="V7" s="277" t="str">
        <f t="array" ref="V7">_xlfn.IFNA(INDEX($U$6:$U$66,MATCH(0,COUNTIF($V$4:V6,$U$6:$U$66),0),1),"")</f>
        <v>Einheitl. Servicebeschreibung_x000D_(Werkzeug - El-Awadi)</v>
      </c>
      <c r="X7" s="277" t="str">
        <f>IF(AND('1.4 Analyse &amp; Synthese'!T8=1,'1.4 Analyse &amp; Synthese'!F8="Empfehlung"),'1.4 Analyse &amp; Synthese'!I8&amp;CHAR(13)&amp;"("&amp;'(Codierung)'!$C$2&amp;" - "&amp;'1.4 Analyse &amp; Synthese'!C8&amp;")","")</f>
        <v/>
      </c>
      <c r="Y7" s="277" t="str">
        <f t="array" ref="Y7">_xlfn.IFNA(INDEX($X$6:$X$66,MATCH(0,COUNTIF($Y$4:Y6,$X$6:$X$66),0),1),"")</f>
        <v/>
      </c>
      <c r="Z7" s="277" t="str">
        <f>IF(AND('1.4 Analyse &amp; Synthese'!T8=1,'1.4 Analyse &amp; Synthese'!F8="Methode"),'1.4 Analyse &amp; Synthese'!I8&amp;CHAR(13)&amp;"("&amp;'(Codierung)'!$C$3&amp;" - "&amp;'1.4 Analyse &amp; Synthese'!C8&amp;")","")</f>
        <v/>
      </c>
      <c r="AA7" s="277" t="str">
        <f t="array" ref="AA7">_xlfn.IFNA(INDEX($Z$6:$Z$66,MATCH(0,COUNTIF($AA$4:AA6,$Z$6:$Z$66),0),1),"")</f>
        <v/>
      </c>
      <c r="AB7" s="277" t="str">
        <f>IF(AND('1.4 Analyse &amp; Synthese'!T8=1,'1.4 Analyse &amp; Synthese'!F8="Werkzeug"),'1.4 Analyse &amp; Synthese'!I8&amp;CHAR(13)&amp;"("&amp;'(Codierung)'!$C$4&amp;" - "&amp;'1.4 Analyse &amp; Synthese'!C8&amp;")","")</f>
        <v/>
      </c>
      <c r="AC7" s="277" t="str">
        <f t="array" ref="AC7">_xlfn.IFNA(INDEX($AB$6:$AB$66,MATCH(0,COUNTIF($AC$4:AC6,$AB$6:$AB$66),0),1),"")</f>
        <v/>
      </c>
      <c r="AE7" s="277" t="str">
        <f>IF(AND('1.4 Analyse &amp; Synthese'!U8=1,'1.4 Analyse &amp; Synthese'!F8="Empfehlung"),'1.4 Analyse &amp; Synthese'!I8&amp;CHAR(13)&amp;"("&amp;'(Codierung)'!$C$2&amp;" - "&amp;'1.4 Analyse &amp; Synthese'!C8&amp;")","")</f>
        <v>Ressourcenverteilung_x000D_(Empfehlung - Abosi)</v>
      </c>
      <c r="AF7" s="277" t="str">
        <f t="array" ref="AF7">_xlfn.IFNA(INDEX($AE$6:$AE$66,MATCH(0,COUNTIF($AF$4:AF6,$AE$6:$AE$66),0),1),"")</f>
        <v/>
      </c>
      <c r="AG7" s="277" t="str">
        <f>IF(AND('1.4 Analyse &amp; Synthese'!U8=1,'1.4 Analyse &amp; Synthese'!F8="Methode"),'1.4 Analyse &amp; Synthese'!I8&amp;CHAR(13)&amp;"("&amp;'(Codierung)'!$C$3&amp;" - "&amp;'1.4 Analyse &amp; Synthese'!C8&amp;")","")</f>
        <v/>
      </c>
      <c r="AH7" s="277" t="str">
        <f t="array" ref="AH7">_xlfn.IFNA(INDEX($AG$6:$AG$66,MATCH(0,COUNTIF($AH$4:AH6,$AG$6:$AG$66),0),1),"")</f>
        <v/>
      </c>
      <c r="AI7" s="277" t="str">
        <f>IF(AND('1.4 Analyse &amp; Synthese'!U8=1,'1.4 Analyse &amp; Synthese'!F8="Werkzeug"),'1.4 Analyse &amp; Synthese'!I8&amp;CHAR(13)&amp;"("&amp;'(Codierung)'!$C$4&amp;" - "&amp;'1.4 Analyse &amp; Synthese'!C8&amp;")","")</f>
        <v/>
      </c>
      <c r="AJ7" s="277" t="str">
        <f t="array" ref="AJ7">_xlfn.IFNA(INDEX($AI$6:$AI$66,MATCH(0,COUNTIF($AJ$4:AJ6,$AI$6:$AI$66),0),1),"")</f>
        <v>Open-Source Plattform_x000D_(Werkzeug - Yangui)</v>
      </c>
      <c r="AL7" s="277" t="str">
        <f>IF(AND('1.4 Analyse &amp; Synthese'!V8=1,'1.4 Analyse &amp; Synthese'!F8="Empfehlung"),'1.4 Analyse &amp; Synthese'!I8&amp;CHAR(13)&amp;"("&amp;'(Codierung)'!$C$2&amp;" - "&amp;'1.4 Analyse &amp; Synthese'!C8&amp;")","")</f>
        <v/>
      </c>
      <c r="AM7" s="277" t="str">
        <f t="array" ref="AM7">_xlfn.IFNA(INDEX($AL$6:$AL$66,MATCH(0,COUNTIF($AM$4:AM6,$AL$6:$AL$66),0),1),"")</f>
        <v>Cloud Service Komposition_x000D_(Empfehlung - Gonidis )</v>
      </c>
      <c r="AN7" s="277" t="str">
        <f>IF(AND('1.4 Analyse &amp; Synthese'!V8=1,'1.4 Analyse &amp; Synthese'!F8="Methode"),'1.4 Analyse &amp; Synthese'!I8&amp;CHAR(13)&amp;"("&amp;'(Codierung)'!$C$3&amp;" - "&amp;'1.4 Analyse &amp; Synthese'!C8&amp;")","")</f>
        <v/>
      </c>
      <c r="AO7" s="277" t="str">
        <f t="array" ref="AO7">_xlfn.IFNA(INDEX($AN$6:$AN$66,MATCH(0,COUNTIF($AO$4:AO6,$AN$6:$AN$66),0),1),"")</f>
        <v/>
      </c>
      <c r="AP7" s="277" t="str">
        <f>IF(AND('1.4 Analyse &amp; Synthese'!V8=1,'1.4 Analyse &amp; Synthese'!F8="Werkzeug"),'1.4 Analyse &amp; Synthese'!I8&amp;CHAR(13)&amp;"("&amp;'(Codierung)'!$C$4&amp;" - "&amp;'1.4 Analyse &amp; Synthese'!C8&amp;")","")</f>
        <v/>
      </c>
      <c r="AQ7" s="277" t="str">
        <f t="array" ref="AQ7">_xlfn.IFNA(INDEX($AP$6:$AP$66,MATCH(0,COUNTIF($AQ$4:AQ6,$AP$6:$AP$66),0),1),"")</f>
        <v/>
      </c>
      <c r="AS7" s="277" t="str">
        <f>IF(AND('1.4 Analyse &amp; Synthese'!W8=1,'1.4 Analyse &amp; Synthese'!F8="Empfehlung"),'1.4 Analyse &amp; Synthese'!I8&amp;CHAR(13)&amp;"("&amp;'(Codierung)'!$C$2&amp;" - "&amp;'1.4 Analyse &amp; Synthese'!C8&amp;")","")</f>
        <v/>
      </c>
      <c r="AT7" s="277" t="str">
        <f t="array" ref="AT7">_xlfn.IFNA(INDEX($AS$6:$AS$66,MATCH(0,COUNTIF($AT$4:AT6,$AS$6:$AS$66),0),1),"")</f>
        <v>Cloud Service Komposition_x000D_(Empfehlung - Gonidis )</v>
      </c>
      <c r="AU7" s="277" t="str">
        <f>IF(AND('1.4 Analyse &amp; Synthese'!W8=1,'1.4 Analyse &amp; Synthese'!F8="Methode"),'1.4 Analyse &amp; Synthese'!I8&amp;CHAR(13)&amp;"("&amp;'(Codierung)'!$C$3&amp;" - "&amp;'1.4 Analyse &amp; Synthese'!C8&amp;")","")</f>
        <v/>
      </c>
      <c r="AV7" s="277" t="str">
        <f t="array" ref="AV7">_xlfn.IFNA(INDEX($AU$6:$AU$66,MATCH(0,COUNTIF($AV$4:AV6,$AU$6:$AU$66),0),1),"")</f>
        <v/>
      </c>
      <c r="AW7" s="277" t="str">
        <f>IF(AND('1.4 Analyse &amp; Synthese'!W8=1,'1.4 Analyse &amp; Synthese'!F8="Werkzeug"),'1.4 Analyse &amp; Synthese'!I8&amp;CHAR(13)&amp;"("&amp;'(Codierung)'!$C$4&amp;" - "&amp;'1.4 Analyse &amp; Synthese'!C8&amp;")","")</f>
        <v/>
      </c>
      <c r="AX7" s="277" t="str">
        <f t="array" ref="AX7">_xlfn.IFNA(INDEX($AW$6:$AW$66,MATCH(0,COUNTIF($AX$4:AX6,$AW$6:$AW$66),0),1),"")</f>
        <v/>
      </c>
      <c r="AZ7" s="277" t="str">
        <f>IF(AND('1.4 Analyse &amp; Synthese'!X8=1,'1.4 Analyse &amp; Synthese'!F8="Empfehlung"),'1.4 Analyse &amp; Synthese'!I8&amp;CHAR(13)&amp;"("&amp;'(Codierung)'!$C$2&amp;" - "&amp;'1.4 Analyse &amp; Synthese'!C8&amp;")","")</f>
        <v/>
      </c>
      <c r="BA7" s="277" t="str">
        <f t="array" ref="BA7">_xlfn.IFNA(INDEX($AZ$6:$AZ$66,MATCH(0,COUNTIF($BA$4:BA6,$AZ$6:$AZ$66),0),1),"")</f>
        <v>Datenintegration_x000D_(Empfehlung - Bennani )</v>
      </c>
      <c r="BB7" s="277" t="str">
        <f>IF(AND('1.4 Analyse &amp; Synthese'!X8=1,'1.4 Analyse &amp; Synthese'!F8="Methode"),'1.4 Analyse &amp; Synthese'!I8&amp;CHAR(13)&amp;"("&amp;'(Codierung)'!$C$3&amp;" - "&amp;'1.4 Analyse &amp; Synthese'!C8&amp;")","")</f>
        <v/>
      </c>
      <c r="BC7" s="277" t="str">
        <f t="array" ref="BC7">_xlfn.IFNA(INDEX($BB$6:$BB$66,MATCH(0,COUNTIF($BC$4:BC6,$BB$6:$BB$66),0),1),"")</f>
        <v/>
      </c>
      <c r="BD7" s="277" t="str">
        <f>IF(AND('1.4 Analyse &amp; Synthese'!X8=1,'1.4 Analyse &amp; Synthese'!F8="Werkzeug"),'1.4 Analyse &amp; Synthese'!I8&amp;CHAR(13)&amp;"("&amp;'(Codierung)'!$C$4&amp;" - "&amp;'1.4 Analyse &amp; Synthese'!C8&amp;")","")</f>
        <v/>
      </c>
      <c r="BE7" s="277" t="str">
        <f t="array" ref="BE7">_xlfn.IFNA(INDEX($BD$6:$BD$66,MATCH(0,COUNTIF($BE$4:BE6,$BD$6:$BD$66),0),1),"")</f>
        <v>Open-Source Plattform_x000D_(Werkzeug - Zangara)</v>
      </c>
      <c r="BG7" s="277" t="str">
        <f>IF(AND('1.4 Analyse &amp; Synthese'!Y8=1,'1.4 Analyse &amp; Synthese'!F8="Empfehlung"),'1.4 Analyse &amp; Synthese'!I8&amp;CHAR(13)&amp;"("&amp;'(Codierung)'!$C$2&amp;" - "&amp;'1.4 Analyse &amp; Synthese'!C8&amp;")","")</f>
        <v/>
      </c>
      <c r="BH7" s="277" t="str">
        <f t="array" ref="BH7">_xlfn.IFNA(INDEX($BG$6:$BG$66,MATCH(0,COUNTIF($BH$4:BH6,$BG$6:$BG$66),0),1),"")</f>
        <v/>
      </c>
      <c r="BI7" s="277" t="str">
        <f>IF(AND('1.4 Analyse &amp; Synthese'!Y8=1,'1.4 Analyse &amp; Synthese'!F8="Methode"),'1.4 Analyse &amp; Synthese'!I8&amp;CHAR(13)&amp;"("&amp;'(Codierung)'!$C$3&amp;" - "&amp;'1.4 Analyse &amp; Synthese'!C8&amp;")","")</f>
        <v/>
      </c>
      <c r="BJ7" s="277" t="str">
        <f t="array" ref="BJ7">_xlfn.IFNA(INDEX($BI$6:$BI$66,MATCH(0,COUNTIF($BJ$4:BJ6,$BI$6:$BI$66),0),1),"")</f>
        <v/>
      </c>
      <c r="BK7" s="277" t="str">
        <f>IF(AND('1.4 Analyse &amp; Synthese'!Y8=1,'1.4 Analyse &amp; Synthese'!F8="Werkzeug"),'1.4 Analyse &amp; Synthese'!I8&amp;CHAR(13)&amp;"("&amp;'(Codierung)'!$C$4&amp;" - "&amp;'1.4 Analyse &amp; Synthese'!C8&amp;")","")</f>
        <v/>
      </c>
      <c r="BL7" s="277" t="str">
        <f t="array" ref="BL7">_xlfn.IFNA(INDEX($BK$6:$BK$66,MATCH(0,COUNTIF($BL$4:BL6,$BK$6:$BK$66),0),1),"")</f>
        <v/>
      </c>
      <c r="BN7" s="277" t="str">
        <f>IF(AND('1.4 Analyse &amp; Synthese'!Z8=1,'1.4 Analyse &amp; Synthese'!F8="Empfehlung"),'1.4 Analyse &amp; Synthese'!I8&amp;CHAR(13)&amp;"("&amp;'(Codierung)'!$C$2&amp;" - "&amp;'1.4 Analyse &amp; Synthese'!C8&amp;")","")</f>
        <v/>
      </c>
      <c r="BO7" s="277" t="str">
        <f t="array" ref="BO7">_xlfn.IFNA(INDEX($BN$6:$BN$66,MATCH(0,COUNTIF($BO$4:BO6,$BN$6:$BN$66),0),1),"")</f>
        <v>Vertragsmanagementanwendung_x000D_(Empfehlung - Bochicchio)</v>
      </c>
      <c r="BP7" s="277" t="str">
        <f>IF(AND('1.4 Analyse &amp; Synthese'!Z8=1,'1.4 Analyse &amp; Synthese'!F8="Methode"),'1.4 Analyse &amp; Synthese'!I8&amp;CHAR(13)&amp;"("&amp;'(Codierung)'!$C$3&amp;" - "&amp;'1.4 Analyse &amp; Synthese'!C8&amp;")","")</f>
        <v/>
      </c>
      <c r="BQ7" s="277" t="str">
        <f t="array" ref="BQ7">_xlfn.IFNA(INDEX($BP$6:$BP$66,MATCH(0,COUNTIF($BQ$4:BQ6,$BP$6:$BP$66),0),1),"")</f>
        <v/>
      </c>
      <c r="BR7" s="277" t="str">
        <f>IF(AND('1.4 Analyse &amp; Synthese'!Z8=1,'1.4 Analyse &amp; Synthese'!F8="Werkzeug"),'1.4 Analyse &amp; Synthese'!I8&amp;CHAR(13)&amp;"("&amp;'(Codierung)'!$C$4&amp;" - "&amp;'1.4 Analyse &amp; Synthese'!C8&amp;")","")</f>
        <v/>
      </c>
      <c r="BS7" s="277" t="str">
        <f t="array" ref="BS7">_xlfn.IFNA(INDEX($BR$6:$BR$66,MATCH(0,COUNTIF($BS$4:BS6,$BR$6:$BR$66),0),1),"")</f>
        <v>Cloud Service Komposition_x000D_(Werkzeug - Dastjerdi )</v>
      </c>
      <c r="BU7" s="277" t="str">
        <f>IF(AND('1.4 Analyse &amp; Synthese'!AA8=1,'1.4 Analyse &amp; Synthese'!F8="Empfehlung"),'1.4 Analyse &amp; Synthese'!I8&amp;CHAR(13)&amp;"("&amp;'(Codierung)'!$C$2&amp;" - "&amp;'1.4 Analyse &amp; Synthese'!C8&amp;")","")</f>
        <v/>
      </c>
      <c r="BV7" s="277" t="str">
        <f t="array" ref="BV7">_xlfn.IFNA(INDEX($BU$6:$BU$66,MATCH(0,COUNTIF($BV$4:BV6,$BU$6:$BU$66),0),1),"")</f>
        <v/>
      </c>
      <c r="BW7" s="277" t="str">
        <f>IF(AND('1.4 Analyse &amp; Synthese'!AA8=1,'1.4 Analyse &amp; Synthese'!F8="Methode"),'1.4 Analyse &amp; Synthese'!I8&amp;CHAR(13)&amp;"("&amp;'(Codierung)'!$C$3&amp;" - "&amp;'1.4 Analyse &amp; Synthese'!C8&amp;")","")</f>
        <v/>
      </c>
      <c r="BX7" s="277" t="str">
        <f t="array" ref="BX7">_xlfn.IFNA(INDEX($BW$6:$BW$66,MATCH(0,COUNTIF($BX$4:BX6,$BW$6:$BW$66),0),1),"")</f>
        <v/>
      </c>
      <c r="BY7" s="277" t="str">
        <f>IF(AND('1.4 Analyse &amp; Synthese'!AA8=1,'1.4 Analyse &amp; Synthese'!F8="Werkzeug"),'1.4 Analyse &amp; Synthese'!I8&amp;CHAR(13)&amp;"("&amp;'(Codierung)'!$C$4&amp;" - "&amp;'1.4 Analyse &amp; Synthese'!C8&amp;")","")</f>
        <v/>
      </c>
      <c r="BZ7" s="277" t="str">
        <f t="array" ref="BZ7">_xlfn.IFNA(INDEX($BY$6:$BY$66,MATCH(0,COUNTIF($BZ$4:BZ6,$BY$6:$BY$66),0),1),"")</f>
        <v/>
      </c>
      <c r="CB7" s="277" t="str">
        <f>IF(AND('1.4 Analyse &amp; Synthese'!AB8=1,'1.4 Analyse &amp; Synthese'!F8="Empfehlung"),'1.4 Analyse &amp; Synthese'!I8&amp;CHAR(13)&amp;"("&amp;'(Codierung)'!$C$2&amp;" - "&amp;'1.4 Analyse &amp; Synthese'!C8&amp;")","")</f>
        <v/>
      </c>
      <c r="CC7" s="277" t="str">
        <f t="array" ref="CC7">_xlfn.IFNA(INDEX($CB$6:$CB$66,MATCH(0,COUNTIF($CC$4:CC6,$CB$6:$CB$66),0),1),"")</f>
        <v/>
      </c>
      <c r="CD7" s="277" t="str">
        <f>IF(AND('1.4 Analyse &amp; Synthese'!AB8=1,'1.4 Analyse &amp; Synthese'!F8="Methode"),'1.4 Analyse &amp; Synthese'!I8&amp;CHAR(13)&amp;"("&amp;'(Codierung)'!$C$3&amp;" - "&amp;'1.4 Analyse &amp; Synthese'!C8&amp;")","")</f>
        <v/>
      </c>
      <c r="CE7" s="277" t="str">
        <f t="array" ref="CE7">_xlfn.IFNA(INDEX($CD$6:$CD$66,MATCH(0,COUNTIF($CE$4:CE6,$CD$6:$CD$66),0),1),"")</f>
        <v/>
      </c>
      <c r="CF7" s="277" t="str">
        <f>IF(AND('1.4 Analyse &amp; Synthese'!AB8=1,'1.4 Analyse &amp; Synthese'!F8="Werkzeug"),'1.4 Analyse &amp; Synthese'!I8&amp;CHAR(13)&amp;"("&amp;'(Codierung)'!$C$4&amp;" - "&amp;'1.4 Analyse &amp; Synthese'!C8&amp;")","")</f>
        <v/>
      </c>
      <c r="CG7" s="277" t="str">
        <f t="array" ref="CG7">_xlfn.IFNA(INDEX($CF$6:$CF$66,MATCH(0,COUNTIF($CG$4:CG6,$CF$6:$CF$66),0),1),"")</f>
        <v/>
      </c>
      <c r="CI7" s="277" t="str">
        <f>IF(AND('1.4 Analyse &amp; Synthese'!AC8=1,'1.4 Analyse &amp; Synthese'!F8="Empfehlung"),'1.4 Analyse &amp; Synthese'!I8&amp;CHAR(13)&amp;"("&amp;'(Codierung)'!$C$2&amp;" - "&amp;'1.4 Analyse &amp; Synthese'!C8&amp;")","")</f>
        <v/>
      </c>
      <c r="CJ7" s="277" t="str">
        <f t="array" ref="CJ7">_xlfn.IFNA(INDEX($CI$6:$CI$66,MATCH(0,COUNTIF($CJ$4:CJ6,$CI$6:$CI$66),0),1),"")</f>
        <v>SLA Management Aggregation_x000D_(Empfehlung - Muthusamy)</v>
      </c>
      <c r="CK7" s="277" t="str">
        <f>IF(AND('1.4 Analyse &amp; Synthese'!AC8=1,'1.4 Analyse &amp; Synthese'!F8="Methode"),'1.4 Analyse &amp; Synthese'!I8&amp;CHAR(13)&amp;"("&amp;'(Codierung)'!$C$3&amp;" - "&amp;'1.4 Analyse &amp; Synthese'!C8&amp;")","")</f>
        <v/>
      </c>
      <c r="CL7" s="277" t="str">
        <f t="array" ref="CL7">_xlfn.IFNA(INDEX($CK$6:$CK$66,MATCH(0,COUNTIF($CL$4:CL6,$CK$6:$CK$66),0),1),"")</f>
        <v/>
      </c>
      <c r="CM7" s="277" t="str">
        <f>IF(AND('1.4 Analyse &amp; Synthese'!AC8=1,'1.4 Analyse &amp; Synthese'!F8="Werkzeug"),'1.4 Analyse &amp; Synthese'!I8&amp;CHAR(13)&amp;"("&amp;'(Codierung)'!$C$4&amp;" - "&amp;'1.4 Analyse &amp; Synthese'!C8&amp;")","")</f>
        <v/>
      </c>
      <c r="CN7" s="277" t="str">
        <f t="array" ref="CN7">_xlfn.IFNA(INDEX($CM$6:$CM$66,MATCH(0,COUNTIF($CN$4:CN6,$CM$6:$CM$66),0),1),"")</f>
        <v/>
      </c>
      <c r="CP7" s="277" t="str">
        <f>IF(AND('1.4 Analyse &amp; Synthese'!AD8=1,'1.4 Analyse &amp; Synthese'!F8="Empfehlung"),'1.4 Analyse &amp; Synthese'!I8&amp;CHAR(13)&amp;"("&amp;'(Codierung)'!$C$2&amp;" - "&amp;'1.4 Analyse &amp; Synthese'!C8&amp;")","")</f>
        <v>Ressourcenverteilung_x000D_(Empfehlung - Abosi)</v>
      </c>
      <c r="CQ7" s="277" t="str">
        <f t="array" ref="CQ7">_xlfn.IFNA(INDEX($CP$6:$CP$66,MATCH(0,COUNTIF($CQ$4:CQ6,$CP$6:$CP$66),0),1),"")</f>
        <v>Application Programming Interface_x000D_(Empfehlung - Demchenko)</v>
      </c>
      <c r="CR7" s="277" t="str">
        <f>IF(AND('1.4 Analyse &amp; Synthese'!AD8=1,'1.4 Analyse &amp; Synthese'!F8="Methode"),'1.4 Analyse &amp; Synthese'!I8&amp;CHAR(13)&amp;"("&amp;'(Codierung)'!$C$3&amp;" - "&amp;'1.4 Analyse &amp; Synthese'!C8&amp;")","")</f>
        <v/>
      </c>
      <c r="CS7" s="277" t="str">
        <f t="array" ref="CS7">_xlfn.IFNA(INDEX($CR$6:$CR$66,MATCH(0,COUNTIF($CS$4:CS6,$CR$6:$CR$66),0),1),"")</f>
        <v>SLA Management Aggregation_x000D_(Methode - Stanik)</v>
      </c>
      <c r="CT7" s="277" t="str">
        <f>IF(AND('1.4 Analyse &amp; Synthese'!AD8=1,'1.4 Analyse &amp; Synthese'!F8="Werkzeug"),'1.4 Analyse &amp; Synthese'!I8&amp;CHAR(13)&amp;"("&amp;'(Codierung)'!$C$4&amp;" - "&amp;'1.4 Analyse &amp; Synthese'!C8&amp;")","")</f>
        <v/>
      </c>
      <c r="CU7" s="277" t="str">
        <f t="array" ref="CU7">_xlfn.IFNA(INDEX($CT$6:$CT$66,MATCH(0,COUNTIF($CU$4:CU6,$CT$6:$CT$66),0),1),"")</f>
        <v/>
      </c>
      <c r="CW7" s="277" t="str">
        <f>IF(AND('1.4 Analyse &amp; Synthese'!AE8=1,'1.4 Analyse &amp; Synthese'!F8="Empfehlung"),'1.4 Analyse &amp; Synthese'!I8&amp;CHAR(13)&amp;"("&amp;'(Codierung)'!$C$2&amp;" - "&amp;'1.4 Analyse &amp; Synthese'!C8&amp;")","")</f>
        <v/>
      </c>
      <c r="CX7" s="277" t="str">
        <f t="array" ref="CX7">_xlfn.IFNA(INDEX($CW$6:$CW$66,MATCH(0,COUNTIF($CX$4:CX6,$CW$6:$CW$66),0),1),"")</f>
        <v>Application Programming Interface_x000D_(Empfehlung - Demchenko)</v>
      </c>
      <c r="CY7" s="277" t="str">
        <f>IF(AND('1.4 Analyse &amp; Synthese'!AE8=1,'1.4 Analyse &amp; Synthese'!F8="Methode"),'1.4 Analyse &amp; Synthese'!I8&amp;CHAR(13)&amp;"("&amp;'(Codierung)'!$C$3&amp;" - "&amp;'1.4 Analyse &amp; Synthese'!C8&amp;")","")</f>
        <v/>
      </c>
      <c r="CZ7" s="277" t="str">
        <f t="array" ref="CZ7">_xlfn.IFNA(INDEX($CY$6:$CY$66,MATCH(0,COUNTIF($CZ$4:CZ6,$CY$6:$CY$66),0),1),"")</f>
        <v>Monitoring System_x000D_(Methode - Ludwig )</v>
      </c>
      <c r="DA7" s="277" t="str">
        <f>IF(AND('1.4 Analyse &amp; Synthese'!AE8=1,'1.4 Analyse &amp; Synthese'!F8="Werkzeug"),'1.4 Analyse &amp; Synthese'!I8&amp;CHAR(13)&amp;"("&amp;'(Codierung)'!$C$4&amp;" - "&amp;'1.4 Analyse &amp; Synthese'!C8&amp;")","")</f>
        <v/>
      </c>
      <c r="DB7" s="277" t="str">
        <f t="array" ref="DB7">_xlfn.IFNA(INDEX($DA$6:$DA$66,MATCH(0,COUNTIF($DB$4:DB6,$DA$6:$DA$66),0),1),"")</f>
        <v>Atificial Intelligence_x000D_(Werkzeug - Vukovic )</v>
      </c>
      <c r="DD7" s="277" t="str">
        <f>IF(AND('1.4 Analyse &amp; Synthese'!AF8=1,'1.4 Analyse &amp; Synthese'!F8="Empfehlung"),'1.4 Analyse &amp; Synthese'!I8&amp;CHAR(13)&amp;"("&amp;'(Codierung)'!$C$2&amp;" - "&amp;'1.4 Analyse &amp; Synthese'!C8&amp;")","")</f>
        <v>Ressourcenverteilung_x000D_(Empfehlung - Abosi)</v>
      </c>
      <c r="DE7" s="277" t="str">
        <f t="array" ref="DE7">_xlfn.IFNA(INDEX($DD$6:$DD$66,MATCH(0,COUNTIF($DE$4:DE6,$DD$6:$DD$66),0),1),"")</f>
        <v>Virtualisierungsinfrastruktur_x000D_(Empfehlung - Celesti )</v>
      </c>
      <c r="DF7" s="277" t="str">
        <f>IF(AND('1.4 Analyse &amp; Synthese'!AF8=1,'1.4 Analyse &amp; Synthese'!F8="Methode"),'1.4 Analyse &amp; Synthese'!I8&amp;CHAR(13)&amp;"("&amp;'(Codierung)'!$C$3&amp;" - "&amp;'1.4 Analyse &amp; Synthese'!C8&amp;")","")</f>
        <v/>
      </c>
      <c r="DG7" s="277" t="str">
        <f t="array" ref="DG7">_xlfn.IFNA(INDEX($DF$6:$DF$66,MATCH(0,COUNTIF($DG$4:DG6,$DF$6:$DF$66),0),1),"")</f>
        <v>Monitoring System_x000D_(Methode - Aversa)</v>
      </c>
      <c r="DH7" s="277" t="str">
        <f>IF(AND('1.4 Analyse &amp; Synthese'!AF8=1,'1.4 Analyse &amp; Synthese'!F8="Werkzeug"),'1.4 Analyse &amp; Synthese'!I8&amp;CHAR(13)&amp;"("&amp;'(Codierung)'!$C$4&amp;" - "&amp;'1.4 Analyse &amp; Synthese'!C8&amp;")","")</f>
        <v/>
      </c>
      <c r="DI7" s="277" t="str">
        <f t="array" ref="DI7">_xlfn.IFNA(INDEX($DH$6:$DH$66,MATCH(0,COUNTIF($DI$4:DI6,$DH$6:$DH$66),0),1),"")</f>
        <v>Datenintegration_x000D_(Werkzeug - Vernik)</v>
      </c>
      <c r="DK7" s="277" t="str">
        <f>IF(AND('1.4 Analyse &amp; Synthese'!AG8=1,'1.4 Analyse &amp; Synthese'!F8="Empfehlung"),'1.4 Analyse &amp; Synthese'!I8&amp;CHAR(13)&amp;"("&amp;'(Codierung)'!$C$2&amp;" - "&amp;'1.4 Analyse &amp; Synthese'!C8&amp;")","")</f>
        <v/>
      </c>
      <c r="DL7" s="277" t="str">
        <f t="array" ref="DL7">_xlfn.IFNA(INDEX($DK$6:$DK$66,MATCH(0,COUNTIF($DL$4:DL6,$DK$6:$DK$66),0),1),"")</f>
        <v>Application Programming Interface_x000D_(Empfehlung - Demchenko)</v>
      </c>
      <c r="DM7" s="277" t="str">
        <f>IF(AND('1.4 Analyse &amp; Synthese'!AG8=1,'1.4 Analyse &amp; Synthese'!F8="Methode"),'1.4 Analyse &amp; Synthese'!I8&amp;CHAR(13)&amp;"("&amp;'(Codierung)'!$C$3&amp;" - "&amp;'1.4 Analyse &amp; Synthese'!C8&amp;")","")</f>
        <v/>
      </c>
      <c r="DN7" s="277" t="str">
        <f t="array" ref="DN7">_xlfn.IFNA(INDEX($DM$6:$DM$66,MATCH(0,COUNTIF($DN$4:DN6,$DM$6:$DM$66),0),1),"")</f>
        <v>Infrastruktur Interpreter_x000D_(Methode - Allison)</v>
      </c>
      <c r="DO7" s="277" t="str">
        <f>IF(AND('1.4 Analyse &amp; Synthese'!AG8=1,'1.4 Analyse &amp; Synthese'!F8="Werkzeug"),'1.4 Analyse &amp; Synthese'!I8&amp;CHAR(13)&amp;"("&amp;'(Codierung)'!$C$4&amp;" - "&amp;'1.4 Analyse &amp; Synthese'!C8&amp;")","")</f>
        <v/>
      </c>
      <c r="DP7" s="277" t="str">
        <f t="array" ref="DP7">_xlfn.IFNA(INDEX($DO$6:$DO$66,MATCH(0,COUNTIF($DP$4:DP6,$DO$6:$DO$66),0),1),"")</f>
        <v>Datenintegration_x000D_(Werkzeug - Vernik)</v>
      </c>
      <c r="DR7" s="277" t="str">
        <f>IF(AND('1.4 Analyse &amp; Synthese'!AH8=1,'1.4 Analyse &amp; Synthese'!F8="Empfehlung"),'1.4 Analyse &amp; Synthese'!I8&amp;CHAR(13)&amp;"("&amp;'(Codierung)'!$C$2&amp;" - "&amp;'1.4 Analyse &amp; Synthese'!C8&amp;")","")</f>
        <v/>
      </c>
      <c r="DS7" s="277" t="str">
        <f t="array" ref="DS7">_xlfn.IFNA(INDEX($DR$6:$DR$66,MATCH(0,COUNTIF($DS$4:DS6,$DR$6:$DR$66),0),1),"")</f>
        <v/>
      </c>
      <c r="DT7" s="277" t="str">
        <f>IF(AND('1.4 Analyse &amp; Synthese'!AH8=1,'1.4 Analyse &amp; Synthese'!F8="Methode"),'1.4 Analyse &amp; Synthese'!I8&amp;CHAR(13)&amp;"("&amp;'(Codierung)'!$C$3&amp;" - "&amp;'1.4 Analyse &amp; Synthese'!C8&amp;")","")</f>
        <v/>
      </c>
      <c r="DU7" s="277" t="str">
        <f t="array" ref="DU7">_xlfn.IFNA(INDEX($DT$6:$DT$66,MATCH(0,COUNTIF($DU$4:DU6,$DT$6:$DT$66),0),1),"")</f>
        <v/>
      </c>
      <c r="DV7" s="277" t="str">
        <f>IF(AND('1.4 Analyse &amp; Synthese'!AH8=1,'1.4 Analyse &amp; Synthese'!F8="Werkzeug"),'1.4 Analyse &amp; Synthese'!I8&amp;CHAR(13)&amp;"("&amp;'(Codierung)'!$C$4&amp;" - "&amp;'1.4 Analyse &amp; Synthese'!C8&amp;")","")</f>
        <v/>
      </c>
      <c r="DW7" s="277" t="str">
        <f t="array" ref="DW7">_xlfn.IFNA(INDEX($DV$6:$DV$66,MATCH(0,COUNTIF($DW$4:DW6,$DV$6:$DV$66),0),1),"")</f>
        <v/>
      </c>
      <c r="DY7" s="277" t="str">
        <f>IF(AND('1.4 Analyse &amp; Synthese'!AI8=1,'1.4 Analyse &amp; Synthese'!F8="Empfehlung"),'1.4 Analyse &amp; Synthese'!I8&amp;CHAR(13)&amp;"("&amp;'(Codierung)'!$C$2&amp;" - "&amp;'1.4 Analyse &amp; Synthese'!C8&amp;")","")</f>
        <v/>
      </c>
      <c r="DZ7" s="277" t="str">
        <f t="array" ref="DZ7">_xlfn.IFNA(INDEX($DY$6:$DY$66,MATCH(0,COUNTIF($DZ$4:DZ6,$DY$6:$DY$66),0),1),"")</f>
        <v>Application Programming Interface_x000D_(Empfehlung - Demchenko)</v>
      </c>
      <c r="EA7" s="277" t="str">
        <f>IF(AND('1.4 Analyse &amp; Synthese'!AI8=1,'1.4 Analyse &amp; Synthese'!F8="Methode"),'1.4 Analyse &amp; Synthese'!I8&amp;CHAR(13)&amp;"("&amp;'(Codierung)'!$C$3&amp;" - "&amp;'1.4 Analyse &amp; Synthese'!C8&amp;")","")</f>
        <v/>
      </c>
      <c r="EB7" s="277" t="str">
        <f t="array" ref="EB7">_xlfn.IFNA(INDEX($EA$6:$EA$66,MATCH(0,COUNTIF($EB$4:EB6,$EA$6:$EA$66),0),1),"")</f>
        <v>Infrastruktur Interpreter_x000D_(Methode - Allison)</v>
      </c>
      <c r="EC7" s="277" t="str">
        <f>IF(AND('1.4 Analyse &amp; Synthese'!AI8=1,'1.4 Analyse &amp; Synthese'!F8="Werkzeug"),'1.4 Analyse &amp; Synthese'!I8&amp;CHAR(13)&amp;"("&amp;'(Codierung)'!$C$4&amp;" - "&amp;'1.4 Analyse &amp; Synthese'!C8&amp;")","")</f>
        <v/>
      </c>
      <c r="ED7" s="277" t="str">
        <f t="array" ref="ED7">_xlfn.IFNA(INDEX($EC$6:$EC$66,MATCH(0,COUNTIF($ED$4:ED6,$EC$6:$EC$66),0),1),"")</f>
        <v>Datenintegration_x000D_(Werkzeug - Vernik)</v>
      </c>
      <c r="EF7" s="277" t="str">
        <f>IF(AND('1.4 Analyse &amp; Synthese'!AJ8=1,'1.4 Analyse &amp; Synthese'!F8="Empfehlung"),'1.4 Analyse &amp; Synthese'!I8&amp;CHAR(13)&amp;"("&amp;'(Codierung)'!$C$2&amp;" - "&amp;'1.4 Analyse &amp; Synthese'!C8&amp;")","")</f>
        <v/>
      </c>
      <c r="EG7" s="277" t="str">
        <f t="array" ref="EG7">_xlfn.IFNA(INDEX($EF$6:$EF$66,MATCH(0,COUNTIF($EG$4:EG6,$EF$6:$EF$66),0),1),"")</f>
        <v>Datenintegration_x000D_(Empfehlung - Ghafour)</v>
      </c>
      <c r="EH7" s="277" t="str">
        <f>IF(AND('1.4 Analyse &amp; Synthese'!AJ8=1,'1.4 Analyse &amp; Synthese'!F8="Methode"),'1.4 Analyse &amp; Synthese'!I8&amp;CHAR(13)&amp;"("&amp;'(Codierung)'!$C$3&amp;" - "&amp;'1.4 Analyse &amp; Synthese'!C8&amp;")","")</f>
        <v/>
      </c>
      <c r="EI7" s="277" t="str">
        <f t="array" ref="EI7">_xlfn.IFNA(INDEX($EH$6:$EH$66,MATCH(0,COUNTIF($EI$4:EI6,$EH$6:$EH$66),0),1),"")</f>
        <v/>
      </c>
      <c r="EJ7" s="277" t="str">
        <f>IF(AND('1.4 Analyse &amp; Synthese'!AJ8=1,'1.4 Analyse &amp; Synthese'!F8="Werkzeug"),'1.4 Analyse &amp; Synthese'!I8&amp;CHAR(13)&amp;"("&amp;'(Codierung)'!$C$4&amp;" - "&amp;'1.4 Analyse &amp; Synthese'!C8&amp;")","")</f>
        <v/>
      </c>
      <c r="EK7" s="277" t="str">
        <f t="array" ref="EK7">_xlfn.IFNA(INDEX($EJ$6:$EJ$66,MATCH(0,COUNTIF($EK$4:EK6,$EJ$6:$EJ$66),0),1),"")</f>
        <v>Collaboration SaaS_x000D_(Werkzeug - Xia)</v>
      </c>
      <c r="EN7" s="222" t="str">
        <f t="shared" ref="EN7:EN38" si="0">D7</f>
        <v>Open-Source Plattform_x000D_(Empfehlung - Moscato)</v>
      </c>
      <c r="EO7" s="277" t="str">
        <f t="shared" ref="EO7:EO38" si="1">F7</f>
        <v/>
      </c>
      <c r="EP7" s="277" t="str">
        <f t="shared" ref="EP7:EP38" si="2">H7</f>
        <v>Einheitl. Servicebeschreibung_x000D_(Werkzeug - El-Awadi)</v>
      </c>
      <c r="EQ7" s="277" t="str">
        <f>ZahlenInBereich(Tabelle1[[Empfehlung]:[Werkzeug]],ROW()-5)</f>
        <v>Open-Source Plattform_x000D_(Empfehlung - Moscato)</v>
      </c>
      <c r="ER7" s="277" t="str">
        <f t="shared" ref="ER7:ER38" si="3">K7</f>
        <v>Einheitl. Servicebeschreibung_x000D_(Empfehlung - Rekik )</v>
      </c>
      <c r="ES7" s="277" t="str">
        <f t="shared" ref="ES7:ES38" si="4">M7</f>
        <v>Open-Source Plattform_x000D_(Methode - Ferry)</v>
      </c>
      <c r="ET7" s="277" t="str">
        <f t="shared" ref="ET7:ET38" si="5">O7</f>
        <v>Collaboration SaaS_x000D_(Werkzeug - Xia)</v>
      </c>
      <c r="EU7" s="277" t="str">
        <f>ZahlenInBereich(Tabelle1[[Empfehlung2]:[Werkzeug4]],ROW()-5)</f>
        <v>Einheitl. Servicebeschreibung_x000D_(Empfehlung - Rekik )</v>
      </c>
      <c r="EV7" s="277" t="str">
        <f t="shared" ref="EV7:EV38" si="6">R7</f>
        <v>Datenintegration_x000D_(Empfehlung - Bennani )</v>
      </c>
      <c r="EW7" s="277" t="str">
        <f t="shared" ref="EW7:EW38" si="7">T7</f>
        <v>Monitoring System_x000D_(Methode - Ludwig )</v>
      </c>
      <c r="EX7" s="277" t="str">
        <f t="shared" ref="EX7:EX38" si="8">V7</f>
        <v>Einheitl. Servicebeschreibung_x000D_(Werkzeug - El-Awadi)</v>
      </c>
      <c r="EY7" s="277" t="str">
        <f>ZahlenInBereich(Tabelle1[[Empfehlung6]:[Werkzeug8]],ROW()-5)</f>
        <v>Datenintegration_x000D_(Empfehlung - Bennani )</v>
      </c>
      <c r="EZ7" s="277" t="str">
        <f t="shared" ref="EZ7:EZ38" si="9">Y7</f>
        <v/>
      </c>
      <c r="FA7" s="277" t="str">
        <f t="shared" ref="FA7:FA38" si="10">AA7</f>
        <v/>
      </c>
      <c r="FB7" s="277" t="str">
        <f t="shared" ref="FB7:FB38" si="11">AC7</f>
        <v/>
      </c>
      <c r="FC7" s="277" t="str">
        <f>ZahlenInBereich(Tabelle1[[Empfehlung10]:[Werkzeug12]],ROW()-5)</f>
        <v/>
      </c>
      <c r="FD7" s="277" t="str">
        <f t="shared" ref="FD7:FD38" si="12">AF7</f>
        <v/>
      </c>
      <c r="FE7" s="277" t="str">
        <f t="shared" ref="FE7:FE38" si="13">AH7</f>
        <v/>
      </c>
      <c r="FF7" s="277" t="str">
        <f t="shared" ref="FF7:FF38" si="14">AJ7</f>
        <v>Open-Source Plattform_x000D_(Werkzeug - Yangui)</v>
      </c>
      <c r="FG7" s="277" t="str">
        <f>ZahlenInBereich(Tabelle1[[Empfehlung14]:[Werkzeug16]],ROW()-5)</f>
        <v>Open-Source Plattform_x000D_(Werkzeug - Paraiso)</v>
      </c>
      <c r="FH7" s="277" t="str">
        <f t="shared" ref="FH7:FH38" si="15">AM7</f>
        <v>Cloud Service Komposition_x000D_(Empfehlung - Gonidis )</v>
      </c>
      <c r="FI7" s="277" t="str">
        <f t="shared" ref="FI7:FI38" si="16">AO7</f>
        <v/>
      </c>
      <c r="FJ7" s="277" t="str">
        <f t="shared" ref="FJ7:FJ38" si="17">AQ7</f>
        <v/>
      </c>
      <c r="FK7" s="277" t="str">
        <f>ZahlenInBereich(Tabelle1[[Empfehlung18]:[Werkzeug20]],ROW()-5)</f>
        <v>Cloud Service Komposition_x000D_(Empfehlung - Gonidis )</v>
      </c>
      <c r="FL7" s="277" t="str">
        <f t="shared" ref="FL7:FL38" si="18">AT7</f>
        <v>Cloud Service Komposition_x000D_(Empfehlung - Gonidis )</v>
      </c>
      <c r="FM7" s="277" t="str">
        <f t="shared" ref="FM7:FM38" si="19">AV7</f>
        <v/>
      </c>
      <c r="FN7" s="277" t="str">
        <f t="shared" ref="FN7:FN38" si="20">AX7</f>
        <v/>
      </c>
      <c r="FO7" s="277" t="str">
        <f>ZahlenInBereich(Tabelle1[[Empfehlung22]:[Werkzeug24]],ROW()-5)</f>
        <v>Cloud Service Komposition_x000D_(Empfehlung - Gonidis )</v>
      </c>
      <c r="FP7" s="277" t="str">
        <f t="shared" ref="FP7:FP38" si="21">BA7</f>
        <v>Datenintegration_x000D_(Empfehlung - Bennani )</v>
      </c>
      <c r="FQ7" s="277" t="str">
        <f t="shared" ref="FQ7:FQ38" si="22">BC7</f>
        <v/>
      </c>
      <c r="FR7" s="277" t="str">
        <f t="shared" ref="FR7:FR38" si="23">BE7</f>
        <v>Open-Source Plattform_x000D_(Werkzeug - Zangara)</v>
      </c>
      <c r="FS7" s="277" t="str">
        <f>ZahlenInBereich(Tabelle1[[Empfehlung26]:[Werkzeug28]],ROW()-5)</f>
        <v>Datenintegration_x000D_(Empfehlung - Bennani )</v>
      </c>
      <c r="FT7" s="277" t="str">
        <f t="shared" ref="FT7:FT38" si="24">BH7</f>
        <v/>
      </c>
      <c r="FU7" s="277" t="str">
        <f t="shared" ref="FU7:FU38" si="25">BJ7</f>
        <v/>
      </c>
      <c r="FV7" s="277" t="str">
        <f t="shared" ref="FV7:FV38" si="26">BL7</f>
        <v/>
      </c>
      <c r="FW7" s="277" t="str">
        <f>ZahlenInBereich(Tabelle1[[Empfehlung30]:[Werkzeug32]],ROW()-5)</f>
        <v/>
      </c>
      <c r="FX7" s="277" t="str">
        <f t="shared" ref="FX7:FX38" si="27">BO7</f>
        <v>Vertragsmanagementanwendung_x000D_(Empfehlung - Bochicchio)</v>
      </c>
      <c r="FY7" s="277" t="str">
        <f t="shared" ref="FY7:FY38" si="28">BQ7</f>
        <v/>
      </c>
      <c r="FZ7" s="277" t="str">
        <f t="shared" ref="FZ7:FZ38" si="29">BS7</f>
        <v>Cloud Service Komposition_x000D_(Werkzeug - Dastjerdi )</v>
      </c>
      <c r="GA7" s="277" t="str">
        <f>ZahlenInBereich(Tabelle1[[Empfehlung34]:[Werkzeug36]],ROW()-5)</f>
        <v>Vertragsmanagementanwendung_x000D_(Empfehlung - Bochicchio)</v>
      </c>
      <c r="GB7" s="277" t="str">
        <f t="shared" ref="GB7:GB38" si="30">BV7</f>
        <v/>
      </c>
      <c r="GC7" s="277" t="str">
        <f t="shared" ref="GC7:GC38" si="31">BX7</f>
        <v/>
      </c>
      <c r="GD7" s="277" t="str">
        <f t="shared" ref="GD7:GD38" si="32">BZ7</f>
        <v/>
      </c>
      <c r="GE7" s="277" t="str">
        <f>ZahlenInBereich(Tabelle1[[Empfehlung38]:[Werkzeug40]],ROW()-5)</f>
        <v>Cloud Service Komposition_x000D_(Werkzeug - Dastjerdi )</v>
      </c>
      <c r="GF7" s="277" t="str">
        <f t="shared" ref="GF7:GF38" si="33">CC7</f>
        <v/>
      </c>
      <c r="GG7" s="277" t="str">
        <f t="shared" ref="GG7:GG38" si="34">CE7</f>
        <v/>
      </c>
      <c r="GH7" s="277" t="str">
        <f t="shared" ref="GH7:GH38" si="35">CG7</f>
        <v/>
      </c>
      <c r="GI7" s="277" t="str">
        <f>ZahlenInBereich(Tabelle1[[Empfehlung42]:[Werkzeug44]],ROW()-5)</f>
        <v/>
      </c>
      <c r="GJ7" s="277" t="str">
        <f t="shared" ref="GJ7:GJ38" si="36">CJ7</f>
        <v>SLA Management Aggregation_x000D_(Empfehlung - Muthusamy)</v>
      </c>
      <c r="GK7" s="277" t="str">
        <f t="shared" ref="GK7:GK38" si="37">CL7</f>
        <v/>
      </c>
      <c r="GL7" s="277" t="str">
        <f t="shared" ref="GL7:GL38" si="38">CN7</f>
        <v/>
      </c>
      <c r="GM7" s="277" t="str">
        <f>ZahlenInBereich(Tabelle1[[Empfehlung46]:[Werkzeug48]],ROW()-5)</f>
        <v>SLA Management Aggregation_x000D_(Empfehlung - Muthusamy)</v>
      </c>
      <c r="GN7" s="277" t="str">
        <f t="shared" ref="GN7:GN38" si="39">CQ7</f>
        <v>Application Programming Interface_x000D_(Empfehlung - Demchenko)</v>
      </c>
      <c r="GO7" s="277" t="str">
        <f t="shared" ref="GO7:GO38" si="40">CS7</f>
        <v>SLA Management Aggregation_x000D_(Methode - Stanik)</v>
      </c>
      <c r="GP7" s="277" t="str">
        <f t="shared" ref="GP7:GP38" si="41">CU7</f>
        <v/>
      </c>
      <c r="GQ7" s="277" t="str">
        <f>ZahlenInBereich(Tabelle1[[Empfehlung50]:[Werkzeug52]],ROW()-5)</f>
        <v>Application Programming Interface_x000D_(Empfehlung - Demchenko)</v>
      </c>
      <c r="GR7" s="277" t="str">
        <f t="shared" ref="GR7:GR38" si="42">CX7</f>
        <v>Application Programming Interface_x000D_(Empfehlung - Demchenko)</v>
      </c>
      <c r="GS7" s="277" t="str">
        <f t="shared" ref="GS7:GS38" si="43">CZ7</f>
        <v>Monitoring System_x000D_(Methode - Ludwig )</v>
      </c>
      <c r="GT7" s="277" t="str">
        <f t="shared" ref="GT7:GT38" si="44">DB7</f>
        <v>Atificial Intelligence_x000D_(Werkzeug - Vukovic )</v>
      </c>
      <c r="GU7" s="277" t="str">
        <f>ZahlenInBereich(Tabelle1[[Empfehlung54]:[Werkzeug56]],ROW()-5)</f>
        <v>Application Programming Interface_x000D_(Empfehlung - Demchenko)</v>
      </c>
      <c r="GV7" s="277" t="str">
        <f t="shared" ref="GV7:GV38" si="45">DE7</f>
        <v>Virtualisierungsinfrastruktur_x000D_(Empfehlung - Celesti )</v>
      </c>
      <c r="GW7" s="277" t="str">
        <f t="shared" ref="GW7:GW38" si="46">DG7</f>
        <v>Monitoring System_x000D_(Methode - Aversa)</v>
      </c>
      <c r="GX7" s="277" t="str">
        <f t="shared" ref="GX7:GX38" si="47">DI7</f>
        <v>Datenintegration_x000D_(Werkzeug - Vernik)</v>
      </c>
      <c r="GY7" s="277" t="str">
        <f>ZahlenInBereich(Tabelle1[[Empfehlung58]:[Werkzeug60]],ROW()-5)</f>
        <v>Virtualisierungsinfrastruktur_x000D_(Empfehlung - Celesti )</v>
      </c>
      <c r="GZ7" s="277" t="str">
        <f t="shared" ref="GZ7:GZ38" si="48">DL7</f>
        <v>Application Programming Interface_x000D_(Empfehlung - Demchenko)</v>
      </c>
      <c r="HA7" s="277" t="str">
        <f t="shared" ref="HA7:HA38" si="49">DN7</f>
        <v>Infrastruktur Interpreter_x000D_(Methode - Allison)</v>
      </c>
      <c r="HB7" s="277" t="str">
        <f t="shared" ref="HB7:HB38" si="50">DP7</f>
        <v>Datenintegration_x000D_(Werkzeug - Vernik)</v>
      </c>
      <c r="HC7" s="277" t="str">
        <f>ZahlenInBereich(Tabelle1[[Empfehlung62]:[Werkzeug64]],ROW()-5)</f>
        <v>Application Programming Interface_x000D_(Empfehlung - Demchenko)</v>
      </c>
      <c r="HD7" s="277" t="str">
        <f t="shared" ref="HD7:HD38" si="51">DS7</f>
        <v/>
      </c>
      <c r="HE7" s="277" t="str">
        <f t="shared" ref="HE7:HE38" si="52">DU7</f>
        <v/>
      </c>
      <c r="HF7" s="277" t="str">
        <f t="shared" ref="HF7:HF38" si="53">DW7</f>
        <v/>
      </c>
      <c r="HG7" s="277" t="str">
        <f>ZahlenInBereich(Tabelle1[[Empfehlung66]:[Werkzeug68]],ROW()-5)</f>
        <v/>
      </c>
      <c r="HH7" s="277" t="str">
        <f t="shared" ref="HH7:HH38" si="54">DZ7</f>
        <v>Application Programming Interface_x000D_(Empfehlung - Demchenko)</v>
      </c>
      <c r="HI7" s="277" t="str">
        <f t="shared" ref="HI7:HI38" si="55">EB7</f>
        <v>Infrastruktur Interpreter_x000D_(Methode - Allison)</v>
      </c>
      <c r="HJ7" s="277" t="str">
        <f t="shared" ref="HJ7:HJ38" si="56">ED7</f>
        <v>Datenintegration_x000D_(Werkzeug - Vernik)</v>
      </c>
      <c r="HK7" s="277" t="str">
        <f>ZahlenInBereich(Tabelle1[[Empfehlung70]:[Werkzeug72]],ROW()-5)</f>
        <v>Application Programming Interface_x000D_(Empfehlung - Demchenko)</v>
      </c>
      <c r="HL7" s="277" t="str">
        <f t="shared" ref="HL7:HL38" si="57">EG7</f>
        <v>Datenintegration_x000D_(Empfehlung - Ghafour)</v>
      </c>
      <c r="HM7" s="277" t="str">
        <f t="shared" ref="HM7:HM38" si="58">EI7</f>
        <v/>
      </c>
      <c r="HN7" s="277" t="str">
        <f t="shared" ref="HN7:HN38" si="59">EK7</f>
        <v>Collaboration SaaS_x000D_(Werkzeug - Xia)</v>
      </c>
      <c r="HO7" s="277" t="str">
        <f>ZahlenInBereich(Tabelle1[[Empfehlung74]:[Werkzeug76]],ROW()-5)</f>
        <v>Datenintegration_x000D_(Empfehlung - Ghafour)</v>
      </c>
    </row>
    <row r="8" spans="2:223" ht="48" x14ac:dyDescent="0.2">
      <c r="B8" s="134">
        <f>'1.4 Analyse &amp; Synthese'!B9</f>
        <v>3</v>
      </c>
      <c r="C8" s="277" t="str">
        <f>IF(AND('1.4 Analyse &amp; Synthese'!Q9=1,'1.4 Analyse &amp; Synthese'!F9="Empfehlung"),'1.4 Analyse &amp; Synthese'!I9&amp;CHAR(13)&amp;"("&amp;'(Codierung)'!$C$2&amp;" - "&amp;'1.4 Analyse &amp; Synthese'!C9&amp;")","")</f>
        <v/>
      </c>
      <c r="D8" s="222" t="str">
        <f t="array" ref="D8">_xlfn.IFNA(INDEX($C$6:$C$66,MATCH(0,COUNTIF($D$4:D7,$C$6:$C$66),0),1),"")</f>
        <v/>
      </c>
      <c r="E8" s="277" t="str">
        <f>IF(AND('1.4 Analyse &amp; Synthese'!Q9=1,'1.4 Analyse &amp; Synthese'!F9="Methode"),'1.4 Analyse &amp; Synthese'!I9&amp;CHAR(13)&amp;"("&amp;'(Codierung)'!$C$3&amp;" - "&amp;'1.4 Analyse &amp; Synthese'!C9&amp;")","")</f>
        <v/>
      </c>
      <c r="F8" s="277" t="str">
        <f t="array" ref="F8">_xlfn.IFNA(INDEX($E$6:$E$66,MATCH(0,COUNTIF($F$4:F7,$E$6:$E$66),0),1),"")</f>
        <v/>
      </c>
      <c r="G8" s="277" t="str">
        <f>IF(AND('1.4 Analyse &amp; Synthese'!Q9=1,'1.4 Analyse &amp; Synthese'!F9="Werkzeug"),'1.4 Analyse &amp; Synthese'!I9&amp;CHAR(13)&amp;"("&amp;'(Codierung)'!$C$4&amp;" - "&amp;'1.4 Analyse &amp; Synthese'!C9&amp;")","")</f>
        <v/>
      </c>
      <c r="H8" s="277" t="str">
        <f t="array" ref="H8">_xlfn.IFNA(INDEX($G$6:$G$66,MATCH(0,COUNTIF($H$4:H7,$G$6:$G$66),0),1),"")</f>
        <v>Open-Source Plattform_x000D_(Werkzeug - Zangara)</v>
      </c>
      <c r="J8" s="277" t="str">
        <f>IF(AND('1.4 Analyse &amp; Synthese'!R9=1,'1.4 Analyse &amp; Synthese'!F9="Empfehlung"),'1.4 Analyse &amp; Synthese'!I9&amp;CHAR(13)&amp;"("&amp;'(Codierung)'!$C$2&amp;" - "&amp;'1.4 Analyse &amp; Synthese'!C9&amp;")","")</f>
        <v/>
      </c>
      <c r="K8" s="277" t="str">
        <f t="array" ref="K8">_xlfn.IFNA(INDEX($J$6:$J$66,MATCH(0,COUNTIF($K$4:K7,$J$6:$J$66),0),1),"")</f>
        <v/>
      </c>
      <c r="L8" s="277" t="str">
        <f>IF(AND('1.4 Analyse &amp; Synthese'!R9=1,'1.4 Analyse &amp; Synthese'!F9="Methode"),'1.4 Analyse &amp; Synthese'!I9&amp;CHAR(13)&amp;"("&amp;'(Codierung)'!$C$3&amp;" - "&amp;'1.4 Analyse &amp; Synthese'!C9&amp;")","")</f>
        <v/>
      </c>
      <c r="M8" s="277" t="str">
        <f t="array" ref="M8">_xlfn.IFNA(INDEX($L$6:$L$66,MATCH(0,COUNTIF($M$4:M7,$L$6:$L$66),0),1),"")</f>
        <v>SLA Management Aggregation_x000D_(Methode - Ul Haq)</v>
      </c>
      <c r="N8" s="277" t="str">
        <f>IF(AND('1.4 Analyse &amp; Synthese'!R9=1,'1.4 Analyse &amp; Synthese'!F9="Werkzeug"),'1.4 Analyse &amp; Synthese'!I9&amp;CHAR(13)&amp;"("&amp;'(Codierung)'!$C$4&amp;" - "&amp;'1.4 Analyse &amp; Synthese'!C9&amp;")","")</f>
        <v/>
      </c>
      <c r="O8" s="277" t="str">
        <f t="array" ref="O8">_xlfn.IFNA(INDEX($N$6:$N$66,MATCH(0,COUNTIF($O$4:O7,$N$6:$N$66),0),1),"")</f>
        <v/>
      </c>
      <c r="Q8" s="277" t="str">
        <f>IF(AND('1.4 Analyse &amp; Synthese'!S9=1,'1.4 Analyse &amp; Synthese'!F9="Empfehlung"),'1.4 Analyse &amp; Synthese'!I9&amp;CHAR(13)&amp;"("&amp;'(Codierung)'!$C$2&amp;" - "&amp;'1.4 Analyse &amp; Synthese'!C9&amp;")","")</f>
        <v/>
      </c>
      <c r="R8" s="277" t="str">
        <f t="array" ref="R8">_xlfn.IFNA(INDEX($Q$6:$Q$66,MATCH(0,COUNTIF($R$4:R7,$Q$6:$Q$66),0),1),"")</f>
        <v>Vertragsmanagementanwendung_x000D_(Empfehlung - Bochicchio)</v>
      </c>
      <c r="S8" s="277" t="str">
        <f>IF(AND('1.4 Analyse &amp; Synthese'!S9=1,'1.4 Analyse &amp; Synthese'!F9="Methode"),'1.4 Analyse &amp; Synthese'!I9&amp;CHAR(13)&amp;"("&amp;'(Codierung)'!$C$3&amp;" - "&amp;'1.4 Analyse &amp; Synthese'!C9&amp;")","")</f>
        <v>Monitoring System_x000D_(Methode - Al-Hazmi )</v>
      </c>
      <c r="T8" s="277" t="str">
        <f t="array" ref="T8">_xlfn.IFNA(INDEX($S$6:$S$66,MATCH(0,COUNTIF($T$4:T7,$S$6:$S$66),0),1),"")</f>
        <v>SLA Management Aggregation_x000D_(Methode - Stanik)</v>
      </c>
      <c r="U8" s="277" t="str">
        <f>IF(AND('1.4 Analyse &amp; Synthese'!S9=1,'1.4 Analyse &amp; Synthese'!F9="Werkzeug"),'1.4 Analyse &amp; Synthese'!I9&amp;CHAR(13)&amp;"("&amp;'(Codierung)'!$C$4&amp;" - "&amp;'1.4 Analyse &amp; Synthese'!C9&amp;")","")</f>
        <v/>
      </c>
      <c r="V8" s="277" t="str">
        <f t="array" ref="V8">_xlfn.IFNA(INDEX($U$6:$U$66,MATCH(0,COUNTIF($V$4:V7,$U$6:$U$66),0),1),"")</f>
        <v/>
      </c>
      <c r="X8" s="277" t="str">
        <f>IF(AND('1.4 Analyse &amp; Synthese'!T9=1,'1.4 Analyse &amp; Synthese'!F9="Empfehlung"),'1.4 Analyse &amp; Synthese'!I9&amp;CHAR(13)&amp;"("&amp;'(Codierung)'!$C$2&amp;" - "&amp;'1.4 Analyse &amp; Synthese'!C9&amp;")","")</f>
        <v/>
      </c>
      <c r="Y8" s="277" t="str">
        <f t="array" ref="Y8">_xlfn.IFNA(INDEX($X$6:$X$66,MATCH(0,COUNTIF($Y$4:Y7,$X$6:$X$66),0),1),"")</f>
        <v/>
      </c>
      <c r="Z8" s="277" t="str">
        <f>IF(AND('1.4 Analyse &amp; Synthese'!T9=1,'1.4 Analyse &amp; Synthese'!F9="Methode"),'1.4 Analyse &amp; Synthese'!I9&amp;CHAR(13)&amp;"("&amp;'(Codierung)'!$C$3&amp;" - "&amp;'1.4 Analyse &amp; Synthese'!C9&amp;")","")</f>
        <v/>
      </c>
      <c r="AA8" s="277" t="str">
        <f t="array" ref="AA8">_xlfn.IFNA(INDEX($Z$6:$Z$66,MATCH(0,COUNTIF($AA$4:AA7,$Z$6:$Z$66),0),1),"")</f>
        <v/>
      </c>
      <c r="AB8" s="277" t="str">
        <f>IF(AND('1.4 Analyse &amp; Synthese'!T9=1,'1.4 Analyse &amp; Synthese'!F9="Werkzeug"),'1.4 Analyse &amp; Synthese'!I9&amp;CHAR(13)&amp;"("&amp;'(Codierung)'!$C$4&amp;" - "&amp;'1.4 Analyse &amp; Synthese'!C9&amp;")","")</f>
        <v/>
      </c>
      <c r="AC8" s="277" t="str">
        <f t="array" ref="AC8">_xlfn.IFNA(INDEX($AB$6:$AB$66,MATCH(0,COUNTIF($AC$4:AC7,$AB$6:$AB$66),0),1),"")</f>
        <v/>
      </c>
      <c r="AE8" s="277" t="str">
        <f>IF(AND('1.4 Analyse &amp; Synthese'!U9=1,'1.4 Analyse &amp; Synthese'!F9="Empfehlung"),'1.4 Analyse &amp; Synthese'!I9&amp;CHAR(13)&amp;"("&amp;'(Codierung)'!$C$2&amp;" - "&amp;'1.4 Analyse &amp; Synthese'!C9&amp;")","")</f>
        <v/>
      </c>
      <c r="AF8" s="277" t="str">
        <f t="array" ref="AF8">_xlfn.IFNA(INDEX($AE$6:$AE$66,MATCH(0,COUNTIF($AF$4:AF7,$AE$6:$AE$66),0),1),"")</f>
        <v/>
      </c>
      <c r="AG8" s="277" t="str">
        <f>IF(AND('1.4 Analyse &amp; Synthese'!U9=1,'1.4 Analyse &amp; Synthese'!F9="Methode"),'1.4 Analyse &amp; Synthese'!I9&amp;CHAR(13)&amp;"("&amp;'(Codierung)'!$C$3&amp;" - "&amp;'1.4 Analyse &amp; Synthese'!C9&amp;")","")</f>
        <v/>
      </c>
      <c r="AH8" s="277" t="str">
        <f t="array" ref="AH8">_xlfn.IFNA(INDEX($AG$6:$AG$66,MATCH(0,COUNTIF($AH$4:AH7,$AG$6:$AG$66),0),1),"")</f>
        <v/>
      </c>
      <c r="AI8" s="277" t="str">
        <f>IF(AND('1.4 Analyse &amp; Synthese'!U9=1,'1.4 Analyse &amp; Synthese'!F9="Werkzeug"),'1.4 Analyse &amp; Synthese'!I9&amp;CHAR(13)&amp;"("&amp;'(Codierung)'!$C$4&amp;" - "&amp;'1.4 Analyse &amp; Synthese'!C9&amp;")","")</f>
        <v/>
      </c>
      <c r="AJ8" s="277" t="str">
        <f t="array" ref="AJ8">_xlfn.IFNA(INDEX($AI$6:$AI$66,MATCH(0,COUNTIF($AJ$4:AJ7,$AI$6:$AI$66),0),1),"")</f>
        <v>Open-Source Plattform_x000D_(Werkzeug - Zangara)</v>
      </c>
      <c r="AL8" s="277" t="str">
        <f>IF(AND('1.4 Analyse &amp; Synthese'!V9=1,'1.4 Analyse &amp; Synthese'!F9="Empfehlung"),'1.4 Analyse &amp; Synthese'!I9&amp;CHAR(13)&amp;"("&amp;'(Codierung)'!$C$2&amp;" - "&amp;'1.4 Analyse &amp; Synthese'!C9&amp;")","")</f>
        <v/>
      </c>
      <c r="AM8" s="277" t="str">
        <f t="array" ref="AM8">_xlfn.IFNA(INDEX($AL$6:$AL$66,MATCH(0,COUNTIF($AM$4:AM7,$AL$6:$AL$66),0),1),"")</f>
        <v>Open-Source Plattform_x000D_(Empfehlung - Moscato)</v>
      </c>
      <c r="AN8" s="277" t="str">
        <f>IF(AND('1.4 Analyse &amp; Synthese'!V9=1,'1.4 Analyse &amp; Synthese'!F9="Methode"),'1.4 Analyse &amp; Synthese'!I9&amp;CHAR(13)&amp;"("&amp;'(Codierung)'!$C$3&amp;" - "&amp;'1.4 Analyse &amp; Synthese'!C9&amp;")","")</f>
        <v/>
      </c>
      <c r="AO8" s="277" t="str">
        <f t="array" ref="AO8">_xlfn.IFNA(INDEX($AN$6:$AN$66,MATCH(0,COUNTIF($AO$4:AO7,$AN$6:$AN$66),0),1),"")</f>
        <v/>
      </c>
      <c r="AP8" s="277" t="str">
        <f>IF(AND('1.4 Analyse &amp; Synthese'!V9=1,'1.4 Analyse &amp; Synthese'!F9="Werkzeug"),'1.4 Analyse &amp; Synthese'!I9&amp;CHAR(13)&amp;"("&amp;'(Codierung)'!$C$4&amp;" - "&amp;'1.4 Analyse &amp; Synthese'!C9&amp;")","")</f>
        <v/>
      </c>
      <c r="AQ8" s="277" t="str">
        <f t="array" ref="AQ8">_xlfn.IFNA(INDEX($AP$6:$AP$66,MATCH(0,COUNTIF($AQ$4:AQ7,$AP$6:$AP$66),0),1),"")</f>
        <v/>
      </c>
      <c r="AS8" s="277" t="str">
        <f>IF(AND('1.4 Analyse &amp; Synthese'!W9=1,'1.4 Analyse &amp; Synthese'!F9="Empfehlung"),'1.4 Analyse &amp; Synthese'!I9&amp;CHAR(13)&amp;"("&amp;'(Codierung)'!$C$2&amp;" - "&amp;'1.4 Analyse &amp; Synthese'!C9&amp;")","")</f>
        <v/>
      </c>
      <c r="AT8" s="277" t="str">
        <f t="array" ref="AT8">_xlfn.IFNA(INDEX($AS$6:$AS$66,MATCH(0,COUNTIF($AT$4:AT7,$AS$6:$AS$66),0),1),"")</f>
        <v>Application Programming Interface_x000D_(Empfehlung - Oprescu)</v>
      </c>
      <c r="AU8" s="277" t="str">
        <f>IF(AND('1.4 Analyse &amp; Synthese'!W9=1,'1.4 Analyse &amp; Synthese'!F9="Methode"),'1.4 Analyse &amp; Synthese'!I9&amp;CHAR(13)&amp;"("&amp;'(Codierung)'!$C$3&amp;" - "&amp;'1.4 Analyse &amp; Synthese'!C9&amp;")","")</f>
        <v/>
      </c>
      <c r="AV8" s="277" t="str">
        <f t="array" ref="AV8">_xlfn.IFNA(INDEX($AU$6:$AU$66,MATCH(0,COUNTIF($AV$4:AV7,$AU$6:$AU$66),0),1),"")</f>
        <v/>
      </c>
      <c r="AW8" s="277" t="str">
        <f>IF(AND('1.4 Analyse &amp; Synthese'!W9=1,'1.4 Analyse &amp; Synthese'!F9="Werkzeug"),'1.4 Analyse &amp; Synthese'!I9&amp;CHAR(13)&amp;"("&amp;'(Codierung)'!$C$4&amp;" - "&amp;'1.4 Analyse &amp; Synthese'!C9&amp;")","")</f>
        <v/>
      </c>
      <c r="AX8" s="277" t="str">
        <f t="array" ref="AX8">_xlfn.IFNA(INDEX($AW$6:$AW$66,MATCH(0,COUNTIF($AX$4:AX7,$AW$6:$AW$66),0),1),"")</f>
        <v/>
      </c>
      <c r="AZ8" s="277" t="str">
        <f>IF(AND('1.4 Analyse &amp; Synthese'!X9=1,'1.4 Analyse &amp; Synthese'!F9="Empfehlung"),'1.4 Analyse &amp; Synthese'!I9&amp;CHAR(13)&amp;"("&amp;'(Codierung)'!$C$2&amp;" - "&amp;'1.4 Analyse &amp; Synthese'!C9&amp;")","")</f>
        <v/>
      </c>
      <c r="BA8" s="277" t="str">
        <f t="array" ref="BA8">_xlfn.IFNA(INDEX($AZ$6:$AZ$66,MATCH(0,COUNTIF($BA$4:BA7,$AZ$6:$AZ$66),0),1),"")</f>
        <v>OVF Erweiterung_x000D_(Empfehlung - Haji)</v>
      </c>
      <c r="BB8" s="277" t="str">
        <f>IF(AND('1.4 Analyse &amp; Synthese'!X9=1,'1.4 Analyse &amp; Synthese'!F9="Methode"),'1.4 Analyse &amp; Synthese'!I9&amp;CHAR(13)&amp;"("&amp;'(Codierung)'!$C$3&amp;" - "&amp;'1.4 Analyse &amp; Synthese'!C9&amp;")","")</f>
        <v/>
      </c>
      <c r="BC8" s="277" t="str">
        <f t="array" ref="BC8">_xlfn.IFNA(INDEX($BB$6:$BB$66,MATCH(0,COUNTIF($BC$4:BC7,$BB$6:$BB$66),0),1),"")</f>
        <v/>
      </c>
      <c r="BD8" s="277" t="str">
        <f>IF(AND('1.4 Analyse &amp; Synthese'!X9=1,'1.4 Analyse &amp; Synthese'!F9="Werkzeug"),'1.4 Analyse &amp; Synthese'!I9&amp;CHAR(13)&amp;"("&amp;'(Codierung)'!$C$4&amp;" - "&amp;'1.4 Analyse &amp; Synthese'!C9&amp;")","")</f>
        <v/>
      </c>
      <c r="BE8" s="277" t="str">
        <f t="array" ref="BE8">_xlfn.IFNA(INDEX($BD$6:$BD$66,MATCH(0,COUNTIF($BE$4:BE7,$BD$6:$BD$66),0),1),"")</f>
        <v/>
      </c>
      <c r="BG8" s="277" t="str">
        <f>IF(AND('1.4 Analyse &amp; Synthese'!Y9=1,'1.4 Analyse &amp; Synthese'!F9="Empfehlung"),'1.4 Analyse &amp; Synthese'!I9&amp;CHAR(13)&amp;"("&amp;'(Codierung)'!$C$2&amp;" - "&amp;'1.4 Analyse &amp; Synthese'!C9&amp;")","")</f>
        <v/>
      </c>
      <c r="BH8" s="277" t="str">
        <f t="array" ref="BH8">_xlfn.IFNA(INDEX($BG$6:$BG$66,MATCH(0,COUNTIF($BH$4:BH7,$BG$6:$BG$66),0),1),"")</f>
        <v/>
      </c>
      <c r="BI8" s="277" t="str">
        <f>IF(AND('1.4 Analyse &amp; Synthese'!Y9=1,'1.4 Analyse &amp; Synthese'!F9="Methode"),'1.4 Analyse &amp; Synthese'!I9&amp;CHAR(13)&amp;"("&amp;'(Codierung)'!$C$3&amp;" - "&amp;'1.4 Analyse &amp; Synthese'!C9&amp;")","")</f>
        <v/>
      </c>
      <c r="BJ8" s="277" t="str">
        <f t="array" ref="BJ8">_xlfn.IFNA(INDEX($BI$6:$BI$66,MATCH(0,COUNTIF($BJ$4:BJ7,$BI$6:$BI$66),0),1),"")</f>
        <v/>
      </c>
      <c r="BK8" s="277" t="str">
        <f>IF(AND('1.4 Analyse &amp; Synthese'!Y9=1,'1.4 Analyse &amp; Synthese'!F9="Werkzeug"),'1.4 Analyse &amp; Synthese'!I9&amp;CHAR(13)&amp;"("&amp;'(Codierung)'!$C$4&amp;" - "&amp;'1.4 Analyse &amp; Synthese'!C9&amp;")","")</f>
        <v/>
      </c>
      <c r="BL8" s="277" t="str">
        <f t="array" ref="BL8">_xlfn.IFNA(INDEX($BK$6:$BK$66,MATCH(0,COUNTIF($BL$4:BL7,$BK$6:$BK$66),0),1),"")</f>
        <v/>
      </c>
      <c r="BN8" s="277" t="str">
        <f>IF(AND('1.4 Analyse &amp; Synthese'!Z9=1,'1.4 Analyse &amp; Synthese'!F9="Empfehlung"),'1.4 Analyse &amp; Synthese'!I9&amp;CHAR(13)&amp;"("&amp;'(Codierung)'!$C$2&amp;" - "&amp;'1.4 Analyse &amp; Synthese'!C9&amp;")","")</f>
        <v/>
      </c>
      <c r="BO8" s="277" t="str">
        <f t="array" ref="BO8">_xlfn.IFNA(INDEX($BN$6:$BN$66,MATCH(0,COUNTIF($BO$4:BO7,$BN$6:$BN$66),0),1),"")</f>
        <v>Cloud Service Broker_x000D_(Empfehlung - Jrad)</v>
      </c>
      <c r="BP8" s="277" t="str">
        <f>IF(AND('1.4 Analyse &amp; Synthese'!Z9=1,'1.4 Analyse &amp; Synthese'!F9="Methode"),'1.4 Analyse &amp; Synthese'!I9&amp;CHAR(13)&amp;"("&amp;'(Codierung)'!$C$3&amp;" - "&amp;'1.4 Analyse &amp; Synthese'!C9&amp;")","")</f>
        <v/>
      </c>
      <c r="BQ8" s="277" t="str">
        <f t="array" ref="BQ8">_xlfn.IFNA(INDEX($BP$6:$BP$66,MATCH(0,COUNTIF($BQ$4:BQ7,$BP$6:$BP$66),0),1),"")</f>
        <v/>
      </c>
      <c r="BR8" s="277" t="str">
        <f>IF(AND('1.4 Analyse &amp; Synthese'!Z9=1,'1.4 Analyse &amp; Synthese'!F9="Werkzeug"),'1.4 Analyse &amp; Synthese'!I9&amp;CHAR(13)&amp;"("&amp;'(Codierung)'!$C$4&amp;" - "&amp;'1.4 Analyse &amp; Synthese'!C9&amp;")","")</f>
        <v/>
      </c>
      <c r="BS8" s="277" t="str">
        <f t="array" ref="BS8">_xlfn.IFNA(INDEX($BR$6:$BR$66,MATCH(0,COUNTIF($BS$4:BS7,$BR$6:$BR$66),0),1),"")</f>
        <v>Einheitl. Servicebeschreibung_x000D_(Werkzeug - El-Awadi)</v>
      </c>
      <c r="BU8" s="277" t="str">
        <f>IF(AND('1.4 Analyse &amp; Synthese'!AA9=1,'1.4 Analyse &amp; Synthese'!F9="Empfehlung"),'1.4 Analyse &amp; Synthese'!I9&amp;CHAR(13)&amp;"("&amp;'(Codierung)'!$C$2&amp;" - "&amp;'1.4 Analyse &amp; Synthese'!C9&amp;")","")</f>
        <v/>
      </c>
      <c r="BV8" s="277" t="str">
        <f t="array" ref="BV8">_xlfn.IFNA(INDEX($BU$6:$BU$66,MATCH(0,COUNTIF($BV$4:BV7,$BU$6:$BU$66),0),1),"")</f>
        <v/>
      </c>
      <c r="BW8" s="277" t="str">
        <f>IF(AND('1.4 Analyse &amp; Synthese'!AA9=1,'1.4 Analyse &amp; Synthese'!F9="Methode"),'1.4 Analyse &amp; Synthese'!I9&amp;CHAR(13)&amp;"("&amp;'(Codierung)'!$C$3&amp;" - "&amp;'1.4 Analyse &amp; Synthese'!C9&amp;")","")</f>
        <v/>
      </c>
      <c r="BX8" s="277" t="str">
        <f t="array" ref="BX8">_xlfn.IFNA(INDEX($BW$6:$BW$66,MATCH(0,COUNTIF($BX$4:BX7,$BW$6:$BW$66),0),1),"")</f>
        <v/>
      </c>
      <c r="BY8" s="277" t="str">
        <f>IF(AND('1.4 Analyse &amp; Synthese'!AA9=1,'1.4 Analyse &amp; Synthese'!F9="Werkzeug"),'1.4 Analyse &amp; Synthese'!I9&amp;CHAR(13)&amp;"("&amp;'(Codierung)'!$C$4&amp;" - "&amp;'1.4 Analyse &amp; Synthese'!C9&amp;")","")</f>
        <v/>
      </c>
      <c r="BZ8" s="277" t="str">
        <f t="array" ref="BZ8">_xlfn.IFNA(INDEX($BY$6:$BY$66,MATCH(0,COUNTIF($BZ$4:BZ7,$BY$6:$BY$66),0),1),"")</f>
        <v/>
      </c>
      <c r="CB8" s="277" t="str">
        <f>IF(AND('1.4 Analyse &amp; Synthese'!AB9=1,'1.4 Analyse &amp; Synthese'!F9="Empfehlung"),'1.4 Analyse &amp; Synthese'!I9&amp;CHAR(13)&amp;"("&amp;'(Codierung)'!$C$2&amp;" - "&amp;'1.4 Analyse &amp; Synthese'!C9&amp;")","")</f>
        <v/>
      </c>
      <c r="CC8" s="277" t="str">
        <f t="array" ref="CC8">_xlfn.IFNA(INDEX($CB$6:$CB$66,MATCH(0,COUNTIF($CC$4:CC7,$CB$6:$CB$66),0),1),"")</f>
        <v/>
      </c>
      <c r="CD8" s="277" t="str">
        <f>IF(AND('1.4 Analyse &amp; Synthese'!AB9=1,'1.4 Analyse &amp; Synthese'!F9="Methode"),'1.4 Analyse &amp; Synthese'!I9&amp;CHAR(13)&amp;"("&amp;'(Codierung)'!$C$3&amp;" - "&amp;'1.4 Analyse &amp; Synthese'!C9&amp;")","")</f>
        <v/>
      </c>
      <c r="CE8" s="277" t="str">
        <f t="array" ref="CE8">_xlfn.IFNA(INDEX($CD$6:$CD$66,MATCH(0,COUNTIF($CE$4:CE7,$CD$6:$CD$66),0),1),"")</f>
        <v/>
      </c>
      <c r="CF8" s="277" t="str">
        <f>IF(AND('1.4 Analyse &amp; Synthese'!AB9=1,'1.4 Analyse &amp; Synthese'!F9="Werkzeug"),'1.4 Analyse &amp; Synthese'!I9&amp;CHAR(13)&amp;"("&amp;'(Codierung)'!$C$4&amp;" - "&amp;'1.4 Analyse &amp; Synthese'!C9&amp;")","")</f>
        <v/>
      </c>
      <c r="CG8" s="277" t="str">
        <f t="array" ref="CG8">_xlfn.IFNA(INDEX($CF$6:$CF$66,MATCH(0,COUNTIF($CG$4:CG7,$CF$6:$CF$66),0),1),"")</f>
        <v/>
      </c>
      <c r="CI8" s="277" t="str">
        <f>IF(AND('1.4 Analyse &amp; Synthese'!AC9=1,'1.4 Analyse &amp; Synthese'!F9="Empfehlung"),'1.4 Analyse &amp; Synthese'!I9&amp;CHAR(13)&amp;"("&amp;'(Codierung)'!$C$2&amp;" - "&amp;'1.4 Analyse &amp; Synthese'!C9&amp;")","")</f>
        <v/>
      </c>
      <c r="CJ8" s="277" t="str">
        <f t="array" ref="CJ8">_xlfn.IFNA(INDEX($CI$6:$CI$66,MATCH(0,COUNTIF($CJ$4:CJ7,$CI$6:$CI$66),0),1),"")</f>
        <v>Cultural Frames_x000D_(Empfehlung - Su)</v>
      </c>
      <c r="CK8" s="277" t="str">
        <f>IF(AND('1.4 Analyse &amp; Synthese'!AC9=1,'1.4 Analyse &amp; Synthese'!F9="Methode"),'1.4 Analyse &amp; Synthese'!I9&amp;CHAR(13)&amp;"("&amp;'(Codierung)'!$C$3&amp;" - "&amp;'1.4 Analyse &amp; Synthese'!C9&amp;")","")</f>
        <v/>
      </c>
      <c r="CL8" s="277" t="str">
        <f t="array" ref="CL8">_xlfn.IFNA(INDEX($CK$6:$CK$66,MATCH(0,COUNTIF($CL$4:CL7,$CK$6:$CK$66),0),1),"")</f>
        <v/>
      </c>
      <c r="CM8" s="277" t="str">
        <f>IF(AND('1.4 Analyse &amp; Synthese'!AC9=1,'1.4 Analyse &amp; Synthese'!F9="Werkzeug"),'1.4 Analyse &amp; Synthese'!I9&amp;CHAR(13)&amp;"("&amp;'(Codierung)'!$C$4&amp;" - "&amp;'1.4 Analyse &amp; Synthese'!C9&amp;")","")</f>
        <v/>
      </c>
      <c r="CN8" s="277" t="str">
        <f t="array" ref="CN8">_xlfn.IFNA(INDEX($CM$6:$CM$66,MATCH(0,COUNTIF($CN$4:CN7,$CM$6:$CM$66),0),1),"")</f>
        <v/>
      </c>
      <c r="CP8" s="277" t="str">
        <f>IF(AND('1.4 Analyse &amp; Synthese'!AD9=1,'1.4 Analyse &amp; Synthese'!F9="Empfehlung"),'1.4 Analyse &amp; Synthese'!I9&amp;CHAR(13)&amp;"("&amp;'(Codierung)'!$C$2&amp;" - "&amp;'1.4 Analyse &amp; Synthese'!C9&amp;")","")</f>
        <v/>
      </c>
      <c r="CQ8" s="277" t="str">
        <f t="array" ref="CQ8">_xlfn.IFNA(INDEX($CP$6:$CP$66,MATCH(0,COUNTIF($CQ$4:CQ7,$CP$6:$CP$66),0),1),"")</f>
        <v>OVF Erweiterung_x000D_(Empfehlung - Haji)</v>
      </c>
      <c r="CR8" s="277" t="str">
        <f>IF(AND('1.4 Analyse &amp; Synthese'!AD9=1,'1.4 Analyse &amp; Synthese'!F9="Methode"),'1.4 Analyse &amp; Synthese'!I9&amp;CHAR(13)&amp;"("&amp;'(Codierung)'!$C$3&amp;" - "&amp;'1.4 Analyse &amp; Synthese'!C9&amp;")","")</f>
        <v>Monitoring System_x000D_(Methode - Al-Hazmi )</v>
      </c>
      <c r="CS8" s="277" t="str">
        <f t="array" ref="CS8">_xlfn.IFNA(INDEX($CR$6:$CR$66,MATCH(0,COUNTIF($CS$4:CS7,$CR$6:$CR$66),0),1),"")</f>
        <v/>
      </c>
      <c r="CT8" s="277" t="str">
        <f>IF(AND('1.4 Analyse &amp; Synthese'!AD9=1,'1.4 Analyse &amp; Synthese'!F9="Werkzeug"),'1.4 Analyse &amp; Synthese'!I9&amp;CHAR(13)&amp;"("&amp;'(Codierung)'!$C$4&amp;" - "&amp;'1.4 Analyse &amp; Synthese'!C9&amp;")","")</f>
        <v/>
      </c>
      <c r="CU8" s="277" t="str">
        <f t="array" ref="CU8">_xlfn.IFNA(INDEX($CT$6:$CT$66,MATCH(0,COUNTIF($CU$4:CU7,$CT$6:$CT$66),0),1),"")</f>
        <v/>
      </c>
      <c r="CW8" s="277" t="str">
        <f>IF(AND('1.4 Analyse &amp; Synthese'!AE9=1,'1.4 Analyse &amp; Synthese'!F9="Empfehlung"),'1.4 Analyse &amp; Synthese'!I9&amp;CHAR(13)&amp;"("&amp;'(Codierung)'!$C$2&amp;" - "&amp;'1.4 Analyse &amp; Synthese'!C9&amp;")","")</f>
        <v/>
      </c>
      <c r="CX8" s="277" t="str">
        <f t="array" ref="CX8">_xlfn.IFNA(INDEX($CW$6:$CW$66,MATCH(0,COUNTIF($CX$4:CX7,$CW$6:$CW$66),0),1),"")</f>
        <v>Datenintegration_x000D_(Empfehlung - Ghafour)</v>
      </c>
      <c r="CY8" s="277" t="str">
        <f>IF(AND('1.4 Analyse &amp; Synthese'!AE9=1,'1.4 Analyse &amp; Synthese'!F9="Methode"),'1.4 Analyse &amp; Synthese'!I9&amp;CHAR(13)&amp;"("&amp;'(Codierung)'!$C$3&amp;" - "&amp;'1.4 Analyse &amp; Synthese'!C9&amp;")","")</f>
        <v>Monitoring System_x000D_(Methode - Al-Hazmi )</v>
      </c>
      <c r="CZ8" s="277" t="str">
        <f t="array" ref="CZ8">_xlfn.IFNA(INDEX($CY$6:$CY$66,MATCH(0,COUNTIF($CZ$4:CZ7,$CY$6:$CY$66),0),1),"")</f>
        <v>Monitoring System_x000D_(Methode - Tata)</v>
      </c>
      <c r="DA8" s="277" t="str">
        <f>IF(AND('1.4 Analyse &amp; Synthese'!AE9=1,'1.4 Analyse &amp; Synthese'!F9="Werkzeug"),'1.4 Analyse &amp; Synthese'!I9&amp;CHAR(13)&amp;"("&amp;'(Codierung)'!$C$4&amp;" - "&amp;'1.4 Analyse &amp; Synthese'!C9&amp;")","")</f>
        <v/>
      </c>
      <c r="DB8" s="277" t="str">
        <f t="array" ref="DB8">_xlfn.IFNA(INDEX($DA$6:$DA$66,MATCH(0,COUNTIF($DB$4:DB7,$DA$6:$DA$66),0),1),"")</f>
        <v>Open-Source Plattform_x000D_(Werkzeug - Zangara)</v>
      </c>
      <c r="DD8" s="277" t="str">
        <f>IF(AND('1.4 Analyse &amp; Synthese'!AF9=1,'1.4 Analyse &amp; Synthese'!F9="Empfehlung"),'1.4 Analyse &amp; Synthese'!I9&amp;CHAR(13)&amp;"("&amp;'(Codierung)'!$C$2&amp;" - "&amp;'1.4 Analyse &amp; Synthese'!C9&amp;")","")</f>
        <v/>
      </c>
      <c r="DE8" s="277" t="str">
        <f t="array" ref="DE8">_xlfn.IFNA(INDEX($DD$6:$DD$66,MATCH(0,COUNTIF($DE$4:DE7,$DD$6:$DD$66),0),1),"")</f>
        <v>Cloud Service Komposition_x000D_(Empfehlung - Gonidis )</v>
      </c>
      <c r="DF8" s="277" t="str">
        <f>IF(AND('1.4 Analyse &amp; Synthese'!AF9=1,'1.4 Analyse &amp; Synthese'!F9="Methode"),'1.4 Analyse &amp; Synthese'!I9&amp;CHAR(13)&amp;"("&amp;'(Codierung)'!$C$3&amp;" - "&amp;'1.4 Analyse &amp; Synthese'!C9&amp;")","")</f>
        <v/>
      </c>
      <c r="DG8" s="277" t="str">
        <f t="array" ref="DG8">_xlfn.IFNA(INDEX($DF$6:$DF$66,MATCH(0,COUNTIF($DG$4:DG7,$DF$6:$DF$66),0),1),"")</f>
        <v>Open-Source Plattform_x000D_(Methode - Ferry)</v>
      </c>
      <c r="DH8" s="277" t="str">
        <f>IF(AND('1.4 Analyse &amp; Synthese'!AF9=1,'1.4 Analyse &amp; Synthese'!F9="Werkzeug"),'1.4 Analyse &amp; Synthese'!I9&amp;CHAR(13)&amp;"("&amp;'(Codierung)'!$C$4&amp;" - "&amp;'1.4 Analyse &amp; Synthese'!C9&amp;")","")</f>
        <v/>
      </c>
      <c r="DI8" s="277" t="str">
        <f t="array" ref="DI8">_xlfn.IFNA(INDEX($DH$6:$DH$66,MATCH(0,COUNTIF($DI$4:DI7,$DH$6:$DH$66),0),1),"")</f>
        <v>Collaboration SaaS_x000D_(Werkzeug - Xia)</v>
      </c>
      <c r="DK8" s="277" t="str">
        <f>IF(AND('1.4 Analyse &amp; Synthese'!AG9=1,'1.4 Analyse &amp; Synthese'!F9="Empfehlung"),'1.4 Analyse &amp; Synthese'!I9&amp;CHAR(13)&amp;"("&amp;'(Codierung)'!$C$2&amp;" - "&amp;'1.4 Analyse &amp; Synthese'!C9&amp;")","")</f>
        <v/>
      </c>
      <c r="DL8" s="277" t="str">
        <f t="array" ref="DL8">_xlfn.IFNA(INDEX($DK$6:$DK$66,MATCH(0,COUNTIF($DL$4:DL7,$DK$6:$DK$66),0),1),"")</f>
        <v>Datenintegration_x000D_(Empfehlung - Ghafour)</v>
      </c>
      <c r="DM8" s="277" t="str">
        <f>IF(AND('1.4 Analyse &amp; Synthese'!AG9=1,'1.4 Analyse &amp; Synthese'!F9="Methode"),'1.4 Analyse &amp; Synthese'!I9&amp;CHAR(13)&amp;"("&amp;'(Codierung)'!$C$3&amp;" - "&amp;'1.4 Analyse &amp; Synthese'!C9&amp;")","")</f>
        <v>Monitoring System_x000D_(Methode - Al-Hazmi )</v>
      </c>
      <c r="DN8" s="277" t="str">
        <f t="array" ref="DN8">_xlfn.IFNA(INDEX($DM$6:$DM$66,MATCH(0,COUNTIF($DN$4:DN7,$DM$6:$DM$66),0),1),"")</f>
        <v>Monitoring System_x000D_(Methode - Aversa)</v>
      </c>
      <c r="DO8" s="277" t="str">
        <f>IF(AND('1.4 Analyse &amp; Synthese'!AG9=1,'1.4 Analyse &amp; Synthese'!F9="Werkzeug"),'1.4 Analyse &amp; Synthese'!I9&amp;CHAR(13)&amp;"("&amp;'(Codierung)'!$C$4&amp;" - "&amp;'1.4 Analyse &amp; Synthese'!C9&amp;")","")</f>
        <v/>
      </c>
      <c r="DP8" s="277" t="str">
        <f t="array" ref="DP8">_xlfn.IFNA(INDEX($DO$6:$DO$66,MATCH(0,COUNTIF($DP$4:DP7,$DO$6:$DO$66),0),1),"")</f>
        <v>Open-Source Plattform_x000D_(Werkzeug - Yangui)</v>
      </c>
      <c r="DR8" s="277" t="str">
        <f>IF(AND('1.4 Analyse &amp; Synthese'!AH9=1,'1.4 Analyse &amp; Synthese'!F9="Empfehlung"),'1.4 Analyse &amp; Synthese'!I9&amp;CHAR(13)&amp;"("&amp;'(Codierung)'!$C$2&amp;" - "&amp;'1.4 Analyse &amp; Synthese'!C9&amp;")","")</f>
        <v/>
      </c>
      <c r="DS8" s="277" t="str">
        <f t="array" ref="DS8">_xlfn.IFNA(INDEX($DR$6:$DR$66,MATCH(0,COUNTIF($DS$4:DS7,$DR$6:$DR$66),0),1),"")</f>
        <v/>
      </c>
      <c r="DT8" s="277" t="str">
        <f>IF(AND('1.4 Analyse &amp; Synthese'!AH9=1,'1.4 Analyse &amp; Synthese'!F9="Methode"),'1.4 Analyse &amp; Synthese'!I9&amp;CHAR(13)&amp;"("&amp;'(Codierung)'!$C$3&amp;" - "&amp;'1.4 Analyse &amp; Synthese'!C9&amp;")","")</f>
        <v/>
      </c>
      <c r="DU8" s="277" t="str">
        <f t="array" ref="DU8">_xlfn.IFNA(INDEX($DT$6:$DT$66,MATCH(0,COUNTIF($DU$4:DU7,$DT$6:$DT$66),0),1),"")</f>
        <v/>
      </c>
      <c r="DV8" s="277" t="str">
        <f>IF(AND('1.4 Analyse &amp; Synthese'!AH9=1,'1.4 Analyse &amp; Synthese'!F9="Werkzeug"),'1.4 Analyse &amp; Synthese'!I9&amp;CHAR(13)&amp;"("&amp;'(Codierung)'!$C$4&amp;" - "&amp;'1.4 Analyse &amp; Synthese'!C9&amp;")","")</f>
        <v/>
      </c>
      <c r="DW8" s="277" t="str">
        <f t="array" ref="DW8">_xlfn.IFNA(INDEX($DV$6:$DV$66,MATCH(0,COUNTIF($DW$4:DW7,$DV$6:$DV$66),0),1),"")</f>
        <v/>
      </c>
      <c r="DY8" s="277" t="str">
        <f>IF(AND('1.4 Analyse &amp; Synthese'!AI9=1,'1.4 Analyse &amp; Synthese'!F9="Empfehlung"),'1.4 Analyse &amp; Synthese'!I9&amp;CHAR(13)&amp;"("&amp;'(Codierung)'!$C$2&amp;" - "&amp;'1.4 Analyse &amp; Synthese'!C9&amp;")","")</f>
        <v/>
      </c>
      <c r="DZ8" s="277" t="str">
        <f t="array" ref="DZ8">_xlfn.IFNA(INDEX($DY$6:$DY$66,MATCH(0,COUNTIF($DZ$4:DZ7,$DY$6:$DY$66),0),1),"")</f>
        <v>Datenintegration_x000D_(Empfehlung - Ghafour)</v>
      </c>
      <c r="EA8" s="277" t="str">
        <f>IF(AND('1.4 Analyse &amp; Synthese'!AI9=1,'1.4 Analyse &amp; Synthese'!F9="Methode"),'1.4 Analyse &amp; Synthese'!I9&amp;CHAR(13)&amp;"("&amp;'(Codierung)'!$C$3&amp;" - "&amp;'1.4 Analyse &amp; Synthese'!C9&amp;")","")</f>
        <v>Monitoring System_x000D_(Methode - Al-Hazmi )</v>
      </c>
      <c r="EB8" s="277" t="str">
        <f t="array" ref="EB8">_xlfn.IFNA(INDEX($EA$6:$EA$66,MATCH(0,COUNTIF($EB$4:EB7,$EA$6:$EA$66),0),1),"")</f>
        <v>Monitoring System_x000D_(Methode - Aversa)</v>
      </c>
      <c r="EC8" s="277" t="str">
        <f>IF(AND('1.4 Analyse &amp; Synthese'!AI9=1,'1.4 Analyse &amp; Synthese'!F9="Werkzeug"),'1.4 Analyse &amp; Synthese'!I9&amp;CHAR(13)&amp;"("&amp;'(Codierung)'!$C$4&amp;" - "&amp;'1.4 Analyse &amp; Synthese'!C9&amp;")","")</f>
        <v/>
      </c>
      <c r="ED8" s="277" t="str">
        <f t="array" ref="ED8">_xlfn.IFNA(INDEX($EC$6:$EC$66,MATCH(0,COUNTIF($ED$4:ED7,$EC$6:$EC$66),0),1),"")</f>
        <v>Open-Source Plattform_x000D_(Werkzeug - Yangui)</v>
      </c>
      <c r="EF8" s="277" t="str">
        <f>IF(AND('1.4 Analyse &amp; Synthese'!AJ9=1,'1.4 Analyse &amp; Synthese'!F9="Empfehlung"),'1.4 Analyse &amp; Synthese'!I9&amp;CHAR(13)&amp;"("&amp;'(Codierung)'!$C$2&amp;" - "&amp;'1.4 Analyse &amp; Synthese'!C9&amp;")","")</f>
        <v/>
      </c>
      <c r="EG8" s="277" t="str">
        <f t="array" ref="EG8">_xlfn.IFNA(INDEX($EF$6:$EF$66,MATCH(0,COUNTIF($EG$4:EG7,$EF$6:$EF$66),0),1),"")</f>
        <v/>
      </c>
      <c r="EH8" s="277" t="str">
        <f>IF(AND('1.4 Analyse &amp; Synthese'!AJ9=1,'1.4 Analyse &amp; Synthese'!F9="Methode"),'1.4 Analyse &amp; Synthese'!I9&amp;CHAR(13)&amp;"("&amp;'(Codierung)'!$C$3&amp;" - "&amp;'1.4 Analyse &amp; Synthese'!C9&amp;")","")</f>
        <v/>
      </c>
      <c r="EI8" s="277" t="str">
        <f t="array" ref="EI8">_xlfn.IFNA(INDEX($EH$6:$EH$66,MATCH(0,COUNTIF($EI$4:EI7,$EH$6:$EH$66),0),1),"")</f>
        <v/>
      </c>
      <c r="EJ8" s="277" t="str">
        <f>IF(AND('1.4 Analyse &amp; Synthese'!AJ9=1,'1.4 Analyse &amp; Synthese'!F9="Werkzeug"),'1.4 Analyse &amp; Synthese'!I9&amp;CHAR(13)&amp;"("&amp;'(Codierung)'!$C$4&amp;" - "&amp;'1.4 Analyse &amp; Synthese'!C9&amp;")","")</f>
        <v/>
      </c>
      <c r="EK8" s="277" t="str">
        <f t="array" ref="EK8">_xlfn.IFNA(INDEX($EJ$6:$EJ$66,MATCH(0,COUNTIF($EK$4:EK7,$EJ$6:$EJ$66),0),1),"")</f>
        <v/>
      </c>
      <c r="EN8" s="222" t="str">
        <f t="shared" si="0"/>
        <v/>
      </c>
      <c r="EO8" s="277" t="str">
        <f t="shared" si="1"/>
        <v/>
      </c>
      <c r="EP8" s="277" t="str">
        <f t="shared" si="2"/>
        <v>Open-Source Plattform_x000D_(Werkzeug - Zangara)</v>
      </c>
      <c r="EQ8" s="277" t="str">
        <f>ZahlenInBereich(Tabelle1[[Empfehlung]:[Werkzeug]],ROW()-5)</f>
        <v>Atificial Intelligence_x000D_(Werkzeug - Chhetri)</v>
      </c>
      <c r="ER8" s="277" t="str">
        <f t="shared" si="3"/>
        <v/>
      </c>
      <c r="ES8" s="277" t="str">
        <f t="shared" si="4"/>
        <v>SLA Management Aggregation_x000D_(Methode - Ul Haq)</v>
      </c>
      <c r="ET8" s="277" t="str">
        <f t="shared" si="5"/>
        <v/>
      </c>
      <c r="EU8" s="277" t="str">
        <f>ZahlenInBereich(Tabelle1[[Empfehlung2]:[Werkzeug4]],ROW()-5)</f>
        <v>Infrastruktur Interpreter_x000D_(Methode - Allison)</v>
      </c>
      <c r="EV8" s="277" t="str">
        <f t="shared" si="6"/>
        <v>Vertragsmanagementanwendung_x000D_(Empfehlung - Bochicchio)</v>
      </c>
      <c r="EW8" s="277" t="str">
        <f t="shared" si="7"/>
        <v>SLA Management Aggregation_x000D_(Methode - Stanik)</v>
      </c>
      <c r="EX8" s="277" t="str">
        <f t="shared" si="8"/>
        <v/>
      </c>
      <c r="EY8" s="277" t="str">
        <f>ZahlenInBereich(Tabelle1[[Empfehlung6]:[Werkzeug8]],ROW()-5)</f>
        <v>Vertragsmanagementanwendung_x000D_(Empfehlung - Bochicchio)</v>
      </c>
      <c r="EZ8" s="277" t="str">
        <f t="shared" si="9"/>
        <v/>
      </c>
      <c r="FA8" s="277" t="str">
        <f t="shared" si="10"/>
        <v/>
      </c>
      <c r="FB8" s="277" t="str">
        <f t="shared" si="11"/>
        <v/>
      </c>
      <c r="FC8" s="277" t="str">
        <f>ZahlenInBereich(Tabelle1[[Empfehlung10]:[Werkzeug12]],ROW()-5)</f>
        <v/>
      </c>
      <c r="FD8" s="277" t="str">
        <f t="shared" si="12"/>
        <v/>
      </c>
      <c r="FE8" s="277" t="str">
        <f t="shared" si="13"/>
        <v/>
      </c>
      <c r="FF8" s="277" t="str">
        <f t="shared" si="14"/>
        <v>Open-Source Plattform_x000D_(Werkzeug - Zangara)</v>
      </c>
      <c r="FG8" s="277" t="str">
        <f>ZahlenInBereich(Tabelle1[[Empfehlung14]:[Werkzeug16]],ROW()-5)</f>
        <v>Open-Source Plattform_x000D_(Werkzeug - Yangui)</v>
      </c>
      <c r="FH8" s="277" t="str">
        <f t="shared" si="15"/>
        <v>Open-Source Plattform_x000D_(Empfehlung - Moscato)</v>
      </c>
      <c r="FI8" s="277" t="str">
        <f t="shared" si="16"/>
        <v/>
      </c>
      <c r="FJ8" s="277" t="str">
        <f t="shared" si="17"/>
        <v/>
      </c>
      <c r="FK8" s="277" t="str">
        <f>ZahlenInBereich(Tabelle1[[Empfehlung18]:[Werkzeug20]],ROW()-5)</f>
        <v>Open-Source Plattform_x000D_(Empfehlung - Moscato)</v>
      </c>
      <c r="FL8" s="277" t="str">
        <f t="shared" si="18"/>
        <v>Application Programming Interface_x000D_(Empfehlung - Oprescu)</v>
      </c>
      <c r="FM8" s="277" t="str">
        <f t="shared" si="19"/>
        <v/>
      </c>
      <c r="FN8" s="277" t="str">
        <f t="shared" si="20"/>
        <v/>
      </c>
      <c r="FO8" s="277" t="str">
        <f>ZahlenInBereich(Tabelle1[[Empfehlung22]:[Werkzeug24]],ROW()-5)</f>
        <v>Application Programming Interface_x000D_(Empfehlung - Oprescu)</v>
      </c>
      <c r="FP8" s="277" t="str">
        <f t="shared" si="21"/>
        <v>OVF Erweiterung_x000D_(Empfehlung - Haji)</v>
      </c>
      <c r="FQ8" s="277" t="str">
        <f t="shared" si="22"/>
        <v/>
      </c>
      <c r="FR8" s="277" t="str">
        <f t="shared" si="23"/>
        <v/>
      </c>
      <c r="FS8" s="277" t="str">
        <f>ZahlenInBereich(Tabelle1[[Empfehlung26]:[Werkzeug28]],ROW()-5)</f>
        <v>OVF Erweiterung_x000D_(Empfehlung - Haji)</v>
      </c>
      <c r="FT8" s="277" t="str">
        <f t="shared" si="24"/>
        <v/>
      </c>
      <c r="FU8" s="277" t="str">
        <f t="shared" si="25"/>
        <v/>
      </c>
      <c r="FV8" s="277" t="str">
        <f t="shared" si="26"/>
        <v/>
      </c>
      <c r="FW8" s="277" t="str">
        <f>ZahlenInBereich(Tabelle1[[Empfehlung30]:[Werkzeug32]],ROW()-5)</f>
        <v/>
      </c>
      <c r="FX8" s="277" t="str">
        <f t="shared" si="27"/>
        <v>Cloud Service Broker_x000D_(Empfehlung - Jrad)</v>
      </c>
      <c r="FY8" s="277" t="str">
        <f t="shared" si="28"/>
        <v/>
      </c>
      <c r="FZ8" s="277" t="str">
        <f t="shared" si="29"/>
        <v>Einheitl. Servicebeschreibung_x000D_(Werkzeug - El-Awadi)</v>
      </c>
      <c r="GA8" s="277" t="str">
        <f>ZahlenInBereich(Tabelle1[[Empfehlung34]:[Werkzeug36]],ROW()-5)</f>
        <v>Cloud Service Broker_x000D_(Empfehlung - Jrad)</v>
      </c>
      <c r="GB8" s="277" t="str">
        <f t="shared" si="30"/>
        <v/>
      </c>
      <c r="GC8" s="277" t="str">
        <f t="shared" si="31"/>
        <v/>
      </c>
      <c r="GD8" s="277" t="str">
        <f t="shared" si="32"/>
        <v/>
      </c>
      <c r="GE8" s="277" t="str">
        <f>ZahlenInBereich(Tabelle1[[Empfehlung38]:[Werkzeug40]],ROW()-5)</f>
        <v/>
      </c>
      <c r="GF8" s="277" t="str">
        <f t="shared" si="33"/>
        <v/>
      </c>
      <c r="GG8" s="277" t="str">
        <f t="shared" si="34"/>
        <v/>
      </c>
      <c r="GH8" s="277" t="str">
        <f t="shared" si="35"/>
        <v/>
      </c>
      <c r="GI8" s="277" t="str">
        <f>ZahlenInBereich(Tabelle1[[Empfehlung42]:[Werkzeug44]],ROW()-5)</f>
        <v/>
      </c>
      <c r="GJ8" s="277" t="str">
        <f t="shared" si="36"/>
        <v>Cultural Frames_x000D_(Empfehlung - Su)</v>
      </c>
      <c r="GK8" s="277" t="str">
        <f t="shared" si="37"/>
        <v/>
      </c>
      <c r="GL8" s="277" t="str">
        <f t="shared" si="38"/>
        <v/>
      </c>
      <c r="GM8" s="277" t="str">
        <f>ZahlenInBereich(Tabelle1[[Empfehlung46]:[Werkzeug48]],ROW()-5)</f>
        <v>Cultural Frames_x000D_(Empfehlung - Su)</v>
      </c>
      <c r="GN8" s="277" t="str">
        <f t="shared" si="39"/>
        <v>OVF Erweiterung_x000D_(Empfehlung - Haji)</v>
      </c>
      <c r="GO8" s="277" t="str">
        <f t="shared" si="40"/>
        <v/>
      </c>
      <c r="GP8" s="277" t="str">
        <f t="shared" si="41"/>
        <v/>
      </c>
      <c r="GQ8" s="277" t="str">
        <f>ZahlenInBereich(Tabelle1[[Empfehlung50]:[Werkzeug52]],ROW()-5)</f>
        <v>OVF Erweiterung_x000D_(Empfehlung - Haji)</v>
      </c>
      <c r="GR8" s="277" t="str">
        <f t="shared" si="42"/>
        <v>Datenintegration_x000D_(Empfehlung - Ghafour)</v>
      </c>
      <c r="GS8" s="277" t="str">
        <f t="shared" si="43"/>
        <v>Monitoring System_x000D_(Methode - Tata)</v>
      </c>
      <c r="GT8" s="277" t="str">
        <f t="shared" si="44"/>
        <v>Open-Source Plattform_x000D_(Werkzeug - Zangara)</v>
      </c>
      <c r="GU8" s="277" t="str">
        <f>ZahlenInBereich(Tabelle1[[Empfehlung54]:[Werkzeug56]],ROW()-5)</f>
        <v>Datenintegration_x000D_(Empfehlung - Ghafour)</v>
      </c>
      <c r="GV8" s="277" t="str">
        <f t="shared" si="45"/>
        <v>Cloud Service Komposition_x000D_(Empfehlung - Gonidis )</v>
      </c>
      <c r="GW8" s="277" t="str">
        <f t="shared" si="46"/>
        <v>Open-Source Plattform_x000D_(Methode - Ferry)</v>
      </c>
      <c r="GX8" s="277" t="str">
        <f t="shared" si="47"/>
        <v>Collaboration SaaS_x000D_(Werkzeug - Xia)</v>
      </c>
      <c r="GY8" s="277" t="str">
        <f>ZahlenInBereich(Tabelle1[[Empfehlung58]:[Werkzeug60]],ROW()-5)</f>
        <v>Cloud Service Komposition_x000D_(Empfehlung - Gonidis )</v>
      </c>
      <c r="GZ8" s="277" t="str">
        <f t="shared" si="48"/>
        <v>Datenintegration_x000D_(Empfehlung - Ghafour)</v>
      </c>
      <c r="HA8" s="277" t="str">
        <f t="shared" si="49"/>
        <v>Monitoring System_x000D_(Methode - Aversa)</v>
      </c>
      <c r="HB8" s="277" t="str">
        <f t="shared" si="50"/>
        <v>Open-Source Plattform_x000D_(Werkzeug - Yangui)</v>
      </c>
      <c r="HC8" s="277" t="str">
        <f>ZahlenInBereich(Tabelle1[[Empfehlung62]:[Werkzeug64]],ROW()-5)</f>
        <v>Datenintegration_x000D_(Empfehlung - Ghafour)</v>
      </c>
      <c r="HD8" s="277" t="str">
        <f t="shared" si="51"/>
        <v/>
      </c>
      <c r="HE8" s="277" t="str">
        <f t="shared" si="52"/>
        <v/>
      </c>
      <c r="HF8" s="277" t="str">
        <f t="shared" si="53"/>
        <v/>
      </c>
      <c r="HG8" s="277" t="str">
        <f>ZahlenInBereich(Tabelle1[[Empfehlung66]:[Werkzeug68]],ROW()-5)</f>
        <v/>
      </c>
      <c r="HH8" s="277" t="str">
        <f t="shared" si="54"/>
        <v>Datenintegration_x000D_(Empfehlung - Ghafour)</v>
      </c>
      <c r="HI8" s="277" t="str">
        <f t="shared" si="55"/>
        <v>Monitoring System_x000D_(Methode - Aversa)</v>
      </c>
      <c r="HJ8" s="277" t="str">
        <f t="shared" si="56"/>
        <v>Open-Source Plattform_x000D_(Werkzeug - Yangui)</v>
      </c>
      <c r="HK8" s="277" t="str">
        <f>ZahlenInBereich(Tabelle1[[Empfehlung70]:[Werkzeug72]],ROW()-5)</f>
        <v>Datenintegration_x000D_(Empfehlung - Ghafour)</v>
      </c>
      <c r="HL8" s="277" t="str">
        <f t="shared" si="57"/>
        <v/>
      </c>
      <c r="HM8" s="277" t="str">
        <f t="shared" si="58"/>
        <v/>
      </c>
      <c r="HN8" s="277" t="str">
        <f t="shared" si="59"/>
        <v/>
      </c>
      <c r="HO8" s="277" t="str">
        <f>ZahlenInBereich(Tabelle1[[Empfehlung74]:[Werkzeug76]],ROW()-5)</f>
        <v>Open-Source Plattform_x000D_(Methode - Ferry)</v>
      </c>
    </row>
    <row r="9" spans="2:223" ht="32" x14ac:dyDescent="0.2">
      <c r="B9" s="134">
        <f>'1.4 Analyse &amp; Synthese'!B10</f>
        <v>4</v>
      </c>
      <c r="C9" s="277" t="str">
        <f>IF(AND('1.4 Analyse &amp; Synthese'!Q10=1,'1.4 Analyse &amp; Synthese'!F10="Empfehlung"),'1.4 Analyse &amp; Synthese'!I10&amp;CHAR(13)&amp;"("&amp;'(Codierung)'!$C$2&amp;" - "&amp;'1.4 Analyse &amp; Synthese'!C10&amp;")","")</f>
        <v/>
      </c>
      <c r="D9" s="222" t="str">
        <f t="array" ref="D9">_xlfn.IFNA(INDEX($C$6:$C$66,MATCH(0,COUNTIF($D$4:D8,$C$6:$C$66),0),1),"")</f>
        <v/>
      </c>
      <c r="E9" s="277" t="str">
        <f>IF(AND('1.4 Analyse &amp; Synthese'!Q10=1,'1.4 Analyse &amp; Synthese'!F10="Methode"),'1.4 Analyse &amp; Synthese'!I10&amp;CHAR(13)&amp;"("&amp;'(Codierung)'!$C$3&amp;" - "&amp;'1.4 Analyse &amp; Synthese'!C10&amp;")","")</f>
        <v/>
      </c>
      <c r="F9" s="277" t="str">
        <f t="array" ref="F9">_xlfn.IFNA(INDEX($E$6:$E$66,MATCH(0,COUNTIF($F$4:F8,$E$6:$E$66),0),1),"")</f>
        <v/>
      </c>
      <c r="G9" s="277" t="str">
        <f>IF(AND('1.4 Analyse &amp; Synthese'!Q10=1,'1.4 Analyse &amp; Synthese'!F10="Werkzeug"),'1.4 Analyse &amp; Synthese'!I10&amp;CHAR(13)&amp;"("&amp;'(Codierung)'!$C$4&amp;" - "&amp;'1.4 Analyse &amp; Synthese'!C10&amp;")","")</f>
        <v/>
      </c>
      <c r="H9" s="277" t="str">
        <f t="array" ref="H9">_xlfn.IFNA(INDEX($G$6:$G$66,MATCH(0,COUNTIF($H$4:H8,$G$6:$G$66),0),1),"")</f>
        <v/>
      </c>
      <c r="J9" s="277" t="str">
        <f>IF(AND('1.4 Analyse &amp; Synthese'!R10=1,'1.4 Analyse &amp; Synthese'!F10="Empfehlung"),'1.4 Analyse &amp; Synthese'!I10&amp;CHAR(13)&amp;"("&amp;'(Codierung)'!$C$2&amp;" - "&amp;'1.4 Analyse &amp; Synthese'!C10&amp;")","")</f>
        <v/>
      </c>
      <c r="K9" s="277" t="str">
        <f t="array" ref="K9">_xlfn.IFNA(INDEX($J$6:$J$66,MATCH(0,COUNTIF($K$4:K8,$J$6:$J$66),0),1),"")</f>
        <v/>
      </c>
      <c r="L9" s="277" t="str">
        <f>IF(AND('1.4 Analyse &amp; Synthese'!R10=1,'1.4 Analyse &amp; Synthese'!F10="Methode"),'1.4 Analyse &amp; Synthese'!I10&amp;CHAR(13)&amp;"("&amp;'(Codierung)'!$C$3&amp;" - "&amp;'1.4 Analyse &amp; Synthese'!C10&amp;")","")</f>
        <v>Infrastruktur Interpreter_x000D_(Methode - Allison)</v>
      </c>
      <c r="M9" s="277" t="str">
        <f t="array" ref="M9">_xlfn.IFNA(INDEX($L$6:$L$66,MATCH(0,COUNTIF($M$4:M8,$L$6:$L$66),0),1),"")</f>
        <v/>
      </c>
      <c r="N9" s="277" t="str">
        <f>IF(AND('1.4 Analyse &amp; Synthese'!R10=1,'1.4 Analyse &amp; Synthese'!F10="Werkzeug"),'1.4 Analyse &amp; Synthese'!I10&amp;CHAR(13)&amp;"("&amp;'(Codierung)'!$C$4&amp;" - "&amp;'1.4 Analyse &amp; Synthese'!C10&amp;")","")</f>
        <v/>
      </c>
      <c r="O9" s="277" t="str">
        <f t="array" ref="O9">_xlfn.IFNA(INDEX($N$6:$N$66,MATCH(0,COUNTIF($O$4:O8,$N$6:$N$66),0),1),"")</f>
        <v/>
      </c>
      <c r="Q9" s="277" t="str">
        <f>IF(AND('1.4 Analyse &amp; Synthese'!S10=1,'1.4 Analyse &amp; Synthese'!F10="Empfehlung"),'1.4 Analyse &amp; Synthese'!I10&amp;CHAR(13)&amp;"("&amp;'(Codierung)'!$C$2&amp;" - "&amp;'1.4 Analyse &amp; Synthese'!C10&amp;")","")</f>
        <v/>
      </c>
      <c r="R9" s="277" t="str">
        <f t="array" ref="R9">_xlfn.IFNA(INDEX($Q$6:$Q$66,MATCH(0,COUNTIF($R$4:R8,$Q$6:$Q$66),0),1),"")</f>
        <v>OVF Erweiterung_x000D_(Empfehlung - Haji)</v>
      </c>
      <c r="S9" s="277" t="str">
        <f>IF(AND('1.4 Analyse &amp; Synthese'!S10=1,'1.4 Analyse &amp; Synthese'!F10="Methode"),'1.4 Analyse &amp; Synthese'!I10&amp;CHAR(13)&amp;"("&amp;'(Codierung)'!$C$3&amp;" - "&amp;'1.4 Analyse &amp; Synthese'!C10&amp;")","")</f>
        <v/>
      </c>
      <c r="T9" s="277" t="str">
        <f t="array" ref="T9">_xlfn.IFNA(INDEX($S$6:$S$66,MATCH(0,COUNTIF($T$4:T8,$S$6:$S$66),0),1),"")</f>
        <v>Monitoring System_x000D_(Methode - Tata)</v>
      </c>
      <c r="U9" s="277" t="str">
        <f>IF(AND('1.4 Analyse &amp; Synthese'!S10=1,'1.4 Analyse &amp; Synthese'!F10="Werkzeug"),'1.4 Analyse &amp; Synthese'!I10&amp;CHAR(13)&amp;"("&amp;'(Codierung)'!$C$4&amp;" - "&amp;'1.4 Analyse &amp; Synthese'!C10&amp;")","")</f>
        <v/>
      </c>
      <c r="V9" s="277" t="str">
        <f t="array" ref="V9">_xlfn.IFNA(INDEX($U$6:$U$66,MATCH(0,COUNTIF($V$4:V8,$U$6:$U$66),0),1),"")</f>
        <v/>
      </c>
      <c r="X9" s="277" t="str">
        <f>IF(AND('1.4 Analyse &amp; Synthese'!T10=1,'1.4 Analyse &amp; Synthese'!F10="Empfehlung"),'1.4 Analyse &amp; Synthese'!I10&amp;CHAR(13)&amp;"("&amp;'(Codierung)'!$C$2&amp;" - "&amp;'1.4 Analyse &amp; Synthese'!C10&amp;")","")</f>
        <v/>
      </c>
      <c r="Y9" s="277" t="str">
        <f t="array" ref="Y9">_xlfn.IFNA(INDEX($X$6:$X$66,MATCH(0,COUNTIF($Y$4:Y8,$X$6:$X$66),0),1),"")</f>
        <v/>
      </c>
      <c r="Z9" s="277" t="str">
        <f>IF(AND('1.4 Analyse &amp; Synthese'!T10=1,'1.4 Analyse &amp; Synthese'!F10="Methode"),'1.4 Analyse &amp; Synthese'!I10&amp;CHAR(13)&amp;"("&amp;'(Codierung)'!$C$3&amp;" - "&amp;'1.4 Analyse &amp; Synthese'!C10&amp;")","")</f>
        <v/>
      </c>
      <c r="AA9" s="277" t="str">
        <f t="array" ref="AA9">_xlfn.IFNA(INDEX($Z$6:$Z$66,MATCH(0,COUNTIF($AA$4:AA8,$Z$6:$Z$66),0),1),"")</f>
        <v/>
      </c>
      <c r="AB9" s="277" t="str">
        <f>IF(AND('1.4 Analyse &amp; Synthese'!T10=1,'1.4 Analyse &amp; Synthese'!F10="Werkzeug"),'1.4 Analyse &amp; Synthese'!I10&amp;CHAR(13)&amp;"("&amp;'(Codierung)'!$C$4&amp;" - "&amp;'1.4 Analyse &amp; Synthese'!C10&amp;")","")</f>
        <v/>
      </c>
      <c r="AC9" s="277" t="str">
        <f t="array" ref="AC9">_xlfn.IFNA(INDEX($AB$6:$AB$66,MATCH(0,COUNTIF($AC$4:AC8,$AB$6:$AB$66),0),1),"")</f>
        <v/>
      </c>
      <c r="AE9" s="277" t="str">
        <f>IF(AND('1.4 Analyse &amp; Synthese'!U10=1,'1.4 Analyse &amp; Synthese'!F10="Empfehlung"),'1.4 Analyse &amp; Synthese'!I10&amp;CHAR(13)&amp;"("&amp;'(Codierung)'!$C$2&amp;" - "&amp;'1.4 Analyse &amp; Synthese'!C10&amp;")","")</f>
        <v/>
      </c>
      <c r="AF9" s="277" t="str">
        <f t="array" ref="AF9">_xlfn.IFNA(INDEX($AE$6:$AE$66,MATCH(0,COUNTIF($AF$4:AF8,$AE$6:$AE$66),0),1),"")</f>
        <v/>
      </c>
      <c r="AG9" s="277" t="str">
        <f>IF(AND('1.4 Analyse &amp; Synthese'!U10=1,'1.4 Analyse &amp; Synthese'!F10="Methode"),'1.4 Analyse &amp; Synthese'!I10&amp;CHAR(13)&amp;"("&amp;'(Codierung)'!$C$3&amp;" - "&amp;'1.4 Analyse &amp; Synthese'!C10&amp;")","")</f>
        <v/>
      </c>
      <c r="AH9" s="277" t="str">
        <f t="array" ref="AH9">_xlfn.IFNA(INDEX($AG$6:$AG$66,MATCH(0,COUNTIF($AH$4:AH8,$AG$6:$AG$66),0),1),"")</f>
        <v/>
      </c>
      <c r="AI9" s="277" t="str">
        <f>IF(AND('1.4 Analyse &amp; Synthese'!U10=1,'1.4 Analyse &amp; Synthese'!F10="Werkzeug"),'1.4 Analyse &amp; Synthese'!I10&amp;CHAR(13)&amp;"("&amp;'(Codierung)'!$C$4&amp;" - "&amp;'1.4 Analyse &amp; Synthese'!C10&amp;")","")</f>
        <v/>
      </c>
      <c r="AJ9" s="277" t="str">
        <f t="array" ref="AJ9">_xlfn.IFNA(INDEX($AI$6:$AI$66,MATCH(0,COUNTIF($AJ$4:AJ8,$AI$6:$AI$66),0),1),"")</f>
        <v/>
      </c>
      <c r="AL9" s="277" t="str">
        <f>IF(AND('1.4 Analyse &amp; Synthese'!V10=1,'1.4 Analyse &amp; Synthese'!F10="Empfehlung"),'1.4 Analyse &amp; Synthese'!I10&amp;CHAR(13)&amp;"("&amp;'(Codierung)'!$C$2&amp;" - "&amp;'1.4 Analyse &amp; Synthese'!C10&amp;")","")</f>
        <v/>
      </c>
      <c r="AM9" s="277" t="str">
        <f t="array" ref="AM9">_xlfn.IFNA(INDEX($AL$6:$AL$66,MATCH(0,COUNTIF($AM$4:AM8,$AL$6:$AL$66),0),1),"")</f>
        <v>Einheitl. Servicebeschreibung_x000D_(Empfehlung - Rekik )</v>
      </c>
      <c r="AN9" s="277" t="str">
        <f>IF(AND('1.4 Analyse &amp; Synthese'!V10=1,'1.4 Analyse &amp; Synthese'!F10="Methode"),'1.4 Analyse &amp; Synthese'!I10&amp;CHAR(13)&amp;"("&amp;'(Codierung)'!$C$3&amp;" - "&amp;'1.4 Analyse &amp; Synthese'!C10&amp;")","")</f>
        <v/>
      </c>
      <c r="AO9" s="277" t="str">
        <f t="array" ref="AO9">_xlfn.IFNA(INDEX($AN$6:$AN$66,MATCH(0,COUNTIF($AO$4:AO8,$AN$6:$AN$66),0),1),"")</f>
        <v/>
      </c>
      <c r="AP9" s="277" t="str">
        <f>IF(AND('1.4 Analyse &amp; Synthese'!V10=1,'1.4 Analyse &amp; Synthese'!F10="Werkzeug"),'1.4 Analyse &amp; Synthese'!I10&amp;CHAR(13)&amp;"("&amp;'(Codierung)'!$C$4&amp;" - "&amp;'1.4 Analyse &amp; Synthese'!C10&amp;")","")</f>
        <v/>
      </c>
      <c r="AQ9" s="277" t="str">
        <f t="array" ref="AQ9">_xlfn.IFNA(INDEX($AP$6:$AP$66,MATCH(0,COUNTIF($AQ$4:AQ8,$AP$6:$AP$66),0),1),"")</f>
        <v/>
      </c>
      <c r="AS9" s="277" t="str">
        <f>IF(AND('1.4 Analyse &amp; Synthese'!W10=1,'1.4 Analyse &amp; Synthese'!F10="Empfehlung"),'1.4 Analyse &amp; Synthese'!I10&amp;CHAR(13)&amp;"("&amp;'(Codierung)'!$C$2&amp;" - "&amp;'1.4 Analyse &amp; Synthese'!C10&amp;")","")</f>
        <v/>
      </c>
      <c r="AT9" s="277" t="str">
        <f t="array" ref="AT9">_xlfn.IFNA(INDEX($AS$6:$AS$66,MATCH(0,COUNTIF($AT$4:AT8,$AS$6:$AS$66),0),1),"")</f>
        <v/>
      </c>
      <c r="AU9" s="277" t="str">
        <f>IF(AND('1.4 Analyse &amp; Synthese'!W10=1,'1.4 Analyse &amp; Synthese'!F10="Methode"),'1.4 Analyse &amp; Synthese'!I10&amp;CHAR(13)&amp;"("&amp;'(Codierung)'!$C$3&amp;" - "&amp;'1.4 Analyse &amp; Synthese'!C10&amp;")","")</f>
        <v/>
      </c>
      <c r="AV9" s="277" t="str">
        <f t="array" ref="AV9">_xlfn.IFNA(INDEX($AU$6:$AU$66,MATCH(0,COUNTIF($AV$4:AV8,$AU$6:$AU$66),0),1),"")</f>
        <v/>
      </c>
      <c r="AW9" s="277" t="str">
        <f>IF(AND('1.4 Analyse &amp; Synthese'!W10=1,'1.4 Analyse &amp; Synthese'!F10="Werkzeug"),'1.4 Analyse &amp; Synthese'!I10&amp;CHAR(13)&amp;"("&amp;'(Codierung)'!$C$4&amp;" - "&amp;'1.4 Analyse &amp; Synthese'!C10&amp;")","")</f>
        <v/>
      </c>
      <c r="AX9" s="277" t="str">
        <f t="array" ref="AX9">_xlfn.IFNA(INDEX($AW$6:$AW$66,MATCH(0,COUNTIF($AX$4:AX8,$AW$6:$AW$66),0),1),"")</f>
        <v/>
      </c>
      <c r="AZ9" s="277" t="str">
        <f>IF(AND('1.4 Analyse &amp; Synthese'!X10=1,'1.4 Analyse &amp; Synthese'!F10="Empfehlung"),'1.4 Analyse &amp; Synthese'!I10&amp;CHAR(13)&amp;"("&amp;'(Codierung)'!$C$2&amp;" - "&amp;'1.4 Analyse &amp; Synthese'!C10&amp;")","")</f>
        <v/>
      </c>
      <c r="BA9" s="277" t="str">
        <f t="array" ref="BA9">_xlfn.IFNA(INDEX($AZ$6:$AZ$66,MATCH(0,COUNTIF($BA$4:BA8,$AZ$6:$AZ$66),0),1),"")</f>
        <v>Cloud Metrik Evaluierung_x000D_(Empfehlung - Lee)</v>
      </c>
      <c r="BB9" s="277" t="str">
        <f>IF(AND('1.4 Analyse &amp; Synthese'!X10=1,'1.4 Analyse &amp; Synthese'!F10="Methode"),'1.4 Analyse &amp; Synthese'!I10&amp;CHAR(13)&amp;"("&amp;'(Codierung)'!$C$3&amp;" - "&amp;'1.4 Analyse &amp; Synthese'!C10&amp;")","")</f>
        <v/>
      </c>
      <c r="BC9" s="277" t="str">
        <f t="array" ref="BC9">_xlfn.IFNA(INDEX($BB$6:$BB$66,MATCH(0,COUNTIF($BC$4:BC8,$BB$6:$BB$66),0),1),"")</f>
        <v/>
      </c>
      <c r="BD9" s="277" t="str">
        <f>IF(AND('1.4 Analyse &amp; Synthese'!X10=1,'1.4 Analyse &amp; Synthese'!F10="Werkzeug"),'1.4 Analyse &amp; Synthese'!I10&amp;CHAR(13)&amp;"("&amp;'(Codierung)'!$C$4&amp;" - "&amp;'1.4 Analyse &amp; Synthese'!C10&amp;")","")</f>
        <v/>
      </c>
      <c r="BE9" s="277" t="str">
        <f t="array" ref="BE9">_xlfn.IFNA(INDEX($BD$6:$BD$66,MATCH(0,COUNTIF($BE$4:BE8,$BD$6:$BD$66),0),1),"")</f>
        <v/>
      </c>
      <c r="BG9" s="277" t="str">
        <f>IF(AND('1.4 Analyse &amp; Synthese'!Y10=1,'1.4 Analyse &amp; Synthese'!F10="Empfehlung"),'1.4 Analyse &amp; Synthese'!I10&amp;CHAR(13)&amp;"("&amp;'(Codierung)'!$C$2&amp;" - "&amp;'1.4 Analyse &amp; Synthese'!C10&amp;")","")</f>
        <v/>
      </c>
      <c r="BH9" s="277" t="str">
        <f t="array" ref="BH9">_xlfn.IFNA(INDEX($BG$6:$BG$66,MATCH(0,COUNTIF($BH$4:BH8,$BG$6:$BG$66),0),1),"")</f>
        <v/>
      </c>
      <c r="BI9" s="277" t="str">
        <f>IF(AND('1.4 Analyse &amp; Synthese'!Y10=1,'1.4 Analyse &amp; Synthese'!F10="Methode"),'1.4 Analyse &amp; Synthese'!I10&amp;CHAR(13)&amp;"("&amp;'(Codierung)'!$C$3&amp;" - "&amp;'1.4 Analyse &amp; Synthese'!C10&amp;")","")</f>
        <v/>
      </c>
      <c r="BJ9" s="277" t="str">
        <f t="array" ref="BJ9">_xlfn.IFNA(INDEX($BI$6:$BI$66,MATCH(0,COUNTIF($BJ$4:BJ8,$BI$6:$BI$66),0),1),"")</f>
        <v/>
      </c>
      <c r="BK9" s="277" t="str">
        <f>IF(AND('1.4 Analyse &amp; Synthese'!Y10=1,'1.4 Analyse &amp; Synthese'!F10="Werkzeug"),'1.4 Analyse &amp; Synthese'!I10&amp;CHAR(13)&amp;"("&amp;'(Codierung)'!$C$4&amp;" - "&amp;'1.4 Analyse &amp; Synthese'!C10&amp;")","")</f>
        <v/>
      </c>
      <c r="BL9" s="277" t="str">
        <f t="array" ref="BL9">_xlfn.IFNA(INDEX($BK$6:$BK$66,MATCH(0,COUNTIF($BL$4:BL8,$BK$6:$BK$66),0),1),"")</f>
        <v/>
      </c>
      <c r="BN9" s="277" t="str">
        <f>IF(AND('1.4 Analyse &amp; Synthese'!Z10=1,'1.4 Analyse &amp; Synthese'!F10="Empfehlung"),'1.4 Analyse &amp; Synthese'!I10&amp;CHAR(13)&amp;"("&amp;'(Codierung)'!$C$2&amp;" - "&amp;'1.4 Analyse &amp; Synthese'!C10&amp;")","")</f>
        <v/>
      </c>
      <c r="BO9" s="277" t="str">
        <f t="array" ref="BO9">_xlfn.IFNA(INDEX($BN$6:$BN$66,MATCH(0,COUNTIF($BO$4:BO8,$BN$6:$BN$66),0),1),"")</f>
        <v>Cloud Metrik Evaluierung_x000D_(Empfehlung - Lee)</v>
      </c>
      <c r="BP9" s="277" t="str">
        <f>IF(AND('1.4 Analyse &amp; Synthese'!Z10=1,'1.4 Analyse &amp; Synthese'!F10="Methode"),'1.4 Analyse &amp; Synthese'!I10&amp;CHAR(13)&amp;"("&amp;'(Codierung)'!$C$3&amp;" - "&amp;'1.4 Analyse &amp; Synthese'!C10&amp;")","")</f>
        <v/>
      </c>
      <c r="BQ9" s="277" t="str">
        <f t="array" ref="BQ9">_xlfn.IFNA(INDEX($BP$6:$BP$66,MATCH(0,COUNTIF($BQ$4:BQ8,$BP$6:$BP$66),0),1),"")</f>
        <v/>
      </c>
      <c r="BR9" s="277" t="str">
        <f>IF(AND('1.4 Analyse &amp; Synthese'!Z10=1,'1.4 Analyse &amp; Synthese'!F10="Werkzeug"),'1.4 Analyse &amp; Synthese'!I10&amp;CHAR(13)&amp;"("&amp;'(Codierung)'!$C$4&amp;" - "&amp;'1.4 Analyse &amp; Synthese'!C10&amp;")","")</f>
        <v/>
      </c>
      <c r="BS9" s="277" t="str">
        <f t="array" ref="BS9">_xlfn.IFNA(INDEX($BR$6:$BR$66,MATCH(0,COUNTIF($BS$4:BS8,$BR$6:$BR$66),0),1),"")</f>
        <v>Open-Source Plattform_x000D_(Werkzeug - Zangara)</v>
      </c>
      <c r="BU9" s="277" t="str">
        <f>IF(AND('1.4 Analyse &amp; Synthese'!AA10=1,'1.4 Analyse &amp; Synthese'!F10="Empfehlung"),'1.4 Analyse &amp; Synthese'!I10&amp;CHAR(13)&amp;"("&amp;'(Codierung)'!$C$2&amp;" - "&amp;'1.4 Analyse &amp; Synthese'!C10&amp;")","")</f>
        <v/>
      </c>
      <c r="BV9" s="277" t="str">
        <f t="array" ref="BV9">_xlfn.IFNA(INDEX($BU$6:$BU$66,MATCH(0,COUNTIF($BV$4:BV8,$BU$6:$BU$66),0),1),"")</f>
        <v/>
      </c>
      <c r="BW9" s="277" t="str">
        <f>IF(AND('1.4 Analyse &amp; Synthese'!AA10=1,'1.4 Analyse &amp; Synthese'!F10="Methode"),'1.4 Analyse &amp; Synthese'!I10&amp;CHAR(13)&amp;"("&amp;'(Codierung)'!$C$3&amp;" - "&amp;'1.4 Analyse &amp; Synthese'!C10&amp;")","")</f>
        <v/>
      </c>
      <c r="BX9" s="277" t="str">
        <f t="array" ref="BX9">_xlfn.IFNA(INDEX($BW$6:$BW$66,MATCH(0,COUNTIF($BX$4:BX8,$BW$6:$BW$66),0),1),"")</f>
        <v/>
      </c>
      <c r="BY9" s="277" t="str">
        <f>IF(AND('1.4 Analyse &amp; Synthese'!AA10=1,'1.4 Analyse &amp; Synthese'!F10="Werkzeug"),'1.4 Analyse &amp; Synthese'!I10&amp;CHAR(13)&amp;"("&amp;'(Codierung)'!$C$4&amp;" - "&amp;'1.4 Analyse &amp; Synthese'!C10&amp;")","")</f>
        <v/>
      </c>
      <c r="BZ9" s="277" t="str">
        <f t="array" ref="BZ9">_xlfn.IFNA(INDEX($BY$6:$BY$66,MATCH(0,COUNTIF($BZ$4:BZ8,$BY$6:$BY$66),0),1),"")</f>
        <v/>
      </c>
      <c r="CB9" s="277" t="str">
        <f>IF(AND('1.4 Analyse &amp; Synthese'!AB10=1,'1.4 Analyse &amp; Synthese'!F10="Empfehlung"),'1.4 Analyse &amp; Synthese'!I10&amp;CHAR(13)&amp;"("&amp;'(Codierung)'!$C$2&amp;" - "&amp;'1.4 Analyse &amp; Synthese'!C10&amp;")","")</f>
        <v/>
      </c>
      <c r="CC9" s="277" t="str">
        <f t="array" ref="CC9">_xlfn.IFNA(INDEX($CB$6:$CB$66,MATCH(0,COUNTIF($CC$4:CC8,$CB$6:$CB$66),0),1),"")</f>
        <v/>
      </c>
      <c r="CD9" s="277" t="str">
        <f>IF(AND('1.4 Analyse &amp; Synthese'!AB10=1,'1.4 Analyse &amp; Synthese'!F10="Methode"),'1.4 Analyse &amp; Synthese'!I10&amp;CHAR(13)&amp;"("&amp;'(Codierung)'!$C$3&amp;" - "&amp;'1.4 Analyse &amp; Synthese'!C10&amp;")","")</f>
        <v/>
      </c>
      <c r="CE9" s="277" t="str">
        <f t="array" ref="CE9">_xlfn.IFNA(INDEX($CD$6:$CD$66,MATCH(0,COUNTIF($CE$4:CE8,$CD$6:$CD$66),0),1),"")</f>
        <v/>
      </c>
      <c r="CF9" s="277" t="str">
        <f>IF(AND('1.4 Analyse &amp; Synthese'!AB10=1,'1.4 Analyse &amp; Synthese'!F10="Werkzeug"),'1.4 Analyse &amp; Synthese'!I10&amp;CHAR(13)&amp;"("&amp;'(Codierung)'!$C$4&amp;" - "&amp;'1.4 Analyse &amp; Synthese'!C10&amp;")","")</f>
        <v/>
      </c>
      <c r="CG9" s="277" t="str">
        <f t="array" ref="CG9">_xlfn.IFNA(INDEX($CF$6:$CF$66,MATCH(0,COUNTIF($CG$4:CG8,$CF$6:$CF$66),0),1),"")</f>
        <v/>
      </c>
      <c r="CI9" s="277" t="str">
        <f>IF(AND('1.4 Analyse &amp; Synthese'!AC10=1,'1.4 Analyse &amp; Synthese'!F10="Empfehlung"),'1.4 Analyse &amp; Synthese'!I10&amp;CHAR(13)&amp;"("&amp;'(Codierung)'!$C$2&amp;" - "&amp;'1.4 Analyse &amp; Synthese'!C10&amp;")","")</f>
        <v/>
      </c>
      <c r="CJ9" s="277" t="str">
        <f t="array" ref="CJ9">_xlfn.IFNA(INDEX($CI$6:$CI$66,MATCH(0,COUNTIF($CJ$4:CJ8,$CI$6:$CI$66),0),1),"")</f>
        <v/>
      </c>
      <c r="CK9" s="277" t="str">
        <f>IF(AND('1.4 Analyse &amp; Synthese'!AC10=1,'1.4 Analyse &amp; Synthese'!F10="Methode"),'1.4 Analyse &amp; Synthese'!I10&amp;CHAR(13)&amp;"("&amp;'(Codierung)'!$C$3&amp;" - "&amp;'1.4 Analyse &amp; Synthese'!C10&amp;")","")</f>
        <v/>
      </c>
      <c r="CL9" s="277" t="str">
        <f t="array" ref="CL9">_xlfn.IFNA(INDEX($CK$6:$CK$66,MATCH(0,COUNTIF($CL$4:CL8,$CK$6:$CK$66),0),1),"")</f>
        <v/>
      </c>
      <c r="CM9" s="277" t="str">
        <f>IF(AND('1.4 Analyse &amp; Synthese'!AC10=1,'1.4 Analyse &amp; Synthese'!F10="Werkzeug"),'1.4 Analyse &amp; Synthese'!I10&amp;CHAR(13)&amp;"("&amp;'(Codierung)'!$C$4&amp;" - "&amp;'1.4 Analyse &amp; Synthese'!C10&amp;")","")</f>
        <v/>
      </c>
      <c r="CN9" s="277" t="str">
        <f t="array" ref="CN9">_xlfn.IFNA(INDEX($CM$6:$CM$66,MATCH(0,COUNTIF($CN$4:CN8,$CM$6:$CM$66),0),1),"")</f>
        <v/>
      </c>
      <c r="CP9" s="277" t="str">
        <f>IF(AND('1.4 Analyse &amp; Synthese'!AD10=1,'1.4 Analyse &amp; Synthese'!F10="Empfehlung"),'1.4 Analyse &amp; Synthese'!I10&amp;CHAR(13)&amp;"("&amp;'(Codierung)'!$C$2&amp;" - "&amp;'1.4 Analyse &amp; Synthese'!C10&amp;")","")</f>
        <v/>
      </c>
      <c r="CQ9" s="277" t="str">
        <f t="array" ref="CQ9">_xlfn.IFNA(INDEX($CP$6:$CP$66,MATCH(0,COUNTIF($CQ$4:CQ8,$CP$6:$CP$66),0),1),"")</f>
        <v/>
      </c>
      <c r="CR9" s="277" t="str">
        <f>IF(AND('1.4 Analyse &amp; Synthese'!AD10=1,'1.4 Analyse &amp; Synthese'!F10="Methode"),'1.4 Analyse &amp; Synthese'!I10&amp;CHAR(13)&amp;"("&amp;'(Codierung)'!$C$3&amp;" - "&amp;'1.4 Analyse &amp; Synthese'!C10&amp;")","")</f>
        <v/>
      </c>
      <c r="CS9" s="277" t="str">
        <f t="array" ref="CS9">_xlfn.IFNA(INDEX($CR$6:$CR$66,MATCH(0,COUNTIF($CS$4:CS8,$CR$6:$CR$66),0),1),"")</f>
        <v/>
      </c>
      <c r="CT9" s="277" t="str">
        <f>IF(AND('1.4 Analyse &amp; Synthese'!AD10=1,'1.4 Analyse &amp; Synthese'!F10="Werkzeug"),'1.4 Analyse &amp; Synthese'!I10&amp;CHAR(13)&amp;"("&amp;'(Codierung)'!$C$4&amp;" - "&amp;'1.4 Analyse &amp; Synthese'!C10&amp;")","")</f>
        <v/>
      </c>
      <c r="CU9" s="277" t="str">
        <f t="array" ref="CU9">_xlfn.IFNA(INDEX($CT$6:$CT$66,MATCH(0,COUNTIF($CU$4:CU8,$CT$6:$CT$66),0),1),"")</f>
        <v/>
      </c>
      <c r="CW9" s="277" t="str">
        <f>IF(AND('1.4 Analyse &amp; Synthese'!AE10=1,'1.4 Analyse &amp; Synthese'!F10="Empfehlung"),'1.4 Analyse &amp; Synthese'!I10&amp;CHAR(13)&amp;"("&amp;'(Codierung)'!$C$2&amp;" - "&amp;'1.4 Analyse &amp; Synthese'!C10&amp;")","")</f>
        <v/>
      </c>
      <c r="CX9" s="277" t="str">
        <f t="array" ref="CX9">_xlfn.IFNA(INDEX($CW$6:$CW$66,MATCH(0,COUNTIF($CX$4:CX8,$CW$6:$CW$66),0),1),"")</f>
        <v>Cloud Service Komposition_x000D_(Empfehlung - Gonidis )</v>
      </c>
      <c r="CY9" s="277" t="str">
        <f>IF(AND('1.4 Analyse &amp; Synthese'!AE10=1,'1.4 Analyse &amp; Synthese'!F10="Methode"),'1.4 Analyse &amp; Synthese'!I10&amp;CHAR(13)&amp;"("&amp;'(Codierung)'!$C$3&amp;" - "&amp;'1.4 Analyse &amp; Synthese'!C10&amp;")","")</f>
        <v/>
      </c>
      <c r="CZ9" s="277" t="str">
        <f t="array" ref="CZ9">_xlfn.IFNA(INDEX($CY$6:$CY$66,MATCH(0,COUNTIF($CZ$4:CZ8,$CY$6:$CY$66),0),1),"")</f>
        <v/>
      </c>
      <c r="DA9" s="277" t="str">
        <f>IF(AND('1.4 Analyse &amp; Synthese'!AE10=1,'1.4 Analyse &amp; Synthese'!F10="Werkzeug"),'1.4 Analyse &amp; Synthese'!I10&amp;CHAR(13)&amp;"("&amp;'(Codierung)'!$C$4&amp;" - "&amp;'1.4 Analyse &amp; Synthese'!C10&amp;")","")</f>
        <v/>
      </c>
      <c r="DB9" s="277" t="str">
        <f t="array" ref="DB9">_xlfn.IFNA(INDEX($DA$6:$DA$66,MATCH(0,COUNTIF($DB$4:DB8,$DA$6:$DA$66),0),1),"")</f>
        <v/>
      </c>
      <c r="DD9" s="277" t="str">
        <f>IF(AND('1.4 Analyse &amp; Synthese'!AF10=1,'1.4 Analyse &amp; Synthese'!F10="Empfehlung"),'1.4 Analyse &amp; Synthese'!I10&amp;CHAR(13)&amp;"("&amp;'(Codierung)'!$C$2&amp;" - "&amp;'1.4 Analyse &amp; Synthese'!C10&amp;")","")</f>
        <v/>
      </c>
      <c r="DE9" s="277" t="str">
        <f t="array" ref="DE9">_xlfn.IFNA(INDEX($DD$6:$DD$66,MATCH(0,COUNTIF($DE$4:DE8,$DD$6:$DD$66),0),1),"")</f>
        <v>Protokolltransmitter_x000D_(Empfehlung - Majda)</v>
      </c>
      <c r="DF9" s="277" t="str">
        <f>IF(AND('1.4 Analyse &amp; Synthese'!AF10=1,'1.4 Analyse &amp; Synthese'!F10="Methode"),'1.4 Analyse &amp; Synthese'!I10&amp;CHAR(13)&amp;"("&amp;'(Codierung)'!$C$3&amp;" - "&amp;'1.4 Analyse &amp; Synthese'!C10&amp;")","")</f>
        <v>Infrastruktur Interpreter_x000D_(Methode - Allison)</v>
      </c>
      <c r="DG9" s="277" t="str">
        <f t="array" ref="DG9">_xlfn.IFNA(INDEX($DF$6:$DF$66,MATCH(0,COUNTIF($DG$4:DG8,$DF$6:$DF$66),0),1),"")</f>
        <v>SLA Management Aggregation_x000D_(Methode - Stanik)</v>
      </c>
      <c r="DH9" s="277" t="str">
        <f>IF(AND('1.4 Analyse &amp; Synthese'!AF10=1,'1.4 Analyse &amp; Synthese'!F10="Werkzeug"),'1.4 Analyse &amp; Synthese'!I10&amp;CHAR(13)&amp;"("&amp;'(Codierung)'!$C$4&amp;" - "&amp;'1.4 Analyse &amp; Synthese'!C10&amp;")","")</f>
        <v/>
      </c>
      <c r="DI9" s="277" t="str">
        <f t="array" ref="DI9">_xlfn.IFNA(INDEX($DH$6:$DH$66,MATCH(0,COUNTIF($DI$4:DI8,$DH$6:$DH$66),0),1),"")</f>
        <v>Open-Source Plattform_x000D_(Werkzeug - Yangui)</v>
      </c>
      <c r="DK9" s="277" t="str">
        <f>IF(AND('1.4 Analyse &amp; Synthese'!AG10=1,'1.4 Analyse &amp; Synthese'!F10="Empfehlung"),'1.4 Analyse &amp; Synthese'!I10&amp;CHAR(13)&amp;"("&amp;'(Codierung)'!$C$2&amp;" - "&amp;'1.4 Analyse &amp; Synthese'!C10&amp;")","")</f>
        <v/>
      </c>
      <c r="DL9" s="277" t="str">
        <f t="array" ref="DL9">_xlfn.IFNA(INDEX($DK$6:$DK$66,MATCH(0,COUNTIF($DL$4:DL8,$DK$6:$DK$66),0),1),"")</f>
        <v>Cloud Service Komposition_x000D_(Empfehlung - Gonidis )</v>
      </c>
      <c r="DM9" s="277" t="str">
        <f>IF(AND('1.4 Analyse &amp; Synthese'!AG10=1,'1.4 Analyse &amp; Synthese'!F10="Methode"),'1.4 Analyse &amp; Synthese'!I10&amp;CHAR(13)&amp;"("&amp;'(Codierung)'!$C$3&amp;" - "&amp;'1.4 Analyse &amp; Synthese'!C10&amp;")","")</f>
        <v>Infrastruktur Interpreter_x000D_(Methode - Allison)</v>
      </c>
      <c r="DN9" s="277" t="str">
        <f t="array" ref="DN9">_xlfn.IFNA(INDEX($DM$6:$DM$66,MATCH(0,COUNTIF($DN$4:DN8,$DM$6:$DM$66),0),1),"")</f>
        <v>Open-Source Plattform_x000D_(Methode - Ferry)</v>
      </c>
      <c r="DO9" s="277" t="str">
        <f>IF(AND('1.4 Analyse &amp; Synthese'!AG10=1,'1.4 Analyse &amp; Synthese'!F10="Werkzeug"),'1.4 Analyse &amp; Synthese'!I10&amp;CHAR(13)&amp;"("&amp;'(Codierung)'!$C$4&amp;" - "&amp;'1.4 Analyse &amp; Synthese'!C10&amp;")","")</f>
        <v/>
      </c>
      <c r="DP9" s="277" t="str">
        <f t="array" ref="DP9">_xlfn.IFNA(INDEX($DO$6:$DO$66,MATCH(0,COUNTIF($DP$4:DP8,$DO$6:$DO$66),0),1),"")</f>
        <v/>
      </c>
      <c r="DR9" s="277" t="str">
        <f>IF(AND('1.4 Analyse &amp; Synthese'!AH10=1,'1.4 Analyse &amp; Synthese'!F10="Empfehlung"),'1.4 Analyse &amp; Synthese'!I10&amp;CHAR(13)&amp;"("&amp;'(Codierung)'!$C$2&amp;" - "&amp;'1.4 Analyse &amp; Synthese'!C10&amp;")","")</f>
        <v/>
      </c>
      <c r="DS9" s="277" t="str">
        <f t="array" ref="DS9">_xlfn.IFNA(INDEX($DR$6:$DR$66,MATCH(0,COUNTIF($DS$4:DS8,$DR$6:$DR$66),0),1),"")</f>
        <v/>
      </c>
      <c r="DT9" s="277" t="str">
        <f>IF(AND('1.4 Analyse &amp; Synthese'!AH10=1,'1.4 Analyse &amp; Synthese'!F10="Methode"),'1.4 Analyse &amp; Synthese'!I10&amp;CHAR(13)&amp;"("&amp;'(Codierung)'!$C$3&amp;" - "&amp;'1.4 Analyse &amp; Synthese'!C10&amp;")","")</f>
        <v/>
      </c>
      <c r="DU9" s="277" t="str">
        <f t="array" ref="DU9">_xlfn.IFNA(INDEX($DT$6:$DT$66,MATCH(0,COUNTIF($DU$4:DU8,$DT$6:$DT$66),0),1),"")</f>
        <v/>
      </c>
      <c r="DV9" s="277" t="str">
        <f>IF(AND('1.4 Analyse &amp; Synthese'!AH10=1,'1.4 Analyse &amp; Synthese'!F10="Werkzeug"),'1.4 Analyse &amp; Synthese'!I10&amp;CHAR(13)&amp;"("&amp;'(Codierung)'!$C$4&amp;" - "&amp;'1.4 Analyse &amp; Synthese'!C10&amp;")","")</f>
        <v/>
      </c>
      <c r="DW9" s="277" t="str">
        <f t="array" ref="DW9">_xlfn.IFNA(INDEX($DV$6:$DV$66,MATCH(0,COUNTIF($DW$4:DW8,$DV$6:$DV$66),0),1),"")</f>
        <v/>
      </c>
      <c r="DY9" s="277" t="str">
        <f>IF(AND('1.4 Analyse &amp; Synthese'!AI10=1,'1.4 Analyse &amp; Synthese'!F10="Empfehlung"),'1.4 Analyse &amp; Synthese'!I10&amp;CHAR(13)&amp;"("&amp;'(Codierung)'!$C$2&amp;" - "&amp;'1.4 Analyse &amp; Synthese'!C10&amp;")","")</f>
        <v/>
      </c>
      <c r="DZ9" s="277" t="str">
        <f t="array" ref="DZ9">_xlfn.IFNA(INDEX($DY$6:$DY$66,MATCH(0,COUNTIF($DZ$4:DZ8,$DY$6:$DY$66),0),1),"")</f>
        <v>Cloud Service Komposition_x000D_(Empfehlung - Gonidis )</v>
      </c>
      <c r="EA9" s="277" t="str">
        <f>IF(AND('1.4 Analyse &amp; Synthese'!AI10=1,'1.4 Analyse &amp; Synthese'!F10="Methode"),'1.4 Analyse &amp; Synthese'!I10&amp;CHAR(13)&amp;"("&amp;'(Codierung)'!$C$3&amp;" - "&amp;'1.4 Analyse &amp; Synthese'!C10&amp;")","")</f>
        <v>Infrastruktur Interpreter_x000D_(Methode - Allison)</v>
      </c>
      <c r="EB9" s="277" t="str">
        <f t="array" ref="EB9">_xlfn.IFNA(INDEX($EA$6:$EA$66,MATCH(0,COUNTIF($EB$4:EB8,$EA$6:$EA$66),0),1),"")</f>
        <v>Open-Source Plattform_x000D_(Methode - Ferry)</v>
      </c>
      <c r="EC9" s="277" t="str">
        <f>IF(AND('1.4 Analyse &amp; Synthese'!AI10=1,'1.4 Analyse &amp; Synthese'!F10="Werkzeug"),'1.4 Analyse &amp; Synthese'!I10&amp;CHAR(13)&amp;"("&amp;'(Codierung)'!$C$4&amp;" - "&amp;'1.4 Analyse &amp; Synthese'!C10&amp;")","")</f>
        <v/>
      </c>
      <c r="ED9" s="277" t="str">
        <f t="array" ref="ED9">_xlfn.IFNA(INDEX($EC$6:$EC$66,MATCH(0,COUNTIF($ED$4:ED8,$EC$6:$EC$66),0),1),"")</f>
        <v/>
      </c>
      <c r="EF9" s="277" t="str">
        <f>IF(AND('1.4 Analyse &amp; Synthese'!AJ10=1,'1.4 Analyse &amp; Synthese'!F10="Empfehlung"),'1.4 Analyse &amp; Synthese'!I10&amp;CHAR(13)&amp;"("&amp;'(Codierung)'!$C$2&amp;" - "&amp;'1.4 Analyse &amp; Synthese'!C10&amp;")","")</f>
        <v/>
      </c>
      <c r="EG9" s="277" t="str">
        <f t="array" ref="EG9">_xlfn.IFNA(INDEX($EF$6:$EF$66,MATCH(0,COUNTIF($EG$4:EG8,$EF$6:$EF$66),0),1),"")</f>
        <v/>
      </c>
      <c r="EH9" s="277" t="str">
        <f>IF(AND('1.4 Analyse &amp; Synthese'!AJ10=1,'1.4 Analyse &amp; Synthese'!F10="Methode"),'1.4 Analyse &amp; Synthese'!I10&amp;CHAR(13)&amp;"("&amp;'(Codierung)'!$C$3&amp;" - "&amp;'1.4 Analyse &amp; Synthese'!C10&amp;")","")</f>
        <v/>
      </c>
      <c r="EI9" s="277" t="str">
        <f t="array" ref="EI9">_xlfn.IFNA(INDEX($EH$6:$EH$66,MATCH(0,COUNTIF($EI$4:EI8,$EH$6:$EH$66),0),1),"")</f>
        <v/>
      </c>
      <c r="EJ9" s="277" t="str">
        <f>IF(AND('1.4 Analyse &amp; Synthese'!AJ10=1,'1.4 Analyse &amp; Synthese'!F10="Werkzeug"),'1.4 Analyse &amp; Synthese'!I10&amp;CHAR(13)&amp;"("&amp;'(Codierung)'!$C$4&amp;" - "&amp;'1.4 Analyse &amp; Synthese'!C10&amp;")","")</f>
        <v/>
      </c>
      <c r="EK9" s="277" t="str">
        <f t="array" ref="EK9">_xlfn.IFNA(INDEX($EJ$6:$EJ$66,MATCH(0,COUNTIF($EK$4:EK8,$EJ$6:$EJ$66),0),1),"")</f>
        <v/>
      </c>
      <c r="EN9" s="222" t="str">
        <f t="shared" si="0"/>
        <v/>
      </c>
      <c r="EO9" s="277" t="str">
        <f t="shared" si="1"/>
        <v/>
      </c>
      <c r="EP9" s="277" t="str">
        <f t="shared" si="2"/>
        <v/>
      </c>
      <c r="EQ9" s="277" t="str">
        <f>ZahlenInBereich(Tabelle1[[Empfehlung]:[Werkzeug]],ROW()-5)</f>
        <v>Einheitl. Servicebeschreibung_x000D_(Werkzeug - El-Awadi)</v>
      </c>
      <c r="ER9" s="277" t="str">
        <f t="shared" si="3"/>
        <v/>
      </c>
      <c r="ES9" s="277" t="str">
        <f t="shared" si="4"/>
        <v/>
      </c>
      <c r="ET9" s="277" t="str">
        <f t="shared" si="5"/>
        <v/>
      </c>
      <c r="EU9" s="277" t="str">
        <f>ZahlenInBereich(Tabelle1[[Empfehlung2]:[Werkzeug4]],ROW()-5)</f>
        <v>Open-Source Plattform_x000D_(Methode - Ferry)</v>
      </c>
      <c r="EV9" s="277" t="str">
        <f t="shared" si="6"/>
        <v>OVF Erweiterung_x000D_(Empfehlung - Haji)</v>
      </c>
      <c r="EW9" s="277" t="str">
        <f t="shared" si="7"/>
        <v>Monitoring System_x000D_(Methode - Tata)</v>
      </c>
      <c r="EX9" s="277" t="str">
        <f t="shared" si="8"/>
        <v/>
      </c>
      <c r="EY9" s="277" t="str">
        <f>ZahlenInBereich(Tabelle1[[Empfehlung6]:[Werkzeug8]],ROW()-5)</f>
        <v>OVF Erweiterung_x000D_(Empfehlung - Haji)</v>
      </c>
      <c r="EZ9" s="277" t="str">
        <f t="shared" si="9"/>
        <v/>
      </c>
      <c r="FA9" s="277" t="str">
        <f t="shared" si="10"/>
        <v/>
      </c>
      <c r="FB9" s="277" t="str">
        <f t="shared" si="11"/>
        <v/>
      </c>
      <c r="FC9" s="277" t="str">
        <f>ZahlenInBereich(Tabelle1[[Empfehlung10]:[Werkzeug12]],ROW()-5)</f>
        <v/>
      </c>
      <c r="FD9" s="277" t="str">
        <f t="shared" si="12"/>
        <v/>
      </c>
      <c r="FE9" s="277" t="str">
        <f t="shared" si="13"/>
        <v/>
      </c>
      <c r="FF9" s="277" t="str">
        <f t="shared" si="14"/>
        <v/>
      </c>
      <c r="FG9" s="277" t="str">
        <f>ZahlenInBereich(Tabelle1[[Empfehlung14]:[Werkzeug16]],ROW()-5)</f>
        <v>Open-Source Plattform_x000D_(Werkzeug - Zangara)</v>
      </c>
      <c r="FH9" s="277" t="str">
        <f t="shared" si="15"/>
        <v>Einheitl. Servicebeschreibung_x000D_(Empfehlung - Rekik )</v>
      </c>
      <c r="FI9" s="277" t="str">
        <f t="shared" si="16"/>
        <v/>
      </c>
      <c r="FJ9" s="277" t="str">
        <f t="shared" si="17"/>
        <v/>
      </c>
      <c r="FK9" s="277" t="str">
        <f>ZahlenInBereich(Tabelle1[[Empfehlung18]:[Werkzeug20]],ROW()-5)</f>
        <v>Einheitl. Servicebeschreibung_x000D_(Empfehlung - Rekik )</v>
      </c>
      <c r="FL9" s="277" t="str">
        <f t="shared" si="18"/>
        <v/>
      </c>
      <c r="FM9" s="277" t="str">
        <f t="shared" si="19"/>
        <v/>
      </c>
      <c r="FN9" s="277" t="str">
        <f t="shared" si="20"/>
        <v/>
      </c>
      <c r="FO9" s="277" t="str">
        <f>ZahlenInBereich(Tabelle1[[Empfehlung22]:[Werkzeug24]],ROW()-5)</f>
        <v>SLA Management Aggregation_x000D_(Methode - Stanik)</v>
      </c>
      <c r="FP9" s="277" t="str">
        <f t="shared" si="21"/>
        <v>Cloud Metrik Evaluierung_x000D_(Empfehlung - Lee)</v>
      </c>
      <c r="FQ9" s="277" t="str">
        <f t="shared" si="22"/>
        <v/>
      </c>
      <c r="FR9" s="277" t="str">
        <f t="shared" si="23"/>
        <v/>
      </c>
      <c r="FS9" s="277" t="str">
        <f>ZahlenInBereich(Tabelle1[[Empfehlung26]:[Werkzeug28]],ROW()-5)</f>
        <v>Cloud Metrik Evaluierung_x000D_(Empfehlung - Lee)</v>
      </c>
      <c r="FT9" s="277" t="str">
        <f t="shared" si="24"/>
        <v/>
      </c>
      <c r="FU9" s="277" t="str">
        <f t="shared" si="25"/>
        <v/>
      </c>
      <c r="FV9" s="277" t="str">
        <f t="shared" si="26"/>
        <v/>
      </c>
      <c r="FW9" s="277" t="str">
        <f>ZahlenInBereich(Tabelle1[[Empfehlung30]:[Werkzeug32]],ROW()-5)</f>
        <v/>
      </c>
      <c r="FX9" s="277" t="str">
        <f t="shared" si="27"/>
        <v>Cloud Metrik Evaluierung_x000D_(Empfehlung - Lee)</v>
      </c>
      <c r="FY9" s="277" t="str">
        <f t="shared" si="28"/>
        <v/>
      </c>
      <c r="FZ9" s="277" t="str">
        <f t="shared" si="29"/>
        <v>Open-Source Plattform_x000D_(Werkzeug - Zangara)</v>
      </c>
      <c r="GA9" s="277" t="str">
        <f>ZahlenInBereich(Tabelle1[[Empfehlung34]:[Werkzeug36]],ROW()-5)</f>
        <v>Cloud Metrik Evaluierung_x000D_(Empfehlung - Lee)</v>
      </c>
      <c r="GB9" s="277" t="str">
        <f t="shared" si="30"/>
        <v/>
      </c>
      <c r="GC9" s="277" t="str">
        <f t="shared" si="31"/>
        <v/>
      </c>
      <c r="GD9" s="277" t="str">
        <f t="shared" si="32"/>
        <v/>
      </c>
      <c r="GE9" s="277" t="str">
        <f>ZahlenInBereich(Tabelle1[[Empfehlung38]:[Werkzeug40]],ROW()-5)</f>
        <v/>
      </c>
      <c r="GF9" s="277" t="str">
        <f t="shared" si="33"/>
        <v/>
      </c>
      <c r="GG9" s="277" t="str">
        <f t="shared" si="34"/>
        <v/>
      </c>
      <c r="GH9" s="277" t="str">
        <f t="shared" si="35"/>
        <v/>
      </c>
      <c r="GI9" s="277" t="str">
        <f>ZahlenInBereich(Tabelle1[[Empfehlung42]:[Werkzeug44]],ROW()-5)</f>
        <v/>
      </c>
      <c r="GJ9" s="277" t="str">
        <f t="shared" si="36"/>
        <v/>
      </c>
      <c r="GK9" s="277" t="str">
        <f t="shared" si="37"/>
        <v/>
      </c>
      <c r="GL9" s="277" t="str">
        <f t="shared" si="38"/>
        <v/>
      </c>
      <c r="GM9" s="277" t="str">
        <f>ZahlenInBereich(Tabelle1[[Empfehlung46]:[Werkzeug48]],ROW()-5)</f>
        <v/>
      </c>
      <c r="GN9" s="277" t="str">
        <f t="shared" si="39"/>
        <v/>
      </c>
      <c r="GO9" s="277" t="str">
        <f t="shared" si="40"/>
        <v/>
      </c>
      <c r="GP9" s="277" t="str">
        <f t="shared" si="41"/>
        <v/>
      </c>
      <c r="GQ9" s="277" t="str">
        <f>ZahlenInBereich(Tabelle1[[Empfehlung50]:[Werkzeug52]],ROW()-5)</f>
        <v>Monitoring System_x000D_(Methode - Al-Hazmi )</v>
      </c>
      <c r="GR9" s="277" t="str">
        <f t="shared" si="42"/>
        <v>Cloud Service Komposition_x000D_(Empfehlung - Gonidis )</v>
      </c>
      <c r="GS9" s="277" t="str">
        <f t="shared" si="43"/>
        <v/>
      </c>
      <c r="GT9" s="277" t="str">
        <f t="shared" si="44"/>
        <v/>
      </c>
      <c r="GU9" s="277" t="str">
        <f>ZahlenInBereich(Tabelle1[[Empfehlung54]:[Werkzeug56]],ROW()-5)</f>
        <v>Cloud Service Komposition_x000D_(Empfehlung - Gonidis )</v>
      </c>
      <c r="GV9" s="277" t="str">
        <f t="shared" si="45"/>
        <v>Protokolltransmitter_x000D_(Empfehlung - Majda)</v>
      </c>
      <c r="GW9" s="277" t="str">
        <f t="shared" si="46"/>
        <v>SLA Management Aggregation_x000D_(Methode - Stanik)</v>
      </c>
      <c r="GX9" s="277" t="str">
        <f t="shared" si="47"/>
        <v>Open-Source Plattform_x000D_(Werkzeug - Yangui)</v>
      </c>
      <c r="GY9" s="277" t="str">
        <f>ZahlenInBereich(Tabelle1[[Empfehlung58]:[Werkzeug60]],ROW()-5)</f>
        <v>Protokolltransmitter_x000D_(Empfehlung - Majda)</v>
      </c>
      <c r="GZ9" s="277" t="str">
        <f t="shared" si="48"/>
        <v>Cloud Service Komposition_x000D_(Empfehlung - Gonidis )</v>
      </c>
      <c r="HA9" s="277" t="str">
        <f t="shared" si="49"/>
        <v>Open-Source Plattform_x000D_(Methode - Ferry)</v>
      </c>
      <c r="HB9" s="277" t="str">
        <f t="shared" si="50"/>
        <v/>
      </c>
      <c r="HC9" s="277" t="str">
        <f>ZahlenInBereich(Tabelle1[[Empfehlung62]:[Werkzeug64]],ROW()-5)</f>
        <v>Cloud Service Komposition_x000D_(Empfehlung - Gonidis )</v>
      </c>
      <c r="HD9" s="277" t="str">
        <f t="shared" si="51"/>
        <v/>
      </c>
      <c r="HE9" s="277" t="str">
        <f t="shared" si="52"/>
        <v/>
      </c>
      <c r="HF9" s="277" t="str">
        <f t="shared" si="53"/>
        <v/>
      </c>
      <c r="HG9" s="277" t="str">
        <f>ZahlenInBereich(Tabelle1[[Empfehlung66]:[Werkzeug68]],ROW()-5)</f>
        <v/>
      </c>
      <c r="HH9" s="277" t="str">
        <f t="shared" si="54"/>
        <v>Cloud Service Komposition_x000D_(Empfehlung - Gonidis )</v>
      </c>
      <c r="HI9" s="277" t="str">
        <f t="shared" si="55"/>
        <v>Open-Source Plattform_x000D_(Methode - Ferry)</v>
      </c>
      <c r="HJ9" s="277" t="str">
        <f t="shared" si="56"/>
        <v/>
      </c>
      <c r="HK9" s="277" t="str">
        <f>ZahlenInBereich(Tabelle1[[Empfehlung70]:[Werkzeug72]],ROW()-5)</f>
        <v>Cloud Service Komposition_x000D_(Empfehlung - Gonidis )</v>
      </c>
      <c r="HL9" s="277" t="str">
        <f t="shared" si="57"/>
        <v/>
      </c>
      <c r="HM9" s="277" t="str">
        <f t="shared" si="58"/>
        <v/>
      </c>
      <c r="HN9" s="277" t="str">
        <f t="shared" si="59"/>
        <v/>
      </c>
      <c r="HO9" s="277" t="str">
        <f>ZahlenInBereich(Tabelle1[[Empfehlung74]:[Werkzeug76]],ROW()-5)</f>
        <v>Datenintegration_x000D_(Werkzeug - Vernik)</v>
      </c>
    </row>
    <row r="10" spans="2:223" ht="32" x14ac:dyDescent="0.2">
      <c r="B10" s="134">
        <f>'1.4 Analyse &amp; Synthese'!B11</f>
        <v>5</v>
      </c>
      <c r="C10" s="277" t="str">
        <f>IF(AND('1.4 Analyse &amp; Synthese'!Q11=1,'1.4 Analyse &amp; Synthese'!F11="Empfehlung"),'1.4 Analyse &amp; Synthese'!I11&amp;CHAR(13)&amp;"("&amp;'(Codierung)'!$C$2&amp;" - "&amp;'1.4 Analyse &amp; Synthese'!C11&amp;")","")</f>
        <v/>
      </c>
      <c r="D10" s="222" t="str">
        <f t="array" ref="D10">_xlfn.IFNA(INDEX($C$6:$C$66,MATCH(0,COUNTIF($D$4:D9,$C$6:$C$66),0),1),"")</f>
        <v/>
      </c>
      <c r="E10" s="277" t="str">
        <f>IF(AND('1.4 Analyse &amp; Synthese'!Q11=1,'1.4 Analyse &amp; Synthese'!F11="Methode"),'1.4 Analyse &amp; Synthese'!I11&amp;CHAR(13)&amp;"("&amp;'(Codierung)'!$C$3&amp;" - "&amp;'1.4 Analyse &amp; Synthese'!C11&amp;")","")</f>
        <v/>
      </c>
      <c r="F10" s="277" t="str">
        <f t="array" ref="F10">_xlfn.IFNA(INDEX($E$6:$E$66,MATCH(0,COUNTIF($F$4:F9,$E$6:$E$66),0),1),"")</f>
        <v/>
      </c>
      <c r="G10" s="277" t="str">
        <f>IF(AND('1.4 Analyse &amp; Synthese'!Q11=1,'1.4 Analyse &amp; Synthese'!F11="Werkzeug"),'1.4 Analyse &amp; Synthese'!I11&amp;CHAR(13)&amp;"("&amp;'(Codierung)'!$C$4&amp;" - "&amp;'1.4 Analyse &amp; Synthese'!C11&amp;")","")</f>
        <v/>
      </c>
      <c r="H10" s="277" t="str">
        <f t="array" ref="H10">_xlfn.IFNA(INDEX($G$6:$G$66,MATCH(0,COUNTIF($H$4:H9,$G$6:$G$66),0),1),"")</f>
        <v/>
      </c>
      <c r="J10" s="277" t="str">
        <f>IF(AND('1.4 Analyse &amp; Synthese'!R11=1,'1.4 Analyse &amp; Synthese'!F11="Empfehlung"),'1.4 Analyse &amp; Synthese'!I11&amp;CHAR(13)&amp;"("&amp;'(Codierung)'!$C$2&amp;" - "&amp;'1.4 Analyse &amp; Synthese'!C11&amp;")","")</f>
        <v/>
      </c>
      <c r="K10" s="277" t="str">
        <f t="array" ref="K10">_xlfn.IFNA(INDEX($J$6:$J$66,MATCH(0,COUNTIF($K$4:K9,$J$6:$J$66),0),1),"")</f>
        <v/>
      </c>
      <c r="L10" s="277" t="str">
        <f>IF(AND('1.4 Analyse &amp; Synthese'!R11=1,'1.4 Analyse &amp; Synthese'!F11="Methode"),'1.4 Analyse &amp; Synthese'!I11&amp;CHAR(13)&amp;"("&amp;'(Codierung)'!$C$3&amp;" - "&amp;'1.4 Analyse &amp; Synthese'!C11&amp;")","")</f>
        <v/>
      </c>
      <c r="M10" s="277" t="str">
        <f t="array" ref="M10">_xlfn.IFNA(INDEX($L$6:$L$66,MATCH(0,COUNTIF($M$4:M9,$L$6:$L$66),0),1),"")</f>
        <v/>
      </c>
      <c r="N10" s="277" t="str">
        <f>IF(AND('1.4 Analyse &amp; Synthese'!R11=1,'1.4 Analyse &amp; Synthese'!F11="Werkzeug"),'1.4 Analyse &amp; Synthese'!I11&amp;CHAR(13)&amp;"("&amp;'(Codierung)'!$C$4&amp;" - "&amp;'1.4 Analyse &amp; Synthese'!C11&amp;")","")</f>
        <v/>
      </c>
      <c r="O10" s="277" t="str">
        <f t="array" ref="O10">_xlfn.IFNA(INDEX($N$6:$N$66,MATCH(0,COUNTIF($O$4:O9,$N$6:$N$66),0),1),"")</f>
        <v/>
      </c>
      <c r="Q10" s="277" t="str">
        <f>IF(AND('1.4 Analyse &amp; Synthese'!S11=1,'1.4 Analyse &amp; Synthese'!F11="Empfehlung"),'1.4 Analyse &amp; Synthese'!I11&amp;CHAR(13)&amp;"("&amp;'(Codierung)'!$C$2&amp;" - "&amp;'1.4 Analyse &amp; Synthese'!C11&amp;")","")</f>
        <v/>
      </c>
      <c r="R10" s="277" t="str">
        <f t="array" ref="R10">_xlfn.IFNA(INDEX($Q$6:$Q$66,MATCH(0,COUNTIF($R$4:R9,$Q$6:$Q$66),0),1),"")</f>
        <v>Cloud Service Broker_x000D_(Empfehlung - Jrad)</v>
      </c>
      <c r="S10" s="277" t="str">
        <f>IF(AND('1.4 Analyse &amp; Synthese'!S11=1,'1.4 Analyse &amp; Synthese'!F11="Methode"),'1.4 Analyse &amp; Synthese'!I11&amp;CHAR(13)&amp;"("&amp;'(Codierung)'!$C$3&amp;" - "&amp;'1.4 Analyse &amp; Synthese'!C11&amp;")","")</f>
        <v/>
      </c>
      <c r="T10" s="277" t="str">
        <f t="array" ref="T10">_xlfn.IFNA(INDEX($S$6:$S$66,MATCH(0,COUNTIF($T$4:T9,$S$6:$S$66),0),1),"")</f>
        <v>SLA Management Aggregation_x000D_(Methode - Ul Haq)</v>
      </c>
      <c r="U10" s="277" t="str">
        <f>IF(AND('1.4 Analyse &amp; Synthese'!S11=1,'1.4 Analyse &amp; Synthese'!F11="Werkzeug"),'1.4 Analyse &amp; Synthese'!I11&amp;CHAR(13)&amp;"("&amp;'(Codierung)'!$C$4&amp;" - "&amp;'1.4 Analyse &amp; Synthese'!C11&amp;")","")</f>
        <v/>
      </c>
      <c r="V10" s="277" t="str">
        <f t="array" ref="V10">_xlfn.IFNA(INDEX($U$6:$U$66,MATCH(0,COUNTIF($V$4:V9,$U$6:$U$66),0),1),"")</f>
        <v/>
      </c>
      <c r="X10" s="277" t="str">
        <f>IF(AND('1.4 Analyse &amp; Synthese'!T11=1,'1.4 Analyse &amp; Synthese'!F11="Empfehlung"),'1.4 Analyse &amp; Synthese'!I11&amp;CHAR(13)&amp;"("&amp;'(Codierung)'!$C$2&amp;" - "&amp;'1.4 Analyse &amp; Synthese'!C11&amp;")","")</f>
        <v/>
      </c>
      <c r="Y10" s="277" t="str">
        <f t="array" ref="Y10">_xlfn.IFNA(INDEX($X$6:$X$66,MATCH(0,COUNTIF($Y$4:Y9,$X$6:$X$66),0),1),"")</f>
        <v/>
      </c>
      <c r="Z10" s="277" t="str">
        <f>IF(AND('1.4 Analyse &amp; Synthese'!T11=1,'1.4 Analyse &amp; Synthese'!F11="Methode"),'1.4 Analyse &amp; Synthese'!I11&amp;CHAR(13)&amp;"("&amp;'(Codierung)'!$C$3&amp;" - "&amp;'1.4 Analyse &amp; Synthese'!C11&amp;")","")</f>
        <v/>
      </c>
      <c r="AA10" s="277" t="str">
        <f t="array" ref="AA10">_xlfn.IFNA(INDEX($Z$6:$Z$66,MATCH(0,COUNTIF($AA$4:AA9,$Z$6:$Z$66),0),1),"")</f>
        <v/>
      </c>
      <c r="AB10" s="277" t="str">
        <f>IF(AND('1.4 Analyse &amp; Synthese'!T11=1,'1.4 Analyse &amp; Synthese'!F11="Werkzeug"),'1.4 Analyse &amp; Synthese'!I11&amp;CHAR(13)&amp;"("&amp;'(Codierung)'!$C$4&amp;" - "&amp;'1.4 Analyse &amp; Synthese'!C11&amp;")","")</f>
        <v/>
      </c>
      <c r="AC10" s="277" t="str">
        <f t="array" ref="AC10">_xlfn.IFNA(INDEX($AB$6:$AB$66,MATCH(0,COUNTIF($AC$4:AC9,$AB$6:$AB$66),0),1),"")</f>
        <v/>
      </c>
      <c r="AE10" s="277" t="str">
        <f>IF(AND('1.4 Analyse &amp; Synthese'!U11=1,'1.4 Analyse &amp; Synthese'!F11="Empfehlung"),'1.4 Analyse &amp; Synthese'!I11&amp;CHAR(13)&amp;"("&amp;'(Codierung)'!$C$2&amp;" - "&amp;'1.4 Analyse &amp; Synthese'!C11&amp;")","")</f>
        <v/>
      </c>
      <c r="AF10" s="277" t="str">
        <f t="array" ref="AF10">_xlfn.IFNA(INDEX($AE$6:$AE$66,MATCH(0,COUNTIF($AF$4:AF9,$AE$6:$AE$66),0),1),"")</f>
        <v/>
      </c>
      <c r="AG10" s="277" t="str">
        <f>IF(AND('1.4 Analyse &amp; Synthese'!U11=1,'1.4 Analyse &amp; Synthese'!F11="Methode"),'1.4 Analyse &amp; Synthese'!I11&amp;CHAR(13)&amp;"("&amp;'(Codierung)'!$C$3&amp;" - "&amp;'1.4 Analyse &amp; Synthese'!C11&amp;")","")</f>
        <v/>
      </c>
      <c r="AH10" s="277" t="str">
        <f t="array" ref="AH10">_xlfn.IFNA(INDEX($AG$6:$AG$66,MATCH(0,COUNTIF($AH$4:AH9,$AG$6:$AG$66),0),1),"")</f>
        <v/>
      </c>
      <c r="AI10" s="277" t="str">
        <f>IF(AND('1.4 Analyse &amp; Synthese'!U11=1,'1.4 Analyse &amp; Synthese'!F11="Werkzeug"),'1.4 Analyse &amp; Synthese'!I11&amp;CHAR(13)&amp;"("&amp;'(Codierung)'!$C$4&amp;" - "&amp;'1.4 Analyse &amp; Synthese'!C11&amp;")","")</f>
        <v/>
      </c>
      <c r="AJ10" s="277" t="str">
        <f t="array" ref="AJ10">_xlfn.IFNA(INDEX($AI$6:$AI$66,MATCH(0,COUNTIF($AJ$4:AJ9,$AI$6:$AI$66),0),1),"")</f>
        <v/>
      </c>
      <c r="AL10" s="277" t="str">
        <f>IF(AND('1.4 Analyse &amp; Synthese'!V11=1,'1.4 Analyse &amp; Synthese'!F11="Empfehlung"),'1.4 Analyse &amp; Synthese'!I11&amp;CHAR(13)&amp;"("&amp;'(Codierung)'!$C$2&amp;" - "&amp;'1.4 Analyse &amp; Synthese'!C11&amp;")","")</f>
        <v/>
      </c>
      <c r="AM10" s="277" t="str">
        <f t="array" ref="AM10">_xlfn.IFNA(INDEX($AL$6:$AL$66,MATCH(0,COUNTIF($AM$4:AM9,$AL$6:$AL$66),0),1),"")</f>
        <v/>
      </c>
      <c r="AN10" s="277" t="str">
        <f>IF(AND('1.4 Analyse &amp; Synthese'!V11=1,'1.4 Analyse &amp; Synthese'!F11="Methode"),'1.4 Analyse &amp; Synthese'!I11&amp;CHAR(13)&amp;"("&amp;'(Codierung)'!$C$3&amp;" - "&amp;'1.4 Analyse &amp; Synthese'!C11&amp;")","")</f>
        <v/>
      </c>
      <c r="AO10" s="277" t="str">
        <f t="array" ref="AO10">_xlfn.IFNA(INDEX($AN$6:$AN$66,MATCH(0,COUNTIF($AO$4:AO9,$AN$6:$AN$66),0),1),"")</f>
        <v/>
      </c>
      <c r="AP10" s="277" t="str">
        <f>IF(AND('1.4 Analyse &amp; Synthese'!V11=1,'1.4 Analyse &amp; Synthese'!F11="Werkzeug"),'1.4 Analyse &amp; Synthese'!I11&amp;CHAR(13)&amp;"("&amp;'(Codierung)'!$C$4&amp;" - "&amp;'1.4 Analyse &amp; Synthese'!C11&amp;")","")</f>
        <v/>
      </c>
      <c r="AQ10" s="277" t="str">
        <f t="array" ref="AQ10">_xlfn.IFNA(INDEX($AP$6:$AP$66,MATCH(0,COUNTIF($AQ$4:AQ9,$AP$6:$AP$66),0),1),"")</f>
        <v/>
      </c>
      <c r="AS10" s="277" t="str">
        <f>IF(AND('1.4 Analyse &amp; Synthese'!W11=1,'1.4 Analyse &amp; Synthese'!F11="Empfehlung"),'1.4 Analyse &amp; Synthese'!I11&amp;CHAR(13)&amp;"("&amp;'(Codierung)'!$C$2&amp;" - "&amp;'1.4 Analyse &amp; Synthese'!C11&amp;")","")</f>
        <v/>
      </c>
      <c r="AT10" s="277" t="str">
        <f t="array" ref="AT10">_xlfn.IFNA(INDEX($AS$6:$AS$66,MATCH(0,COUNTIF($AT$4:AT9,$AS$6:$AS$66),0),1),"")</f>
        <v/>
      </c>
      <c r="AU10" s="277" t="str">
        <f>IF(AND('1.4 Analyse &amp; Synthese'!W11=1,'1.4 Analyse &amp; Synthese'!F11="Methode"),'1.4 Analyse &amp; Synthese'!I11&amp;CHAR(13)&amp;"("&amp;'(Codierung)'!$C$3&amp;" - "&amp;'1.4 Analyse &amp; Synthese'!C11&amp;")","")</f>
        <v/>
      </c>
      <c r="AV10" s="277" t="str">
        <f t="array" ref="AV10">_xlfn.IFNA(INDEX($AU$6:$AU$66,MATCH(0,COUNTIF($AV$4:AV9,$AU$6:$AU$66),0),1),"")</f>
        <v/>
      </c>
      <c r="AW10" s="277" t="str">
        <f>IF(AND('1.4 Analyse &amp; Synthese'!W11=1,'1.4 Analyse &amp; Synthese'!F11="Werkzeug"),'1.4 Analyse &amp; Synthese'!I11&amp;CHAR(13)&amp;"("&amp;'(Codierung)'!$C$4&amp;" - "&amp;'1.4 Analyse &amp; Synthese'!C11&amp;")","")</f>
        <v/>
      </c>
      <c r="AX10" s="277" t="str">
        <f t="array" ref="AX10">_xlfn.IFNA(INDEX($AW$6:$AW$66,MATCH(0,COUNTIF($AX$4:AX9,$AW$6:$AW$66),0),1),"")</f>
        <v/>
      </c>
      <c r="AZ10" s="277" t="str">
        <f>IF(AND('1.4 Analyse &amp; Synthese'!X11=1,'1.4 Analyse &amp; Synthese'!F11="Empfehlung"),'1.4 Analyse &amp; Synthese'!I11&amp;CHAR(13)&amp;"("&amp;'(Codierung)'!$C$2&amp;" - "&amp;'1.4 Analyse &amp; Synthese'!C11&amp;")","")</f>
        <v/>
      </c>
      <c r="BA10" s="277" t="str">
        <f t="array" ref="BA10">_xlfn.IFNA(INDEX($AZ$6:$AZ$66,MATCH(0,COUNTIF($BA$4:BA9,$AZ$6:$AZ$66),0),1),"")</f>
        <v/>
      </c>
      <c r="BB10" s="277" t="str">
        <f>IF(AND('1.4 Analyse &amp; Synthese'!X11=1,'1.4 Analyse &amp; Synthese'!F11="Methode"),'1.4 Analyse &amp; Synthese'!I11&amp;CHAR(13)&amp;"("&amp;'(Codierung)'!$C$3&amp;" - "&amp;'1.4 Analyse &amp; Synthese'!C11&amp;")","")</f>
        <v/>
      </c>
      <c r="BC10" s="277" t="str">
        <f t="array" ref="BC10">_xlfn.IFNA(INDEX($BB$6:$BB$66,MATCH(0,COUNTIF($BC$4:BC9,$BB$6:$BB$66),0),1),"")</f>
        <v/>
      </c>
      <c r="BD10" s="277" t="str">
        <f>IF(AND('1.4 Analyse &amp; Synthese'!X11=1,'1.4 Analyse &amp; Synthese'!F11="Werkzeug"),'1.4 Analyse &amp; Synthese'!I11&amp;CHAR(13)&amp;"("&amp;'(Codierung)'!$C$4&amp;" - "&amp;'1.4 Analyse &amp; Synthese'!C11&amp;")","")</f>
        <v/>
      </c>
      <c r="BE10" s="277" t="str">
        <f t="array" ref="BE10">_xlfn.IFNA(INDEX($BD$6:$BD$66,MATCH(0,COUNTIF($BE$4:BE9,$BD$6:$BD$66),0),1),"")</f>
        <v/>
      </c>
      <c r="BG10" s="277" t="str">
        <f>IF(AND('1.4 Analyse &amp; Synthese'!Y11=1,'1.4 Analyse &amp; Synthese'!F11="Empfehlung"),'1.4 Analyse &amp; Synthese'!I11&amp;CHAR(13)&amp;"("&amp;'(Codierung)'!$C$2&amp;" - "&amp;'1.4 Analyse &amp; Synthese'!C11&amp;")","")</f>
        <v/>
      </c>
      <c r="BH10" s="277" t="str">
        <f t="array" ref="BH10">_xlfn.IFNA(INDEX($BG$6:$BG$66,MATCH(0,COUNTIF($BH$4:BH9,$BG$6:$BG$66),0),1),"")</f>
        <v/>
      </c>
      <c r="BI10" s="277" t="str">
        <f>IF(AND('1.4 Analyse &amp; Synthese'!Y11=1,'1.4 Analyse &amp; Synthese'!F11="Methode"),'1.4 Analyse &amp; Synthese'!I11&amp;CHAR(13)&amp;"("&amp;'(Codierung)'!$C$3&amp;" - "&amp;'1.4 Analyse &amp; Synthese'!C11&amp;")","")</f>
        <v/>
      </c>
      <c r="BJ10" s="277" t="str">
        <f t="array" ref="BJ10">_xlfn.IFNA(INDEX($BI$6:$BI$66,MATCH(0,COUNTIF($BJ$4:BJ9,$BI$6:$BI$66),0),1),"")</f>
        <v/>
      </c>
      <c r="BK10" s="277" t="str">
        <f>IF(AND('1.4 Analyse &amp; Synthese'!Y11=1,'1.4 Analyse &amp; Synthese'!F11="Werkzeug"),'1.4 Analyse &amp; Synthese'!I11&amp;CHAR(13)&amp;"("&amp;'(Codierung)'!$C$4&amp;" - "&amp;'1.4 Analyse &amp; Synthese'!C11&amp;")","")</f>
        <v/>
      </c>
      <c r="BL10" s="277" t="str">
        <f t="array" ref="BL10">_xlfn.IFNA(INDEX($BK$6:$BK$66,MATCH(0,COUNTIF($BL$4:BL9,$BK$6:$BK$66),0),1),"")</f>
        <v/>
      </c>
      <c r="BN10" s="277" t="str">
        <f>IF(AND('1.4 Analyse &amp; Synthese'!Z11=1,'1.4 Analyse &amp; Synthese'!F11="Empfehlung"),'1.4 Analyse &amp; Synthese'!I11&amp;CHAR(13)&amp;"("&amp;'(Codierung)'!$C$2&amp;" - "&amp;'1.4 Analyse &amp; Synthese'!C11&amp;")","")</f>
        <v/>
      </c>
      <c r="BO10" s="277" t="str">
        <f t="array" ref="BO10">_xlfn.IFNA(INDEX($BN$6:$BN$66,MATCH(0,COUNTIF($BO$4:BO9,$BN$6:$BN$66),0),1),"")</f>
        <v>Open-Source Plattform_x000D_(Empfehlung - Moscato)</v>
      </c>
      <c r="BP10" s="277" t="str">
        <f>IF(AND('1.4 Analyse &amp; Synthese'!Z11=1,'1.4 Analyse &amp; Synthese'!F11="Methode"),'1.4 Analyse &amp; Synthese'!I11&amp;CHAR(13)&amp;"("&amp;'(Codierung)'!$C$3&amp;" - "&amp;'1.4 Analyse &amp; Synthese'!C11&amp;")","")</f>
        <v/>
      </c>
      <c r="BQ10" s="277" t="str">
        <f t="array" ref="BQ10">_xlfn.IFNA(INDEX($BP$6:$BP$66,MATCH(0,COUNTIF($BQ$4:BQ9,$BP$6:$BP$66),0),1),"")</f>
        <v/>
      </c>
      <c r="BR10" s="277" t="str">
        <f>IF(AND('1.4 Analyse &amp; Synthese'!Z11=1,'1.4 Analyse &amp; Synthese'!F11="Werkzeug"),'1.4 Analyse &amp; Synthese'!I11&amp;CHAR(13)&amp;"("&amp;'(Codierung)'!$C$4&amp;" - "&amp;'1.4 Analyse &amp; Synthese'!C11&amp;")","")</f>
        <v/>
      </c>
      <c r="BS10" s="277" t="str">
        <f t="array" ref="BS10">_xlfn.IFNA(INDEX($BR$6:$BR$66,MATCH(0,COUNTIF($BS$4:BS9,$BR$6:$BR$66),0),1),"")</f>
        <v/>
      </c>
      <c r="BU10" s="277" t="str">
        <f>IF(AND('1.4 Analyse &amp; Synthese'!AA11=1,'1.4 Analyse &amp; Synthese'!F11="Empfehlung"),'1.4 Analyse &amp; Synthese'!I11&amp;CHAR(13)&amp;"("&amp;'(Codierung)'!$C$2&amp;" - "&amp;'1.4 Analyse &amp; Synthese'!C11&amp;")","")</f>
        <v/>
      </c>
      <c r="BV10" s="277" t="str">
        <f t="array" ref="BV10">_xlfn.IFNA(INDEX($BU$6:$BU$66,MATCH(0,COUNTIF($BV$4:BV9,$BU$6:$BU$66),0),1),"")</f>
        <v/>
      </c>
      <c r="BW10" s="277" t="str">
        <f>IF(AND('1.4 Analyse &amp; Synthese'!AA11=1,'1.4 Analyse &amp; Synthese'!F11="Methode"),'1.4 Analyse &amp; Synthese'!I11&amp;CHAR(13)&amp;"("&amp;'(Codierung)'!$C$3&amp;" - "&amp;'1.4 Analyse &amp; Synthese'!C11&amp;")","")</f>
        <v/>
      </c>
      <c r="BX10" s="277" t="str">
        <f t="array" ref="BX10">_xlfn.IFNA(INDEX($BW$6:$BW$66,MATCH(0,COUNTIF($BX$4:BX9,$BW$6:$BW$66),0),1),"")</f>
        <v/>
      </c>
      <c r="BY10" s="277" t="str">
        <f>IF(AND('1.4 Analyse &amp; Synthese'!AA11=1,'1.4 Analyse &amp; Synthese'!F11="Werkzeug"),'1.4 Analyse &amp; Synthese'!I11&amp;CHAR(13)&amp;"("&amp;'(Codierung)'!$C$4&amp;" - "&amp;'1.4 Analyse &amp; Synthese'!C11&amp;")","")</f>
        <v/>
      </c>
      <c r="BZ10" s="277" t="str">
        <f t="array" ref="BZ10">_xlfn.IFNA(INDEX($BY$6:$BY$66,MATCH(0,COUNTIF($BZ$4:BZ9,$BY$6:$BY$66),0),1),"")</f>
        <v/>
      </c>
      <c r="CB10" s="277" t="str">
        <f>IF(AND('1.4 Analyse &amp; Synthese'!AB11=1,'1.4 Analyse &amp; Synthese'!F11="Empfehlung"),'1.4 Analyse &amp; Synthese'!I11&amp;CHAR(13)&amp;"("&amp;'(Codierung)'!$C$2&amp;" - "&amp;'1.4 Analyse &amp; Synthese'!C11&amp;")","")</f>
        <v/>
      </c>
      <c r="CC10" s="277" t="str">
        <f t="array" ref="CC10">_xlfn.IFNA(INDEX($CB$6:$CB$66,MATCH(0,COUNTIF($CC$4:CC9,$CB$6:$CB$66),0),1),"")</f>
        <v/>
      </c>
      <c r="CD10" s="277" t="str">
        <f>IF(AND('1.4 Analyse &amp; Synthese'!AB11=1,'1.4 Analyse &amp; Synthese'!F11="Methode"),'1.4 Analyse &amp; Synthese'!I11&amp;CHAR(13)&amp;"("&amp;'(Codierung)'!$C$3&amp;" - "&amp;'1.4 Analyse &amp; Synthese'!C11&amp;")","")</f>
        <v/>
      </c>
      <c r="CE10" s="277" t="str">
        <f t="array" ref="CE10">_xlfn.IFNA(INDEX($CD$6:$CD$66,MATCH(0,COUNTIF($CE$4:CE9,$CD$6:$CD$66),0),1),"")</f>
        <v/>
      </c>
      <c r="CF10" s="277" t="str">
        <f>IF(AND('1.4 Analyse &amp; Synthese'!AB11=1,'1.4 Analyse &amp; Synthese'!F11="Werkzeug"),'1.4 Analyse &amp; Synthese'!I11&amp;CHAR(13)&amp;"("&amp;'(Codierung)'!$C$4&amp;" - "&amp;'1.4 Analyse &amp; Synthese'!C11&amp;")","")</f>
        <v/>
      </c>
      <c r="CG10" s="277" t="str">
        <f t="array" ref="CG10">_xlfn.IFNA(INDEX($CF$6:$CF$66,MATCH(0,COUNTIF($CG$4:CG9,$CF$6:$CF$66),0),1),"")</f>
        <v/>
      </c>
      <c r="CI10" s="277" t="str">
        <f>IF(AND('1.4 Analyse &amp; Synthese'!AC11=1,'1.4 Analyse &amp; Synthese'!F11="Empfehlung"),'1.4 Analyse &amp; Synthese'!I11&amp;CHAR(13)&amp;"("&amp;'(Codierung)'!$C$2&amp;" - "&amp;'1.4 Analyse &amp; Synthese'!C11&amp;")","")</f>
        <v/>
      </c>
      <c r="CJ10" s="277" t="str">
        <f t="array" ref="CJ10">_xlfn.IFNA(INDEX($CI$6:$CI$66,MATCH(0,COUNTIF($CJ$4:CJ9,$CI$6:$CI$66),0),1),"")</f>
        <v/>
      </c>
      <c r="CK10" s="277" t="str">
        <f>IF(AND('1.4 Analyse &amp; Synthese'!AC11=1,'1.4 Analyse &amp; Synthese'!F11="Methode"),'1.4 Analyse &amp; Synthese'!I11&amp;CHAR(13)&amp;"("&amp;'(Codierung)'!$C$3&amp;" - "&amp;'1.4 Analyse &amp; Synthese'!C11&amp;")","")</f>
        <v/>
      </c>
      <c r="CL10" s="277" t="str">
        <f t="array" ref="CL10">_xlfn.IFNA(INDEX($CK$6:$CK$66,MATCH(0,COUNTIF($CL$4:CL9,$CK$6:$CK$66),0),1),"")</f>
        <v/>
      </c>
      <c r="CM10" s="277" t="str">
        <f>IF(AND('1.4 Analyse &amp; Synthese'!AC11=1,'1.4 Analyse &amp; Synthese'!F11="Werkzeug"),'1.4 Analyse &amp; Synthese'!I11&amp;CHAR(13)&amp;"("&amp;'(Codierung)'!$C$4&amp;" - "&amp;'1.4 Analyse &amp; Synthese'!C11&amp;")","")</f>
        <v/>
      </c>
      <c r="CN10" s="277" t="str">
        <f t="array" ref="CN10">_xlfn.IFNA(INDEX($CM$6:$CM$66,MATCH(0,COUNTIF($CN$4:CN9,$CM$6:$CM$66),0),1),"")</f>
        <v/>
      </c>
      <c r="CP10" s="277" t="str">
        <f>IF(AND('1.4 Analyse &amp; Synthese'!AD11=1,'1.4 Analyse &amp; Synthese'!F11="Empfehlung"),'1.4 Analyse &amp; Synthese'!I11&amp;CHAR(13)&amp;"("&amp;'(Codierung)'!$C$2&amp;" - "&amp;'1.4 Analyse &amp; Synthese'!C11&amp;")","")</f>
        <v/>
      </c>
      <c r="CQ10" s="277" t="str">
        <f t="array" ref="CQ10">_xlfn.IFNA(INDEX($CP$6:$CP$66,MATCH(0,COUNTIF($CQ$4:CQ9,$CP$6:$CP$66),0),1),"")</f>
        <v/>
      </c>
      <c r="CR10" s="277" t="str">
        <f>IF(AND('1.4 Analyse &amp; Synthese'!AD11=1,'1.4 Analyse &amp; Synthese'!F11="Methode"),'1.4 Analyse &amp; Synthese'!I11&amp;CHAR(13)&amp;"("&amp;'(Codierung)'!$C$3&amp;" - "&amp;'1.4 Analyse &amp; Synthese'!C11&amp;")","")</f>
        <v/>
      </c>
      <c r="CS10" s="277" t="str">
        <f t="array" ref="CS10">_xlfn.IFNA(INDEX($CR$6:$CR$66,MATCH(0,COUNTIF($CS$4:CS9,$CR$6:$CR$66),0),1),"")</f>
        <v/>
      </c>
      <c r="CT10" s="277" t="str">
        <f>IF(AND('1.4 Analyse &amp; Synthese'!AD11=1,'1.4 Analyse &amp; Synthese'!F11="Werkzeug"),'1.4 Analyse &amp; Synthese'!I11&amp;CHAR(13)&amp;"("&amp;'(Codierung)'!$C$4&amp;" - "&amp;'1.4 Analyse &amp; Synthese'!C11&amp;")","")</f>
        <v/>
      </c>
      <c r="CU10" s="277" t="str">
        <f t="array" ref="CU10">_xlfn.IFNA(INDEX($CT$6:$CT$66,MATCH(0,COUNTIF($CU$4:CU9,$CT$6:$CT$66),0),1),"")</f>
        <v/>
      </c>
      <c r="CW10" s="277" t="str">
        <f>IF(AND('1.4 Analyse &amp; Synthese'!AE11=1,'1.4 Analyse &amp; Synthese'!F11="Empfehlung"),'1.4 Analyse &amp; Synthese'!I11&amp;CHAR(13)&amp;"("&amp;'(Codierung)'!$C$2&amp;" - "&amp;'1.4 Analyse &amp; Synthese'!C11&amp;")","")</f>
        <v/>
      </c>
      <c r="CX10" s="277" t="str">
        <f t="array" ref="CX10">_xlfn.IFNA(INDEX($CW$6:$CW$66,MATCH(0,COUNTIF($CX$4:CX9,$CW$6:$CW$66),0),1),"")</f>
        <v>Open-Source Plattform_x000D_(Empfehlung - Moscato)</v>
      </c>
      <c r="CY10" s="277" t="str">
        <f>IF(AND('1.4 Analyse &amp; Synthese'!AE11=1,'1.4 Analyse &amp; Synthese'!F11="Methode"),'1.4 Analyse &amp; Synthese'!I11&amp;CHAR(13)&amp;"("&amp;'(Codierung)'!$C$3&amp;" - "&amp;'1.4 Analyse &amp; Synthese'!C11&amp;")","")</f>
        <v/>
      </c>
      <c r="CZ10" s="277" t="str">
        <f t="array" ref="CZ10">_xlfn.IFNA(INDEX($CY$6:$CY$66,MATCH(0,COUNTIF($CZ$4:CZ9,$CY$6:$CY$66),0),1),"")</f>
        <v/>
      </c>
      <c r="DA10" s="277" t="str">
        <f>IF(AND('1.4 Analyse &amp; Synthese'!AE11=1,'1.4 Analyse &amp; Synthese'!F11="Werkzeug"),'1.4 Analyse &amp; Synthese'!I11&amp;CHAR(13)&amp;"("&amp;'(Codierung)'!$C$4&amp;" - "&amp;'1.4 Analyse &amp; Synthese'!C11&amp;")","")</f>
        <v/>
      </c>
      <c r="DB10" s="277" t="str">
        <f t="array" ref="DB10">_xlfn.IFNA(INDEX($DA$6:$DA$66,MATCH(0,COUNTIF($DB$4:DB9,$DA$6:$DA$66),0),1),"")</f>
        <v/>
      </c>
      <c r="DD10" s="277" t="str">
        <f>IF(AND('1.4 Analyse &amp; Synthese'!AF11=1,'1.4 Analyse &amp; Synthese'!F11="Empfehlung"),'1.4 Analyse &amp; Synthese'!I11&amp;CHAR(13)&amp;"("&amp;'(Codierung)'!$C$2&amp;" - "&amp;'1.4 Analyse &amp; Synthese'!C11&amp;")","")</f>
        <v/>
      </c>
      <c r="DE10" s="277" t="str">
        <f t="array" ref="DE10">_xlfn.IFNA(INDEX($DD$6:$DD$66,MATCH(0,COUNTIF($DE$4:DE9,$DD$6:$DD$66),0),1),"")</f>
        <v>Monitoring System_x000D_(Empfehlung - Stefano)</v>
      </c>
      <c r="DF10" s="277" t="str">
        <f>IF(AND('1.4 Analyse &amp; Synthese'!AF11=1,'1.4 Analyse &amp; Synthese'!F11="Methode"),'1.4 Analyse &amp; Synthese'!I11&amp;CHAR(13)&amp;"("&amp;'(Codierung)'!$C$3&amp;" - "&amp;'1.4 Analyse &amp; Synthese'!C11&amp;")","")</f>
        <v>Monitoring System_x000D_(Methode - Aversa)</v>
      </c>
      <c r="DG10" s="277" t="str">
        <f t="array" ref="DG10">_xlfn.IFNA(INDEX($DF$6:$DF$66,MATCH(0,COUNTIF($DG$4:DG9,$DF$6:$DF$66),0),1),"")</f>
        <v/>
      </c>
      <c r="DH10" s="277" t="str">
        <f>IF(AND('1.4 Analyse &amp; Synthese'!AF11=1,'1.4 Analyse &amp; Synthese'!F11="Werkzeug"),'1.4 Analyse &amp; Synthese'!I11&amp;CHAR(13)&amp;"("&amp;'(Codierung)'!$C$4&amp;" - "&amp;'1.4 Analyse &amp; Synthese'!C11&amp;")","")</f>
        <v/>
      </c>
      <c r="DI10" s="277" t="str">
        <f t="array" ref="DI10">_xlfn.IFNA(INDEX($DH$6:$DH$66,MATCH(0,COUNTIF($DI$4:DI9,$DH$6:$DH$66),0),1),"")</f>
        <v/>
      </c>
      <c r="DK10" s="277" t="str">
        <f>IF(AND('1.4 Analyse &amp; Synthese'!AG11=1,'1.4 Analyse &amp; Synthese'!F11="Empfehlung"),'1.4 Analyse &amp; Synthese'!I11&amp;CHAR(13)&amp;"("&amp;'(Codierung)'!$C$2&amp;" - "&amp;'1.4 Analyse &amp; Synthese'!C11&amp;")","")</f>
        <v/>
      </c>
      <c r="DL10" s="277" t="str">
        <f t="array" ref="DL10">_xlfn.IFNA(INDEX($DK$6:$DK$66,MATCH(0,COUNTIF($DL$4:DL9,$DK$6:$DK$66),0),1),"")</f>
        <v>OVF Erweiterung_x000D_(Empfehlung - Haji)</v>
      </c>
      <c r="DM10" s="277" t="str">
        <f>IF(AND('1.4 Analyse &amp; Synthese'!AG11=1,'1.4 Analyse &amp; Synthese'!F11="Methode"),'1.4 Analyse &amp; Synthese'!I11&amp;CHAR(13)&amp;"("&amp;'(Codierung)'!$C$3&amp;" - "&amp;'1.4 Analyse &amp; Synthese'!C11&amp;")","")</f>
        <v>Monitoring System_x000D_(Methode - Aversa)</v>
      </c>
      <c r="DN10" s="277" t="str">
        <f t="array" ref="DN10">_xlfn.IFNA(INDEX($DM$6:$DM$66,MATCH(0,COUNTIF($DN$4:DN9,$DM$6:$DM$66),0),1),"")</f>
        <v/>
      </c>
      <c r="DO10" s="277" t="str">
        <f>IF(AND('1.4 Analyse &amp; Synthese'!AG11=1,'1.4 Analyse &amp; Synthese'!F11="Werkzeug"),'1.4 Analyse &amp; Synthese'!I11&amp;CHAR(13)&amp;"("&amp;'(Codierung)'!$C$4&amp;" - "&amp;'1.4 Analyse &amp; Synthese'!C11&amp;")","")</f>
        <v/>
      </c>
      <c r="DP10" s="277" t="str">
        <f t="array" ref="DP10">_xlfn.IFNA(INDEX($DO$6:$DO$66,MATCH(0,COUNTIF($DP$4:DP9,$DO$6:$DO$66),0),1),"")</f>
        <v/>
      </c>
      <c r="DR10" s="277" t="str">
        <f>IF(AND('1.4 Analyse &amp; Synthese'!AH11=1,'1.4 Analyse &amp; Synthese'!F11="Empfehlung"),'1.4 Analyse &amp; Synthese'!I11&amp;CHAR(13)&amp;"("&amp;'(Codierung)'!$C$2&amp;" - "&amp;'1.4 Analyse &amp; Synthese'!C11&amp;")","")</f>
        <v/>
      </c>
      <c r="DS10" s="277" t="str">
        <f t="array" ref="DS10">_xlfn.IFNA(INDEX($DR$6:$DR$66,MATCH(0,COUNTIF($DS$4:DS9,$DR$6:$DR$66),0),1),"")</f>
        <v/>
      </c>
      <c r="DT10" s="277" t="str">
        <f>IF(AND('1.4 Analyse &amp; Synthese'!AH11=1,'1.4 Analyse &amp; Synthese'!F11="Methode"),'1.4 Analyse &amp; Synthese'!I11&amp;CHAR(13)&amp;"("&amp;'(Codierung)'!$C$3&amp;" - "&amp;'1.4 Analyse &amp; Synthese'!C11&amp;")","")</f>
        <v/>
      </c>
      <c r="DU10" s="277" t="str">
        <f t="array" ref="DU10">_xlfn.IFNA(INDEX($DT$6:$DT$66,MATCH(0,COUNTIF($DU$4:DU9,$DT$6:$DT$66),0),1),"")</f>
        <v/>
      </c>
      <c r="DV10" s="277" t="str">
        <f>IF(AND('1.4 Analyse &amp; Synthese'!AH11=1,'1.4 Analyse &amp; Synthese'!F11="Werkzeug"),'1.4 Analyse &amp; Synthese'!I11&amp;CHAR(13)&amp;"("&amp;'(Codierung)'!$C$4&amp;" - "&amp;'1.4 Analyse &amp; Synthese'!C11&amp;")","")</f>
        <v/>
      </c>
      <c r="DW10" s="277" t="str">
        <f t="array" ref="DW10">_xlfn.IFNA(INDEX($DV$6:$DV$66,MATCH(0,COUNTIF($DW$4:DW9,$DV$6:$DV$66),0),1),"")</f>
        <v/>
      </c>
      <c r="DY10" s="277" t="str">
        <f>IF(AND('1.4 Analyse &amp; Synthese'!AI11=1,'1.4 Analyse &amp; Synthese'!F11="Empfehlung"),'1.4 Analyse &amp; Synthese'!I11&amp;CHAR(13)&amp;"("&amp;'(Codierung)'!$C$2&amp;" - "&amp;'1.4 Analyse &amp; Synthese'!C11&amp;")","")</f>
        <v/>
      </c>
      <c r="DZ10" s="277" t="str">
        <f t="array" ref="DZ10">_xlfn.IFNA(INDEX($DY$6:$DY$66,MATCH(0,COUNTIF($DZ$4:DZ9,$DY$6:$DY$66),0),1),"")</f>
        <v>OVF Erweiterung_x000D_(Empfehlung - Haji)</v>
      </c>
      <c r="EA10" s="277" t="str">
        <f>IF(AND('1.4 Analyse &amp; Synthese'!AI11=1,'1.4 Analyse &amp; Synthese'!F11="Methode"),'1.4 Analyse &amp; Synthese'!I11&amp;CHAR(13)&amp;"("&amp;'(Codierung)'!$C$3&amp;" - "&amp;'1.4 Analyse &amp; Synthese'!C11&amp;")","")</f>
        <v>Monitoring System_x000D_(Methode - Aversa)</v>
      </c>
      <c r="EB10" s="277" t="str">
        <f t="array" ref="EB10">_xlfn.IFNA(INDEX($EA$6:$EA$66,MATCH(0,COUNTIF($EB$4:EB9,$EA$6:$EA$66),0),1),"")</f>
        <v/>
      </c>
      <c r="EC10" s="277" t="str">
        <f>IF(AND('1.4 Analyse &amp; Synthese'!AI11=1,'1.4 Analyse &amp; Synthese'!F11="Werkzeug"),'1.4 Analyse &amp; Synthese'!I11&amp;CHAR(13)&amp;"("&amp;'(Codierung)'!$C$4&amp;" - "&amp;'1.4 Analyse &amp; Synthese'!C11&amp;")","")</f>
        <v/>
      </c>
      <c r="ED10" s="277" t="str">
        <f t="array" ref="ED10">_xlfn.IFNA(INDEX($EC$6:$EC$66,MATCH(0,COUNTIF($ED$4:ED9,$EC$6:$EC$66),0),1),"")</f>
        <v/>
      </c>
      <c r="EF10" s="277" t="str">
        <f>IF(AND('1.4 Analyse &amp; Synthese'!AJ11=1,'1.4 Analyse &amp; Synthese'!F11="Empfehlung"),'1.4 Analyse &amp; Synthese'!I11&amp;CHAR(13)&amp;"("&amp;'(Codierung)'!$C$2&amp;" - "&amp;'1.4 Analyse &amp; Synthese'!C11&amp;")","")</f>
        <v/>
      </c>
      <c r="EG10" s="277" t="str">
        <f t="array" ref="EG10">_xlfn.IFNA(INDEX($EF$6:$EF$66,MATCH(0,COUNTIF($EG$4:EG9,$EF$6:$EF$66),0),1),"")</f>
        <v/>
      </c>
      <c r="EH10" s="277" t="str">
        <f>IF(AND('1.4 Analyse &amp; Synthese'!AJ11=1,'1.4 Analyse &amp; Synthese'!F11="Methode"),'1.4 Analyse &amp; Synthese'!I11&amp;CHAR(13)&amp;"("&amp;'(Codierung)'!$C$3&amp;" - "&amp;'1.4 Analyse &amp; Synthese'!C11&amp;")","")</f>
        <v/>
      </c>
      <c r="EI10" s="277" t="str">
        <f t="array" ref="EI10">_xlfn.IFNA(INDEX($EH$6:$EH$66,MATCH(0,COUNTIF($EI$4:EI9,$EH$6:$EH$66),0),1),"")</f>
        <v/>
      </c>
      <c r="EJ10" s="277" t="str">
        <f>IF(AND('1.4 Analyse &amp; Synthese'!AJ11=1,'1.4 Analyse &amp; Synthese'!F11="Werkzeug"),'1.4 Analyse &amp; Synthese'!I11&amp;CHAR(13)&amp;"("&amp;'(Codierung)'!$C$4&amp;" - "&amp;'1.4 Analyse &amp; Synthese'!C11&amp;")","")</f>
        <v/>
      </c>
      <c r="EK10" s="277" t="str">
        <f t="array" ref="EK10">_xlfn.IFNA(INDEX($EJ$6:$EJ$66,MATCH(0,COUNTIF($EK$4:EK9,$EJ$6:$EJ$66),0),1),"")</f>
        <v/>
      </c>
      <c r="EN10" s="222" t="str">
        <f t="shared" si="0"/>
        <v/>
      </c>
      <c r="EO10" s="277" t="str">
        <f t="shared" si="1"/>
        <v/>
      </c>
      <c r="EP10" s="277" t="str">
        <f t="shared" si="2"/>
        <v/>
      </c>
      <c r="EQ10" s="277" t="str">
        <f>ZahlenInBereich(Tabelle1[[Empfehlung]:[Werkzeug]],ROW()-5)</f>
        <v>Open-Source Plattform_x000D_(Werkzeug - Zangara)</v>
      </c>
      <c r="ER10" s="277" t="str">
        <f t="shared" si="3"/>
        <v/>
      </c>
      <c r="ES10" s="277" t="str">
        <f t="shared" si="4"/>
        <v/>
      </c>
      <c r="ET10" s="277" t="str">
        <f t="shared" si="5"/>
        <v/>
      </c>
      <c r="EU10" s="277" t="str">
        <f>ZahlenInBereich(Tabelle1[[Empfehlung2]:[Werkzeug4]],ROW()-5)</f>
        <v>SLA Management Aggregation_x000D_(Methode - Ul Haq)</v>
      </c>
      <c r="EV10" s="277" t="str">
        <f t="shared" si="6"/>
        <v>Cloud Service Broker_x000D_(Empfehlung - Jrad)</v>
      </c>
      <c r="EW10" s="277" t="str">
        <f t="shared" si="7"/>
        <v>SLA Management Aggregation_x000D_(Methode - Ul Haq)</v>
      </c>
      <c r="EX10" s="277" t="str">
        <f t="shared" si="8"/>
        <v/>
      </c>
      <c r="EY10" s="277" t="str">
        <f>ZahlenInBereich(Tabelle1[[Empfehlung6]:[Werkzeug8]],ROW()-5)</f>
        <v>Cloud Service Broker_x000D_(Empfehlung - Jrad)</v>
      </c>
      <c r="EZ10" s="277" t="str">
        <f t="shared" si="9"/>
        <v/>
      </c>
      <c r="FA10" s="277" t="str">
        <f t="shared" si="10"/>
        <v/>
      </c>
      <c r="FB10" s="277" t="str">
        <f t="shared" si="11"/>
        <v/>
      </c>
      <c r="FC10" s="277" t="str">
        <f>ZahlenInBereich(Tabelle1[[Empfehlung10]:[Werkzeug12]],ROW()-5)</f>
        <v/>
      </c>
      <c r="FD10" s="277" t="str">
        <f t="shared" si="12"/>
        <v/>
      </c>
      <c r="FE10" s="277" t="str">
        <f t="shared" si="13"/>
        <v/>
      </c>
      <c r="FF10" s="277" t="str">
        <f t="shared" si="14"/>
        <v/>
      </c>
      <c r="FG10" s="277" t="str">
        <f>ZahlenInBereich(Tabelle1[[Empfehlung14]:[Werkzeug16]],ROW()-5)</f>
        <v/>
      </c>
      <c r="FH10" s="277" t="str">
        <f t="shared" si="15"/>
        <v/>
      </c>
      <c r="FI10" s="277" t="str">
        <f t="shared" si="16"/>
        <v/>
      </c>
      <c r="FJ10" s="277" t="str">
        <f t="shared" si="17"/>
        <v/>
      </c>
      <c r="FK10" s="277" t="str">
        <f>ZahlenInBereich(Tabelle1[[Empfehlung18]:[Werkzeug20]],ROW()-5)</f>
        <v>Einheitl. Servicebeschreibung_x000D_(Werkzeug - El-Awadi)</v>
      </c>
      <c r="FL10" s="277" t="str">
        <f t="shared" si="18"/>
        <v/>
      </c>
      <c r="FM10" s="277" t="str">
        <f t="shared" si="19"/>
        <v/>
      </c>
      <c r="FN10" s="277" t="str">
        <f t="shared" si="20"/>
        <v/>
      </c>
      <c r="FO10" s="277" t="str">
        <f>ZahlenInBereich(Tabelle1[[Empfehlung22]:[Werkzeug24]],ROW()-5)</f>
        <v/>
      </c>
      <c r="FP10" s="277" t="str">
        <f t="shared" si="21"/>
        <v/>
      </c>
      <c r="FQ10" s="277" t="str">
        <f t="shared" si="22"/>
        <v/>
      </c>
      <c r="FR10" s="277" t="str">
        <f t="shared" si="23"/>
        <v/>
      </c>
      <c r="FS10" s="277" t="str">
        <f>ZahlenInBereich(Tabelle1[[Empfehlung26]:[Werkzeug28]],ROW()-5)</f>
        <v>Einheitl. Servicebeschreibung_x000D_(Werkzeug - El-Awadi)</v>
      </c>
      <c r="FT10" s="277" t="str">
        <f t="shared" si="24"/>
        <v/>
      </c>
      <c r="FU10" s="277" t="str">
        <f t="shared" si="25"/>
        <v/>
      </c>
      <c r="FV10" s="277" t="str">
        <f t="shared" si="26"/>
        <v/>
      </c>
      <c r="FW10" s="277" t="str">
        <f>ZahlenInBereich(Tabelle1[[Empfehlung30]:[Werkzeug32]],ROW()-5)</f>
        <v/>
      </c>
      <c r="FX10" s="277" t="str">
        <f t="shared" si="27"/>
        <v>Open-Source Plattform_x000D_(Empfehlung - Moscato)</v>
      </c>
      <c r="FY10" s="277" t="str">
        <f t="shared" si="28"/>
        <v/>
      </c>
      <c r="FZ10" s="277" t="str">
        <f t="shared" si="29"/>
        <v/>
      </c>
      <c r="GA10" s="277" t="str">
        <f>ZahlenInBereich(Tabelle1[[Empfehlung34]:[Werkzeug36]],ROW()-5)</f>
        <v>Open-Source Plattform_x000D_(Empfehlung - Moscato)</v>
      </c>
      <c r="GB10" s="277" t="str">
        <f t="shared" si="30"/>
        <v/>
      </c>
      <c r="GC10" s="277" t="str">
        <f t="shared" si="31"/>
        <v/>
      </c>
      <c r="GD10" s="277" t="str">
        <f t="shared" si="32"/>
        <v/>
      </c>
      <c r="GE10" s="277" t="str">
        <f>ZahlenInBereich(Tabelle1[[Empfehlung38]:[Werkzeug40]],ROW()-5)</f>
        <v/>
      </c>
      <c r="GF10" s="277" t="str">
        <f t="shared" si="33"/>
        <v/>
      </c>
      <c r="GG10" s="277" t="str">
        <f t="shared" si="34"/>
        <v/>
      </c>
      <c r="GH10" s="277" t="str">
        <f t="shared" si="35"/>
        <v/>
      </c>
      <c r="GI10" s="277" t="str">
        <f>ZahlenInBereich(Tabelle1[[Empfehlung42]:[Werkzeug44]],ROW()-5)</f>
        <v/>
      </c>
      <c r="GJ10" s="277" t="str">
        <f t="shared" si="36"/>
        <v/>
      </c>
      <c r="GK10" s="277" t="str">
        <f t="shared" si="37"/>
        <v/>
      </c>
      <c r="GL10" s="277" t="str">
        <f t="shared" si="38"/>
        <v/>
      </c>
      <c r="GM10" s="277" t="str">
        <f>ZahlenInBereich(Tabelle1[[Empfehlung46]:[Werkzeug48]],ROW()-5)</f>
        <v/>
      </c>
      <c r="GN10" s="277" t="str">
        <f t="shared" si="39"/>
        <v/>
      </c>
      <c r="GO10" s="277" t="str">
        <f t="shared" si="40"/>
        <v/>
      </c>
      <c r="GP10" s="277" t="str">
        <f t="shared" si="41"/>
        <v/>
      </c>
      <c r="GQ10" s="277" t="str">
        <f>ZahlenInBereich(Tabelle1[[Empfehlung50]:[Werkzeug52]],ROW()-5)</f>
        <v>SLA Management Aggregation_x000D_(Methode - Stanik)</v>
      </c>
      <c r="GR10" s="277" t="str">
        <f t="shared" si="42"/>
        <v>Open-Source Plattform_x000D_(Empfehlung - Moscato)</v>
      </c>
      <c r="GS10" s="277" t="str">
        <f t="shared" si="43"/>
        <v/>
      </c>
      <c r="GT10" s="277" t="str">
        <f t="shared" si="44"/>
        <v/>
      </c>
      <c r="GU10" s="277" t="str">
        <f>ZahlenInBereich(Tabelle1[[Empfehlung54]:[Werkzeug56]],ROW()-5)</f>
        <v>Open-Source Plattform_x000D_(Empfehlung - Moscato)</v>
      </c>
      <c r="GV10" s="277" t="str">
        <f t="shared" si="45"/>
        <v>Monitoring System_x000D_(Empfehlung - Stefano)</v>
      </c>
      <c r="GW10" s="277" t="str">
        <f t="shared" si="46"/>
        <v/>
      </c>
      <c r="GX10" s="277" t="str">
        <f t="shared" si="47"/>
        <v/>
      </c>
      <c r="GY10" s="277" t="str">
        <f>ZahlenInBereich(Tabelle1[[Empfehlung58]:[Werkzeug60]],ROW()-5)</f>
        <v>Monitoring System_x000D_(Empfehlung - Stefano)</v>
      </c>
      <c r="GZ10" s="277" t="str">
        <f t="shared" si="48"/>
        <v>OVF Erweiterung_x000D_(Empfehlung - Haji)</v>
      </c>
      <c r="HA10" s="277" t="str">
        <f t="shared" si="49"/>
        <v/>
      </c>
      <c r="HB10" s="277" t="str">
        <f t="shared" si="50"/>
        <v/>
      </c>
      <c r="HC10" s="277" t="str">
        <f>ZahlenInBereich(Tabelle1[[Empfehlung62]:[Werkzeug64]],ROW()-5)</f>
        <v>OVF Erweiterung_x000D_(Empfehlung - Haji)</v>
      </c>
      <c r="HD10" s="277" t="str">
        <f t="shared" si="51"/>
        <v/>
      </c>
      <c r="HE10" s="277" t="str">
        <f t="shared" si="52"/>
        <v/>
      </c>
      <c r="HF10" s="277" t="str">
        <f t="shared" si="53"/>
        <v/>
      </c>
      <c r="HG10" s="277" t="str">
        <f>ZahlenInBereich(Tabelle1[[Empfehlung66]:[Werkzeug68]],ROW()-5)</f>
        <v/>
      </c>
      <c r="HH10" s="277" t="str">
        <f t="shared" si="54"/>
        <v>OVF Erweiterung_x000D_(Empfehlung - Haji)</v>
      </c>
      <c r="HI10" s="277" t="str">
        <f t="shared" si="55"/>
        <v/>
      </c>
      <c r="HJ10" s="277" t="str">
        <f t="shared" si="56"/>
        <v/>
      </c>
      <c r="HK10" s="277" t="str">
        <f>ZahlenInBereich(Tabelle1[[Empfehlung70]:[Werkzeug72]],ROW()-5)</f>
        <v>OVF Erweiterung_x000D_(Empfehlung - Haji)</v>
      </c>
      <c r="HL10" s="277" t="str">
        <f t="shared" si="57"/>
        <v/>
      </c>
      <c r="HM10" s="277" t="str">
        <f t="shared" si="58"/>
        <v/>
      </c>
      <c r="HN10" s="277" t="str">
        <f t="shared" si="59"/>
        <v/>
      </c>
      <c r="HO10" s="277" t="str">
        <f>ZahlenInBereich(Tabelle1[[Empfehlung74]:[Werkzeug76]],ROW()-5)</f>
        <v>Collaboration SaaS_x000D_(Werkzeug - Xia)</v>
      </c>
    </row>
    <row r="11" spans="2:223" ht="32" x14ac:dyDescent="0.2">
      <c r="B11" s="134">
        <f>'1.4 Analyse &amp; Synthese'!B12</f>
        <v>6</v>
      </c>
      <c r="C11" s="277" t="str">
        <f>IF(AND('1.4 Analyse &amp; Synthese'!Q12=1,'1.4 Analyse &amp; Synthese'!F12="Empfehlung"),'1.4 Analyse &amp; Synthese'!I12&amp;CHAR(13)&amp;"("&amp;'(Codierung)'!$C$2&amp;" - "&amp;'1.4 Analyse &amp; Synthese'!C12&amp;")","")</f>
        <v/>
      </c>
      <c r="D11" s="222" t="str">
        <f t="array" ref="D11">_xlfn.IFNA(INDEX($C$6:$C$66,MATCH(0,COUNTIF($D$4:D10,$C$6:$C$66),0),1),"")</f>
        <v/>
      </c>
      <c r="E11" s="277" t="str">
        <f>IF(AND('1.4 Analyse &amp; Synthese'!Q12=1,'1.4 Analyse &amp; Synthese'!F12="Methode"),'1.4 Analyse &amp; Synthese'!I12&amp;CHAR(13)&amp;"("&amp;'(Codierung)'!$C$3&amp;" - "&amp;'1.4 Analyse &amp; Synthese'!C12&amp;")","")</f>
        <v/>
      </c>
      <c r="F11" s="277" t="str">
        <f t="array" ref="F11">_xlfn.IFNA(INDEX($E$6:$E$66,MATCH(0,COUNTIF($F$4:F10,$E$6:$E$66),0),1),"")</f>
        <v/>
      </c>
      <c r="G11" s="277" t="str">
        <f>IF(AND('1.4 Analyse &amp; Synthese'!Q12=1,'1.4 Analyse &amp; Synthese'!F12="Werkzeug"),'1.4 Analyse &amp; Synthese'!I12&amp;CHAR(13)&amp;"("&amp;'(Codierung)'!$C$4&amp;" - "&amp;'1.4 Analyse &amp; Synthese'!C12&amp;")","")</f>
        <v/>
      </c>
      <c r="H11" s="277" t="str">
        <f t="array" ref="H11">_xlfn.IFNA(INDEX($G$6:$G$66,MATCH(0,COUNTIF($H$4:H10,$G$6:$G$66),0),1),"")</f>
        <v/>
      </c>
      <c r="J11" s="277" t="str">
        <f>IF(AND('1.4 Analyse &amp; Synthese'!R12=1,'1.4 Analyse &amp; Synthese'!F12="Empfehlung"),'1.4 Analyse &amp; Synthese'!I12&amp;CHAR(13)&amp;"("&amp;'(Codierung)'!$C$2&amp;" - "&amp;'1.4 Analyse &amp; Synthese'!C12&amp;")","")</f>
        <v>Open-Source Plattform_x000D_(Empfehlung - Bahrami )</v>
      </c>
      <c r="K11" s="277" t="str">
        <f t="array" ref="K11">_xlfn.IFNA(INDEX($J$6:$J$66,MATCH(0,COUNTIF($K$4:K10,$J$6:$J$66),0),1),"")</f>
        <v/>
      </c>
      <c r="L11" s="277" t="str">
        <f>IF(AND('1.4 Analyse &amp; Synthese'!R12=1,'1.4 Analyse &amp; Synthese'!F12="Methode"),'1.4 Analyse &amp; Synthese'!I12&amp;CHAR(13)&amp;"("&amp;'(Codierung)'!$C$3&amp;" - "&amp;'1.4 Analyse &amp; Synthese'!C12&amp;")","")</f>
        <v/>
      </c>
      <c r="M11" s="277" t="str">
        <f t="array" ref="M11">_xlfn.IFNA(INDEX($L$6:$L$66,MATCH(0,COUNTIF($M$4:M10,$L$6:$L$66),0),1),"")</f>
        <v/>
      </c>
      <c r="N11" s="277" t="str">
        <f>IF(AND('1.4 Analyse &amp; Synthese'!R12=1,'1.4 Analyse &amp; Synthese'!F12="Werkzeug"),'1.4 Analyse &amp; Synthese'!I12&amp;CHAR(13)&amp;"("&amp;'(Codierung)'!$C$4&amp;" - "&amp;'1.4 Analyse &amp; Synthese'!C12&amp;")","")</f>
        <v/>
      </c>
      <c r="O11" s="277" t="str">
        <f t="array" ref="O11">_xlfn.IFNA(INDEX($N$6:$N$66,MATCH(0,COUNTIF($O$4:O10,$N$6:$N$66),0),1),"")</f>
        <v/>
      </c>
      <c r="Q11" s="277" t="str">
        <f>IF(AND('1.4 Analyse &amp; Synthese'!S12=1,'1.4 Analyse &amp; Synthese'!F12="Empfehlung"),'1.4 Analyse &amp; Synthese'!I12&amp;CHAR(13)&amp;"("&amp;'(Codierung)'!$C$2&amp;" - "&amp;'1.4 Analyse &amp; Synthese'!C12&amp;")","")</f>
        <v/>
      </c>
      <c r="R11" s="277" t="str">
        <f t="array" ref="R11">_xlfn.IFNA(INDEX($Q$6:$Q$66,MATCH(0,COUNTIF($R$4:R10,$Q$6:$Q$66),0),1),"")</f>
        <v>Rechtliche Rahmenbedingung_x000D_(Empfehlung - Kafeza )</v>
      </c>
      <c r="S11" s="277" t="str">
        <f>IF(AND('1.4 Analyse &amp; Synthese'!S12=1,'1.4 Analyse &amp; Synthese'!F12="Methode"),'1.4 Analyse &amp; Synthese'!I12&amp;CHAR(13)&amp;"("&amp;'(Codierung)'!$C$3&amp;" - "&amp;'1.4 Analyse &amp; Synthese'!C12&amp;")","")</f>
        <v/>
      </c>
      <c r="T11" s="277" t="str">
        <f t="array" ref="T11">_xlfn.IFNA(INDEX($S$6:$S$66,MATCH(0,COUNTIF($T$4:T10,$S$6:$S$66),0),1),"")</f>
        <v/>
      </c>
      <c r="U11" s="277" t="str">
        <f>IF(AND('1.4 Analyse &amp; Synthese'!S12=1,'1.4 Analyse &amp; Synthese'!F12="Werkzeug"),'1.4 Analyse &amp; Synthese'!I12&amp;CHAR(13)&amp;"("&amp;'(Codierung)'!$C$4&amp;" - "&amp;'1.4 Analyse &amp; Synthese'!C12&amp;")","")</f>
        <v/>
      </c>
      <c r="V11" s="277" t="str">
        <f t="array" ref="V11">_xlfn.IFNA(INDEX($U$6:$U$66,MATCH(0,COUNTIF($V$4:V10,$U$6:$U$66),0),1),"")</f>
        <v/>
      </c>
      <c r="X11" s="277" t="str">
        <f>IF(AND('1.4 Analyse &amp; Synthese'!T12=1,'1.4 Analyse &amp; Synthese'!F12="Empfehlung"),'1.4 Analyse &amp; Synthese'!I12&amp;CHAR(13)&amp;"("&amp;'(Codierung)'!$C$2&amp;" - "&amp;'1.4 Analyse &amp; Synthese'!C12&amp;")","")</f>
        <v/>
      </c>
      <c r="Y11" s="277" t="str">
        <f t="array" ref="Y11">_xlfn.IFNA(INDEX($X$6:$X$66,MATCH(0,COUNTIF($Y$4:Y10,$X$6:$X$66),0),1),"")</f>
        <v/>
      </c>
      <c r="Z11" s="277" t="str">
        <f>IF(AND('1.4 Analyse &amp; Synthese'!T12=1,'1.4 Analyse &amp; Synthese'!F12="Methode"),'1.4 Analyse &amp; Synthese'!I12&amp;CHAR(13)&amp;"("&amp;'(Codierung)'!$C$3&amp;" - "&amp;'1.4 Analyse &amp; Synthese'!C12&amp;")","")</f>
        <v/>
      </c>
      <c r="AA11" s="277" t="str">
        <f t="array" ref="AA11">_xlfn.IFNA(INDEX($Z$6:$Z$66,MATCH(0,COUNTIF($AA$4:AA10,$Z$6:$Z$66),0),1),"")</f>
        <v/>
      </c>
      <c r="AB11" s="277" t="str">
        <f>IF(AND('1.4 Analyse &amp; Synthese'!T12=1,'1.4 Analyse &amp; Synthese'!F12="Werkzeug"),'1.4 Analyse &amp; Synthese'!I12&amp;CHAR(13)&amp;"("&amp;'(Codierung)'!$C$4&amp;" - "&amp;'1.4 Analyse &amp; Synthese'!C12&amp;")","")</f>
        <v/>
      </c>
      <c r="AC11" s="277" t="str">
        <f t="array" ref="AC11">_xlfn.IFNA(INDEX($AB$6:$AB$66,MATCH(0,COUNTIF($AC$4:AC10,$AB$6:$AB$66),0),1),"")</f>
        <v/>
      </c>
      <c r="AE11" s="277" t="str">
        <f>IF(AND('1.4 Analyse &amp; Synthese'!U12=1,'1.4 Analyse &amp; Synthese'!F12="Empfehlung"),'1.4 Analyse &amp; Synthese'!I12&amp;CHAR(13)&amp;"("&amp;'(Codierung)'!$C$2&amp;" - "&amp;'1.4 Analyse &amp; Synthese'!C12&amp;")","")</f>
        <v/>
      </c>
      <c r="AF11" s="277" t="str">
        <f t="array" ref="AF11">_xlfn.IFNA(INDEX($AE$6:$AE$66,MATCH(0,COUNTIF($AF$4:AF10,$AE$6:$AE$66),0),1),"")</f>
        <v/>
      </c>
      <c r="AG11" s="277" t="str">
        <f>IF(AND('1.4 Analyse &amp; Synthese'!U12=1,'1.4 Analyse &amp; Synthese'!F12="Methode"),'1.4 Analyse &amp; Synthese'!I12&amp;CHAR(13)&amp;"("&amp;'(Codierung)'!$C$3&amp;" - "&amp;'1.4 Analyse &amp; Synthese'!C12&amp;")","")</f>
        <v/>
      </c>
      <c r="AH11" s="277" t="str">
        <f t="array" ref="AH11">_xlfn.IFNA(INDEX($AG$6:$AG$66,MATCH(0,COUNTIF($AH$4:AH10,$AG$6:$AG$66),0),1),"")</f>
        <v/>
      </c>
      <c r="AI11" s="277" t="str">
        <f>IF(AND('1.4 Analyse &amp; Synthese'!U12=1,'1.4 Analyse &amp; Synthese'!F12="Werkzeug"),'1.4 Analyse &amp; Synthese'!I12&amp;CHAR(13)&amp;"("&amp;'(Codierung)'!$C$4&amp;" - "&amp;'1.4 Analyse &amp; Synthese'!C12&amp;")","")</f>
        <v/>
      </c>
      <c r="AJ11" s="277" t="str">
        <f t="array" ref="AJ11">_xlfn.IFNA(INDEX($AI$6:$AI$66,MATCH(0,COUNTIF($AJ$4:AJ10,$AI$6:$AI$66),0),1),"")</f>
        <v/>
      </c>
      <c r="AL11" s="277" t="str">
        <f>IF(AND('1.4 Analyse &amp; Synthese'!V12=1,'1.4 Analyse &amp; Synthese'!F12="Empfehlung"),'1.4 Analyse &amp; Synthese'!I12&amp;CHAR(13)&amp;"("&amp;'(Codierung)'!$C$2&amp;" - "&amp;'1.4 Analyse &amp; Synthese'!C12&amp;")","")</f>
        <v/>
      </c>
      <c r="AM11" s="277" t="str">
        <f t="array" ref="AM11">_xlfn.IFNA(INDEX($AL$6:$AL$66,MATCH(0,COUNTIF($AM$4:AM10,$AL$6:$AL$66),0),1),"")</f>
        <v/>
      </c>
      <c r="AN11" s="277" t="str">
        <f>IF(AND('1.4 Analyse &amp; Synthese'!V12=1,'1.4 Analyse &amp; Synthese'!F12="Methode"),'1.4 Analyse &amp; Synthese'!I12&amp;CHAR(13)&amp;"("&amp;'(Codierung)'!$C$3&amp;" - "&amp;'1.4 Analyse &amp; Synthese'!C12&amp;")","")</f>
        <v/>
      </c>
      <c r="AO11" s="277" t="str">
        <f t="array" ref="AO11">_xlfn.IFNA(INDEX($AN$6:$AN$66,MATCH(0,COUNTIF($AO$4:AO10,$AN$6:$AN$66),0),1),"")</f>
        <v/>
      </c>
      <c r="AP11" s="277" t="str">
        <f>IF(AND('1.4 Analyse &amp; Synthese'!V12=1,'1.4 Analyse &amp; Synthese'!F12="Werkzeug"),'1.4 Analyse &amp; Synthese'!I12&amp;CHAR(13)&amp;"("&amp;'(Codierung)'!$C$4&amp;" - "&amp;'1.4 Analyse &amp; Synthese'!C12&amp;")","")</f>
        <v/>
      </c>
      <c r="AQ11" s="277" t="str">
        <f t="array" ref="AQ11">_xlfn.IFNA(INDEX($AP$6:$AP$66,MATCH(0,COUNTIF($AQ$4:AQ10,$AP$6:$AP$66),0),1),"")</f>
        <v/>
      </c>
      <c r="AS11" s="277" t="str">
        <f>IF(AND('1.4 Analyse &amp; Synthese'!W12=1,'1.4 Analyse &amp; Synthese'!F12="Empfehlung"),'1.4 Analyse &amp; Synthese'!I12&amp;CHAR(13)&amp;"("&amp;'(Codierung)'!$C$2&amp;" - "&amp;'1.4 Analyse &amp; Synthese'!C12&amp;")","")</f>
        <v>Open-Source Plattform_x000D_(Empfehlung - Bahrami )</v>
      </c>
      <c r="AT11" s="277" t="str">
        <f t="array" ref="AT11">_xlfn.IFNA(INDEX($AS$6:$AS$66,MATCH(0,COUNTIF($AT$4:AT10,$AS$6:$AS$66),0),1),"")</f>
        <v/>
      </c>
      <c r="AU11" s="277" t="str">
        <f>IF(AND('1.4 Analyse &amp; Synthese'!W12=1,'1.4 Analyse &amp; Synthese'!F12="Methode"),'1.4 Analyse &amp; Synthese'!I12&amp;CHAR(13)&amp;"("&amp;'(Codierung)'!$C$3&amp;" - "&amp;'1.4 Analyse &amp; Synthese'!C12&amp;")","")</f>
        <v/>
      </c>
      <c r="AV11" s="277" t="str">
        <f t="array" ref="AV11">_xlfn.IFNA(INDEX($AU$6:$AU$66,MATCH(0,COUNTIF($AV$4:AV10,$AU$6:$AU$66),0),1),"")</f>
        <v/>
      </c>
      <c r="AW11" s="277" t="str">
        <f>IF(AND('1.4 Analyse &amp; Synthese'!W12=1,'1.4 Analyse &amp; Synthese'!F12="Werkzeug"),'1.4 Analyse &amp; Synthese'!I12&amp;CHAR(13)&amp;"("&amp;'(Codierung)'!$C$4&amp;" - "&amp;'1.4 Analyse &amp; Synthese'!C12&amp;")","")</f>
        <v/>
      </c>
      <c r="AX11" s="277" t="str">
        <f t="array" ref="AX11">_xlfn.IFNA(INDEX($AW$6:$AW$66,MATCH(0,COUNTIF($AX$4:AX10,$AW$6:$AW$66),0),1),"")</f>
        <v/>
      </c>
      <c r="AZ11" s="277" t="str">
        <f>IF(AND('1.4 Analyse &amp; Synthese'!X12=1,'1.4 Analyse &amp; Synthese'!F12="Empfehlung"),'1.4 Analyse &amp; Synthese'!I12&amp;CHAR(13)&amp;"("&amp;'(Codierung)'!$C$2&amp;" - "&amp;'1.4 Analyse &amp; Synthese'!C12&amp;")","")</f>
        <v/>
      </c>
      <c r="BA11" s="277" t="str">
        <f t="array" ref="BA11">_xlfn.IFNA(INDEX($AZ$6:$AZ$66,MATCH(0,COUNTIF($BA$4:BA10,$AZ$6:$AZ$66),0),1),"")</f>
        <v/>
      </c>
      <c r="BB11" s="277" t="str">
        <f>IF(AND('1.4 Analyse &amp; Synthese'!X12=1,'1.4 Analyse &amp; Synthese'!F12="Methode"),'1.4 Analyse &amp; Synthese'!I12&amp;CHAR(13)&amp;"("&amp;'(Codierung)'!$C$3&amp;" - "&amp;'1.4 Analyse &amp; Synthese'!C12&amp;")","")</f>
        <v/>
      </c>
      <c r="BC11" s="277" t="str">
        <f t="array" ref="BC11">_xlfn.IFNA(INDEX($BB$6:$BB$66,MATCH(0,COUNTIF($BC$4:BC10,$BB$6:$BB$66),0),1),"")</f>
        <v/>
      </c>
      <c r="BD11" s="277" t="str">
        <f>IF(AND('1.4 Analyse &amp; Synthese'!X12=1,'1.4 Analyse &amp; Synthese'!F12="Werkzeug"),'1.4 Analyse &amp; Synthese'!I12&amp;CHAR(13)&amp;"("&amp;'(Codierung)'!$C$4&amp;" - "&amp;'1.4 Analyse &amp; Synthese'!C12&amp;")","")</f>
        <v/>
      </c>
      <c r="BE11" s="277" t="str">
        <f t="array" ref="BE11">_xlfn.IFNA(INDEX($BD$6:$BD$66,MATCH(0,COUNTIF($BE$4:BE10,$BD$6:$BD$66),0),1),"")</f>
        <v/>
      </c>
      <c r="BG11" s="277" t="str">
        <f>IF(AND('1.4 Analyse &amp; Synthese'!Y12=1,'1.4 Analyse &amp; Synthese'!F12="Empfehlung"),'1.4 Analyse &amp; Synthese'!I12&amp;CHAR(13)&amp;"("&amp;'(Codierung)'!$C$2&amp;" - "&amp;'1.4 Analyse &amp; Synthese'!C12&amp;")","")</f>
        <v/>
      </c>
      <c r="BH11" s="277" t="str">
        <f t="array" ref="BH11">_xlfn.IFNA(INDEX($BG$6:$BG$66,MATCH(0,COUNTIF($BH$4:BH10,$BG$6:$BG$66),0),1),"")</f>
        <v/>
      </c>
      <c r="BI11" s="277" t="str">
        <f>IF(AND('1.4 Analyse &amp; Synthese'!Y12=1,'1.4 Analyse &amp; Synthese'!F12="Methode"),'1.4 Analyse &amp; Synthese'!I12&amp;CHAR(13)&amp;"("&amp;'(Codierung)'!$C$3&amp;" - "&amp;'1.4 Analyse &amp; Synthese'!C12&amp;")","")</f>
        <v/>
      </c>
      <c r="BJ11" s="277" t="str">
        <f t="array" ref="BJ11">_xlfn.IFNA(INDEX($BI$6:$BI$66,MATCH(0,COUNTIF($BJ$4:BJ10,$BI$6:$BI$66),0),1),"")</f>
        <v/>
      </c>
      <c r="BK11" s="277" t="str">
        <f>IF(AND('1.4 Analyse &amp; Synthese'!Y12=1,'1.4 Analyse &amp; Synthese'!F12="Werkzeug"),'1.4 Analyse &amp; Synthese'!I12&amp;CHAR(13)&amp;"("&amp;'(Codierung)'!$C$4&amp;" - "&amp;'1.4 Analyse &amp; Synthese'!C12&amp;")","")</f>
        <v/>
      </c>
      <c r="BL11" s="277" t="str">
        <f t="array" ref="BL11">_xlfn.IFNA(INDEX($BK$6:$BK$66,MATCH(0,COUNTIF($BL$4:BL10,$BK$6:$BK$66),0),1),"")</f>
        <v/>
      </c>
      <c r="BN11" s="277" t="str">
        <f>IF(AND('1.4 Analyse &amp; Synthese'!Z12=1,'1.4 Analyse &amp; Synthese'!F12="Empfehlung"),'1.4 Analyse &amp; Synthese'!I12&amp;CHAR(13)&amp;"("&amp;'(Codierung)'!$C$2&amp;" - "&amp;'1.4 Analyse &amp; Synthese'!C12&amp;")","")</f>
        <v/>
      </c>
      <c r="BO11" s="277" t="str">
        <f t="array" ref="BO11">_xlfn.IFNA(INDEX($BN$6:$BN$66,MATCH(0,COUNTIF($BO$4:BO10,$BN$6:$BN$66),0),1),"")</f>
        <v>Einheitl. Servicebeschreibung_x000D_(Empfehlung - Rekik )</v>
      </c>
      <c r="BP11" s="277" t="str">
        <f>IF(AND('1.4 Analyse &amp; Synthese'!Z12=1,'1.4 Analyse &amp; Synthese'!F12="Methode"),'1.4 Analyse &amp; Synthese'!I12&amp;CHAR(13)&amp;"("&amp;'(Codierung)'!$C$3&amp;" - "&amp;'1.4 Analyse &amp; Synthese'!C12&amp;")","")</f>
        <v/>
      </c>
      <c r="BQ11" s="277" t="str">
        <f t="array" ref="BQ11">_xlfn.IFNA(INDEX($BP$6:$BP$66,MATCH(0,COUNTIF($BQ$4:BQ10,$BP$6:$BP$66),0),1),"")</f>
        <v/>
      </c>
      <c r="BR11" s="277" t="str">
        <f>IF(AND('1.4 Analyse &amp; Synthese'!Z12=1,'1.4 Analyse &amp; Synthese'!F12="Werkzeug"),'1.4 Analyse &amp; Synthese'!I12&amp;CHAR(13)&amp;"("&amp;'(Codierung)'!$C$4&amp;" - "&amp;'1.4 Analyse &amp; Synthese'!C12&amp;")","")</f>
        <v/>
      </c>
      <c r="BS11" s="277" t="str">
        <f t="array" ref="BS11">_xlfn.IFNA(INDEX($BR$6:$BR$66,MATCH(0,COUNTIF($BS$4:BS10,$BR$6:$BR$66),0),1),"")</f>
        <v/>
      </c>
      <c r="BU11" s="277" t="str">
        <f>IF(AND('1.4 Analyse &amp; Synthese'!AA12=1,'1.4 Analyse &amp; Synthese'!F12="Empfehlung"),'1.4 Analyse &amp; Synthese'!I12&amp;CHAR(13)&amp;"("&amp;'(Codierung)'!$C$2&amp;" - "&amp;'1.4 Analyse &amp; Synthese'!C12&amp;")","")</f>
        <v/>
      </c>
      <c r="BV11" s="277" t="str">
        <f t="array" ref="BV11">_xlfn.IFNA(INDEX($BU$6:$BU$66,MATCH(0,COUNTIF($BV$4:BV10,$BU$6:$BU$66),0),1),"")</f>
        <v/>
      </c>
      <c r="BW11" s="277" t="str">
        <f>IF(AND('1.4 Analyse &amp; Synthese'!AA12=1,'1.4 Analyse &amp; Synthese'!F12="Methode"),'1.4 Analyse &amp; Synthese'!I12&amp;CHAR(13)&amp;"("&amp;'(Codierung)'!$C$3&amp;" - "&amp;'1.4 Analyse &amp; Synthese'!C12&amp;")","")</f>
        <v/>
      </c>
      <c r="BX11" s="277" t="str">
        <f t="array" ref="BX11">_xlfn.IFNA(INDEX($BW$6:$BW$66,MATCH(0,COUNTIF($BX$4:BX10,$BW$6:$BW$66),0),1),"")</f>
        <v/>
      </c>
      <c r="BY11" s="277" t="str">
        <f>IF(AND('1.4 Analyse &amp; Synthese'!AA12=1,'1.4 Analyse &amp; Synthese'!F12="Werkzeug"),'1.4 Analyse &amp; Synthese'!I12&amp;CHAR(13)&amp;"("&amp;'(Codierung)'!$C$4&amp;" - "&amp;'1.4 Analyse &amp; Synthese'!C12&amp;")","")</f>
        <v/>
      </c>
      <c r="BZ11" s="277" t="str">
        <f t="array" ref="BZ11">_xlfn.IFNA(INDEX($BY$6:$BY$66,MATCH(0,COUNTIF($BZ$4:BZ10,$BY$6:$BY$66),0),1),"")</f>
        <v/>
      </c>
      <c r="CB11" s="277" t="str">
        <f>IF(AND('1.4 Analyse &amp; Synthese'!AB12=1,'1.4 Analyse &amp; Synthese'!F12="Empfehlung"),'1.4 Analyse &amp; Synthese'!I12&amp;CHAR(13)&amp;"("&amp;'(Codierung)'!$C$2&amp;" - "&amp;'1.4 Analyse &amp; Synthese'!C12&amp;")","")</f>
        <v/>
      </c>
      <c r="CC11" s="277" t="str">
        <f t="array" ref="CC11">_xlfn.IFNA(INDEX($CB$6:$CB$66,MATCH(0,COUNTIF($CC$4:CC10,$CB$6:$CB$66),0),1),"")</f>
        <v/>
      </c>
      <c r="CD11" s="277" t="str">
        <f>IF(AND('1.4 Analyse &amp; Synthese'!AB12=1,'1.4 Analyse &amp; Synthese'!F12="Methode"),'1.4 Analyse &amp; Synthese'!I12&amp;CHAR(13)&amp;"("&amp;'(Codierung)'!$C$3&amp;" - "&amp;'1.4 Analyse &amp; Synthese'!C12&amp;")","")</f>
        <v/>
      </c>
      <c r="CE11" s="277" t="str">
        <f t="array" ref="CE11">_xlfn.IFNA(INDEX($CD$6:$CD$66,MATCH(0,COUNTIF($CE$4:CE10,$CD$6:$CD$66),0),1),"")</f>
        <v/>
      </c>
      <c r="CF11" s="277" t="str">
        <f>IF(AND('1.4 Analyse &amp; Synthese'!AB12=1,'1.4 Analyse &amp; Synthese'!F12="Werkzeug"),'1.4 Analyse &amp; Synthese'!I12&amp;CHAR(13)&amp;"("&amp;'(Codierung)'!$C$4&amp;" - "&amp;'1.4 Analyse &amp; Synthese'!C12&amp;")","")</f>
        <v/>
      </c>
      <c r="CG11" s="277" t="str">
        <f t="array" ref="CG11">_xlfn.IFNA(INDEX($CF$6:$CF$66,MATCH(0,COUNTIF($CG$4:CG10,$CF$6:$CF$66),0),1),"")</f>
        <v/>
      </c>
      <c r="CI11" s="277" t="str">
        <f>IF(AND('1.4 Analyse &amp; Synthese'!AC12=1,'1.4 Analyse &amp; Synthese'!F12="Empfehlung"),'1.4 Analyse &amp; Synthese'!I12&amp;CHAR(13)&amp;"("&amp;'(Codierung)'!$C$2&amp;" - "&amp;'1.4 Analyse &amp; Synthese'!C12&amp;")","")</f>
        <v/>
      </c>
      <c r="CJ11" s="277" t="str">
        <f t="array" ref="CJ11">_xlfn.IFNA(INDEX($CI$6:$CI$66,MATCH(0,COUNTIF($CJ$4:CJ10,$CI$6:$CI$66),0),1),"")</f>
        <v/>
      </c>
      <c r="CK11" s="277" t="str">
        <f>IF(AND('1.4 Analyse &amp; Synthese'!AC12=1,'1.4 Analyse &amp; Synthese'!F12="Methode"),'1.4 Analyse &amp; Synthese'!I12&amp;CHAR(13)&amp;"("&amp;'(Codierung)'!$C$3&amp;" - "&amp;'1.4 Analyse &amp; Synthese'!C12&amp;")","")</f>
        <v/>
      </c>
      <c r="CL11" s="277" t="str">
        <f t="array" ref="CL11">_xlfn.IFNA(INDEX($CK$6:$CK$66,MATCH(0,COUNTIF($CL$4:CL10,$CK$6:$CK$66),0),1),"")</f>
        <v/>
      </c>
      <c r="CM11" s="277" t="str">
        <f>IF(AND('1.4 Analyse &amp; Synthese'!AC12=1,'1.4 Analyse &amp; Synthese'!F12="Werkzeug"),'1.4 Analyse &amp; Synthese'!I12&amp;CHAR(13)&amp;"("&amp;'(Codierung)'!$C$4&amp;" - "&amp;'1.4 Analyse &amp; Synthese'!C12&amp;")","")</f>
        <v/>
      </c>
      <c r="CN11" s="277" t="str">
        <f t="array" ref="CN11">_xlfn.IFNA(INDEX($CM$6:$CM$66,MATCH(0,COUNTIF($CN$4:CN10,$CM$6:$CM$66),0),1),"")</f>
        <v/>
      </c>
      <c r="CP11" s="277" t="str">
        <f>IF(AND('1.4 Analyse &amp; Synthese'!AD12=1,'1.4 Analyse &amp; Synthese'!F12="Empfehlung"),'1.4 Analyse &amp; Synthese'!I12&amp;CHAR(13)&amp;"("&amp;'(Codierung)'!$C$2&amp;" - "&amp;'1.4 Analyse &amp; Synthese'!C12&amp;")","")</f>
        <v/>
      </c>
      <c r="CQ11" s="277" t="str">
        <f t="array" ref="CQ11">_xlfn.IFNA(INDEX($CP$6:$CP$66,MATCH(0,COUNTIF($CQ$4:CQ10,$CP$6:$CP$66),0),1),"")</f>
        <v/>
      </c>
      <c r="CR11" s="277" t="str">
        <f>IF(AND('1.4 Analyse &amp; Synthese'!AD12=1,'1.4 Analyse &amp; Synthese'!F12="Methode"),'1.4 Analyse &amp; Synthese'!I12&amp;CHAR(13)&amp;"("&amp;'(Codierung)'!$C$3&amp;" - "&amp;'1.4 Analyse &amp; Synthese'!C12&amp;")","")</f>
        <v/>
      </c>
      <c r="CS11" s="277" t="str">
        <f t="array" ref="CS11">_xlfn.IFNA(INDEX($CR$6:$CR$66,MATCH(0,COUNTIF($CS$4:CS10,$CR$6:$CR$66),0),1),"")</f>
        <v/>
      </c>
      <c r="CT11" s="277" t="str">
        <f>IF(AND('1.4 Analyse &amp; Synthese'!AD12=1,'1.4 Analyse &amp; Synthese'!F12="Werkzeug"),'1.4 Analyse &amp; Synthese'!I12&amp;CHAR(13)&amp;"("&amp;'(Codierung)'!$C$4&amp;" - "&amp;'1.4 Analyse &amp; Synthese'!C12&amp;")","")</f>
        <v/>
      </c>
      <c r="CU11" s="277" t="str">
        <f t="array" ref="CU11">_xlfn.IFNA(INDEX($CT$6:$CT$66,MATCH(0,COUNTIF($CU$4:CU10,$CT$6:$CT$66),0),1),"")</f>
        <v/>
      </c>
      <c r="CW11" s="277" t="str">
        <f>IF(AND('1.4 Analyse &amp; Synthese'!AE12=1,'1.4 Analyse &amp; Synthese'!F12="Empfehlung"),'1.4 Analyse &amp; Synthese'!I12&amp;CHAR(13)&amp;"("&amp;'(Codierung)'!$C$2&amp;" - "&amp;'1.4 Analyse &amp; Synthese'!C12&amp;")","")</f>
        <v>Open-Source Plattform_x000D_(Empfehlung - Bahrami )</v>
      </c>
      <c r="CX11" s="277" t="str">
        <f t="array" ref="CX11">_xlfn.IFNA(INDEX($CW$6:$CW$66,MATCH(0,COUNTIF($CX$4:CX10,$CW$6:$CW$66),0),1),"")</f>
        <v>Open-Source Plattform_x000D_(Empfehlung - Nodehi)</v>
      </c>
      <c r="CY11" s="277" t="str">
        <f>IF(AND('1.4 Analyse &amp; Synthese'!AE12=1,'1.4 Analyse &amp; Synthese'!F12="Methode"),'1.4 Analyse &amp; Synthese'!I12&amp;CHAR(13)&amp;"("&amp;'(Codierung)'!$C$3&amp;" - "&amp;'1.4 Analyse &amp; Synthese'!C12&amp;")","")</f>
        <v/>
      </c>
      <c r="CZ11" s="277" t="str">
        <f t="array" ref="CZ11">_xlfn.IFNA(INDEX($CY$6:$CY$66,MATCH(0,COUNTIF($CZ$4:CZ10,$CY$6:$CY$66),0),1),"")</f>
        <v/>
      </c>
      <c r="DA11" s="277" t="str">
        <f>IF(AND('1.4 Analyse &amp; Synthese'!AE12=1,'1.4 Analyse &amp; Synthese'!F12="Werkzeug"),'1.4 Analyse &amp; Synthese'!I12&amp;CHAR(13)&amp;"("&amp;'(Codierung)'!$C$4&amp;" - "&amp;'1.4 Analyse &amp; Synthese'!C12&amp;")","")</f>
        <v/>
      </c>
      <c r="DB11" s="277" t="str">
        <f t="array" ref="DB11">_xlfn.IFNA(INDEX($DA$6:$DA$66,MATCH(0,COUNTIF($DB$4:DB10,$DA$6:$DA$66),0),1),"")</f>
        <v/>
      </c>
      <c r="DD11" s="277" t="str">
        <f>IF(AND('1.4 Analyse &amp; Synthese'!AF12=1,'1.4 Analyse &amp; Synthese'!F12="Empfehlung"),'1.4 Analyse &amp; Synthese'!I12&amp;CHAR(13)&amp;"("&amp;'(Codierung)'!$C$2&amp;" - "&amp;'1.4 Analyse &amp; Synthese'!C12&amp;")","")</f>
        <v/>
      </c>
      <c r="DE11" s="277" t="str">
        <f t="array" ref="DE11">_xlfn.IFNA(INDEX($DD$6:$DD$66,MATCH(0,COUNTIF($DE$4:DE10,$DD$6:$DD$66),0),1),"")</f>
        <v/>
      </c>
      <c r="DF11" s="277" t="str">
        <f>IF(AND('1.4 Analyse &amp; Synthese'!AF12=1,'1.4 Analyse &amp; Synthese'!F12="Methode"),'1.4 Analyse &amp; Synthese'!I12&amp;CHAR(13)&amp;"("&amp;'(Codierung)'!$C$3&amp;" - "&amp;'1.4 Analyse &amp; Synthese'!C12&amp;")","")</f>
        <v/>
      </c>
      <c r="DG11" s="277" t="str">
        <f t="array" ref="DG11">_xlfn.IFNA(INDEX($DF$6:$DF$66,MATCH(0,COUNTIF($DG$4:DG10,$DF$6:$DF$66),0),1),"")</f>
        <v/>
      </c>
      <c r="DH11" s="277" t="str">
        <f>IF(AND('1.4 Analyse &amp; Synthese'!AF12=1,'1.4 Analyse &amp; Synthese'!F12="Werkzeug"),'1.4 Analyse &amp; Synthese'!I12&amp;CHAR(13)&amp;"("&amp;'(Codierung)'!$C$4&amp;" - "&amp;'1.4 Analyse &amp; Synthese'!C12&amp;")","")</f>
        <v/>
      </c>
      <c r="DI11" s="277" t="str">
        <f t="array" ref="DI11">_xlfn.IFNA(INDEX($DH$6:$DH$66,MATCH(0,COUNTIF($DI$4:DI10,$DH$6:$DH$66),0),1),"")</f>
        <v/>
      </c>
      <c r="DK11" s="277" t="str">
        <f>IF(AND('1.4 Analyse &amp; Synthese'!AG12=1,'1.4 Analyse &amp; Synthese'!F12="Empfehlung"),'1.4 Analyse &amp; Synthese'!I12&amp;CHAR(13)&amp;"("&amp;'(Codierung)'!$C$2&amp;" - "&amp;'1.4 Analyse &amp; Synthese'!C12&amp;")","")</f>
        <v/>
      </c>
      <c r="DL11" s="277" t="str">
        <f t="array" ref="DL11">_xlfn.IFNA(INDEX($DK$6:$DK$66,MATCH(0,COUNTIF($DL$4:DL10,$DK$6:$DK$66),0),1),"")</f>
        <v>Cloud Service Broker_x000D_(Empfehlung - Jrad)</v>
      </c>
      <c r="DM11" s="277" t="str">
        <f>IF(AND('1.4 Analyse &amp; Synthese'!AG12=1,'1.4 Analyse &amp; Synthese'!F12="Methode"),'1.4 Analyse &amp; Synthese'!I12&amp;CHAR(13)&amp;"("&amp;'(Codierung)'!$C$3&amp;" - "&amp;'1.4 Analyse &amp; Synthese'!C12&amp;")","")</f>
        <v/>
      </c>
      <c r="DN11" s="277" t="str">
        <f t="array" ref="DN11">_xlfn.IFNA(INDEX($DM$6:$DM$66,MATCH(0,COUNTIF($DN$4:DN10,$DM$6:$DM$66),0),1),"")</f>
        <v/>
      </c>
      <c r="DO11" s="277" t="str">
        <f>IF(AND('1.4 Analyse &amp; Synthese'!AG12=1,'1.4 Analyse &amp; Synthese'!F12="Werkzeug"),'1.4 Analyse &amp; Synthese'!I12&amp;CHAR(13)&amp;"("&amp;'(Codierung)'!$C$4&amp;" - "&amp;'1.4 Analyse &amp; Synthese'!C12&amp;")","")</f>
        <v/>
      </c>
      <c r="DP11" s="277" t="str">
        <f t="array" ref="DP11">_xlfn.IFNA(INDEX($DO$6:$DO$66,MATCH(0,COUNTIF($DP$4:DP10,$DO$6:$DO$66),0),1),"")</f>
        <v/>
      </c>
      <c r="DR11" s="277" t="str">
        <f>IF(AND('1.4 Analyse &amp; Synthese'!AH12=1,'1.4 Analyse &amp; Synthese'!F12="Empfehlung"),'1.4 Analyse &amp; Synthese'!I12&amp;CHAR(13)&amp;"("&amp;'(Codierung)'!$C$2&amp;" - "&amp;'1.4 Analyse &amp; Synthese'!C12&amp;")","")</f>
        <v/>
      </c>
      <c r="DS11" s="277" t="str">
        <f t="array" ref="DS11">_xlfn.IFNA(INDEX($DR$6:$DR$66,MATCH(0,COUNTIF($DS$4:DS10,$DR$6:$DR$66),0),1),"")</f>
        <v/>
      </c>
      <c r="DT11" s="277" t="str">
        <f>IF(AND('1.4 Analyse &amp; Synthese'!AH12=1,'1.4 Analyse &amp; Synthese'!F12="Methode"),'1.4 Analyse &amp; Synthese'!I12&amp;CHAR(13)&amp;"("&amp;'(Codierung)'!$C$3&amp;" - "&amp;'1.4 Analyse &amp; Synthese'!C12&amp;")","")</f>
        <v/>
      </c>
      <c r="DU11" s="277" t="str">
        <f t="array" ref="DU11">_xlfn.IFNA(INDEX($DT$6:$DT$66,MATCH(0,COUNTIF($DU$4:DU10,$DT$6:$DT$66),0),1),"")</f>
        <v/>
      </c>
      <c r="DV11" s="277" t="str">
        <f>IF(AND('1.4 Analyse &amp; Synthese'!AH12=1,'1.4 Analyse &amp; Synthese'!F12="Werkzeug"),'1.4 Analyse &amp; Synthese'!I12&amp;CHAR(13)&amp;"("&amp;'(Codierung)'!$C$4&amp;" - "&amp;'1.4 Analyse &amp; Synthese'!C12&amp;")","")</f>
        <v/>
      </c>
      <c r="DW11" s="277" t="str">
        <f t="array" ref="DW11">_xlfn.IFNA(INDEX($DV$6:$DV$66,MATCH(0,COUNTIF($DW$4:DW10,$DV$6:$DV$66),0),1),"")</f>
        <v/>
      </c>
      <c r="DY11" s="277" t="str">
        <f>IF(AND('1.4 Analyse &amp; Synthese'!AI12=1,'1.4 Analyse &amp; Synthese'!F12="Empfehlung"),'1.4 Analyse &amp; Synthese'!I12&amp;CHAR(13)&amp;"("&amp;'(Codierung)'!$C$2&amp;" - "&amp;'1.4 Analyse &amp; Synthese'!C12&amp;")","")</f>
        <v/>
      </c>
      <c r="DZ11" s="277" t="str">
        <f t="array" ref="DZ11">_xlfn.IFNA(INDEX($DY$6:$DY$66,MATCH(0,COUNTIF($DZ$4:DZ10,$DY$6:$DY$66),0),1),"")</f>
        <v>Cloud Service Broker_x000D_(Empfehlung - Jrad)</v>
      </c>
      <c r="EA11" s="277" t="str">
        <f>IF(AND('1.4 Analyse &amp; Synthese'!AI12=1,'1.4 Analyse &amp; Synthese'!F12="Methode"),'1.4 Analyse &amp; Synthese'!I12&amp;CHAR(13)&amp;"("&amp;'(Codierung)'!$C$3&amp;" - "&amp;'1.4 Analyse &amp; Synthese'!C12&amp;")","")</f>
        <v/>
      </c>
      <c r="EB11" s="277" t="str">
        <f t="array" ref="EB11">_xlfn.IFNA(INDEX($EA$6:$EA$66,MATCH(0,COUNTIF($EB$4:EB10,$EA$6:$EA$66),0),1),"")</f>
        <v/>
      </c>
      <c r="EC11" s="277" t="str">
        <f>IF(AND('1.4 Analyse &amp; Synthese'!AI12=1,'1.4 Analyse &amp; Synthese'!F12="Werkzeug"),'1.4 Analyse &amp; Synthese'!I12&amp;CHAR(13)&amp;"("&amp;'(Codierung)'!$C$4&amp;" - "&amp;'1.4 Analyse &amp; Synthese'!C12&amp;")","")</f>
        <v/>
      </c>
      <c r="ED11" s="277" t="str">
        <f t="array" ref="ED11">_xlfn.IFNA(INDEX($EC$6:$EC$66,MATCH(0,COUNTIF($ED$4:ED10,$EC$6:$EC$66),0),1),"")</f>
        <v/>
      </c>
      <c r="EF11" s="277" t="str">
        <f>IF(AND('1.4 Analyse &amp; Synthese'!AJ12=1,'1.4 Analyse &amp; Synthese'!F12="Empfehlung"),'1.4 Analyse &amp; Synthese'!I12&amp;CHAR(13)&amp;"("&amp;'(Codierung)'!$C$2&amp;" - "&amp;'1.4 Analyse &amp; Synthese'!C12&amp;")","")</f>
        <v/>
      </c>
      <c r="EG11" s="277" t="str">
        <f t="array" ref="EG11">_xlfn.IFNA(INDEX($EF$6:$EF$66,MATCH(0,COUNTIF($EG$4:EG10,$EF$6:$EF$66),0),1),"")</f>
        <v/>
      </c>
      <c r="EH11" s="277" t="str">
        <f>IF(AND('1.4 Analyse &amp; Synthese'!AJ12=1,'1.4 Analyse &amp; Synthese'!F12="Methode"),'1.4 Analyse &amp; Synthese'!I12&amp;CHAR(13)&amp;"("&amp;'(Codierung)'!$C$3&amp;" - "&amp;'1.4 Analyse &amp; Synthese'!C12&amp;")","")</f>
        <v/>
      </c>
      <c r="EI11" s="277" t="str">
        <f t="array" ref="EI11">_xlfn.IFNA(INDEX($EH$6:$EH$66,MATCH(0,COUNTIF($EI$4:EI10,$EH$6:$EH$66),0),1),"")</f>
        <v/>
      </c>
      <c r="EJ11" s="277" t="str">
        <f>IF(AND('1.4 Analyse &amp; Synthese'!AJ12=1,'1.4 Analyse &amp; Synthese'!F12="Werkzeug"),'1.4 Analyse &amp; Synthese'!I12&amp;CHAR(13)&amp;"("&amp;'(Codierung)'!$C$4&amp;" - "&amp;'1.4 Analyse &amp; Synthese'!C12&amp;")","")</f>
        <v/>
      </c>
      <c r="EK11" s="277" t="str">
        <f t="array" ref="EK11">_xlfn.IFNA(INDEX($EJ$6:$EJ$66,MATCH(0,COUNTIF($EK$4:EK10,$EJ$6:$EJ$66),0),1),"")</f>
        <v/>
      </c>
      <c r="EN11" s="222" t="str">
        <f t="shared" si="0"/>
        <v/>
      </c>
      <c r="EO11" s="277" t="str">
        <f t="shared" si="1"/>
        <v/>
      </c>
      <c r="EP11" s="277" t="str">
        <f t="shared" si="2"/>
        <v/>
      </c>
      <c r="EQ11" s="277" t="str">
        <f>ZahlenInBereich(Tabelle1[[Empfehlung]:[Werkzeug]],ROW()-5)</f>
        <v/>
      </c>
      <c r="ER11" s="277" t="str">
        <f t="shared" si="3"/>
        <v/>
      </c>
      <c r="ES11" s="277" t="str">
        <f t="shared" si="4"/>
        <v/>
      </c>
      <c r="ET11" s="277" t="str">
        <f t="shared" si="5"/>
        <v/>
      </c>
      <c r="EU11" s="277" t="str">
        <f>ZahlenInBereich(Tabelle1[[Empfehlung2]:[Werkzeug4]],ROW()-5)</f>
        <v>Atificial Intelligence_x000D_(Werkzeug - Vukovic )</v>
      </c>
      <c r="EV11" s="277" t="str">
        <f t="shared" si="6"/>
        <v>Rechtliche Rahmenbedingung_x000D_(Empfehlung - Kafeza )</v>
      </c>
      <c r="EW11" s="277" t="str">
        <f t="shared" si="7"/>
        <v/>
      </c>
      <c r="EX11" s="277" t="str">
        <f t="shared" si="8"/>
        <v/>
      </c>
      <c r="EY11" s="277" t="str">
        <f>ZahlenInBereich(Tabelle1[[Empfehlung6]:[Werkzeug8]],ROW()-5)</f>
        <v>Rechtliche Rahmenbedingung_x000D_(Empfehlung - Kafeza )</v>
      </c>
      <c r="EZ11" s="277" t="str">
        <f t="shared" si="9"/>
        <v/>
      </c>
      <c r="FA11" s="277" t="str">
        <f t="shared" si="10"/>
        <v/>
      </c>
      <c r="FB11" s="277" t="str">
        <f t="shared" si="11"/>
        <v/>
      </c>
      <c r="FC11" s="277" t="str">
        <f>ZahlenInBereich(Tabelle1[[Empfehlung10]:[Werkzeug12]],ROW()-5)</f>
        <v/>
      </c>
      <c r="FD11" s="277" t="str">
        <f t="shared" si="12"/>
        <v/>
      </c>
      <c r="FE11" s="277" t="str">
        <f t="shared" si="13"/>
        <v/>
      </c>
      <c r="FF11" s="277" t="str">
        <f t="shared" si="14"/>
        <v/>
      </c>
      <c r="FG11" s="277" t="str">
        <f>ZahlenInBereich(Tabelle1[[Empfehlung14]:[Werkzeug16]],ROW()-5)</f>
        <v/>
      </c>
      <c r="FH11" s="277" t="str">
        <f t="shared" si="15"/>
        <v/>
      </c>
      <c r="FI11" s="277" t="str">
        <f t="shared" si="16"/>
        <v/>
      </c>
      <c r="FJ11" s="277" t="str">
        <f t="shared" si="17"/>
        <v/>
      </c>
      <c r="FK11" s="277" t="str">
        <f>ZahlenInBereich(Tabelle1[[Empfehlung18]:[Werkzeug20]],ROW()-5)</f>
        <v/>
      </c>
      <c r="FL11" s="277" t="str">
        <f t="shared" si="18"/>
        <v/>
      </c>
      <c r="FM11" s="277" t="str">
        <f t="shared" si="19"/>
        <v/>
      </c>
      <c r="FN11" s="277" t="str">
        <f t="shared" si="20"/>
        <v/>
      </c>
      <c r="FO11" s="277" t="str">
        <f>ZahlenInBereich(Tabelle1[[Empfehlung22]:[Werkzeug24]],ROW()-5)</f>
        <v/>
      </c>
      <c r="FP11" s="277" t="str">
        <f t="shared" si="21"/>
        <v/>
      </c>
      <c r="FQ11" s="277" t="str">
        <f t="shared" si="22"/>
        <v/>
      </c>
      <c r="FR11" s="277" t="str">
        <f t="shared" si="23"/>
        <v/>
      </c>
      <c r="FS11" s="277" t="str">
        <f>ZahlenInBereich(Tabelle1[[Empfehlung26]:[Werkzeug28]],ROW()-5)</f>
        <v>Open-Source Plattform_x000D_(Werkzeug - Zangara)</v>
      </c>
      <c r="FT11" s="277" t="str">
        <f t="shared" si="24"/>
        <v/>
      </c>
      <c r="FU11" s="277" t="str">
        <f t="shared" si="25"/>
        <v/>
      </c>
      <c r="FV11" s="277" t="str">
        <f t="shared" si="26"/>
        <v/>
      </c>
      <c r="FW11" s="277" t="str">
        <f>ZahlenInBereich(Tabelle1[[Empfehlung30]:[Werkzeug32]],ROW()-5)</f>
        <v/>
      </c>
      <c r="FX11" s="277" t="str">
        <f t="shared" si="27"/>
        <v>Einheitl. Servicebeschreibung_x000D_(Empfehlung - Rekik )</v>
      </c>
      <c r="FY11" s="277" t="str">
        <f t="shared" si="28"/>
        <v/>
      </c>
      <c r="FZ11" s="277" t="str">
        <f t="shared" si="29"/>
        <v/>
      </c>
      <c r="GA11" s="277" t="str">
        <f>ZahlenInBereich(Tabelle1[[Empfehlung34]:[Werkzeug36]],ROW()-5)</f>
        <v>Einheitl. Servicebeschreibung_x000D_(Empfehlung - Rekik )</v>
      </c>
      <c r="GB11" s="277" t="str">
        <f t="shared" si="30"/>
        <v/>
      </c>
      <c r="GC11" s="277" t="str">
        <f t="shared" si="31"/>
        <v/>
      </c>
      <c r="GD11" s="277" t="str">
        <f t="shared" si="32"/>
        <v/>
      </c>
      <c r="GE11" s="277" t="str">
        <f>ZahlenInBereich(Tabelle1[[Empfehlung38]:[Werkzeug40]],ROW()-5)</f>
        <v/>
      </c>
      <c r="GF11" s="277" t="str">
        <f t="shared" si="33"/>
        <v/>
      </c>
      <c r="GG11" s="277" t="str">
        <f t="shared" si="34"/>
        <v/>
      </c>
      <c r="GH11" s="277" t="str">
        <f t="shared" si="35"/>
        <v/>
      </c>
      <c r="GI11" s="277" t="str">
        <f>ZahlenInBereich(Tabelle1[[Empfehlung42]:[Werkzeug44]],ROW()-5)</f>
        <v/>
      </c>
      <c r="GJ11" s="277" t="str">
        <f t="shared" si="36"/>
        <v/>
      </c>
      <c r="GK11" s="277" t="str">
        <f t="shared" si="37"/>
        <v/>
      </c>
      <c r="GL11" s="277" t="str">
        <f t="shared" si="38"/>
        <v/>
      </c>
      <c r="GM11" s="277" t="str">
        <f>ZahlenInBereich(Tabelle1[[Empfehlung46]:[Werkzeug48]],ROW()-5)</f>
        <v/>
      </c>
      <c r="GN11" s="277" t="str">
        <f t="shared" si="39"/>
        <v/>
      </c>
      <c r="GO11" s="277" t="str">
        <f t="shared" si="40"/>
        <v/>
      </c>
      <c r="GP11" s="277" t="str">
        <f t="shared" si="41"/>
        <v/>
      </c>
      <c r="GQ11" s="277" t="str">
        <f>ZahlenInBereich(Tabelle1[[Empfehlung50]:[Werkzeug52]],ROW()-5)</f>
        <v>Collaboration SaaS_x000D_(Werkzeug - Xia)</v>
      </c>
      <c r="GR11" s="277" t="str">
        <f t="shared" si="42"/>
        <v>Open-Source Plattform_x000D_(Empfehlung - Nodehi)</v>
      </c>
      <c r="GS11" s="277" t="str">
        <f t="shared" si="43"/>
        <v/>
      </c>
      <c r="GT11" s="277" t="str">
        <f t="shared" si="44"/>
        <v/>
      </c>
      <c r="GU11" s="277" t="str">
        <f>ZahlenInBereich(Tabelle1[[Empfehlung54]:[Werkzeug56]],ROW()-5)</f>
        <v>Open-Source Plattform_x000D_(Empfehlung - Nodehi)</v>
      </c>
      <c r="GV11" s="277" t="str">
        <f t="shared" si="45"/>
        <v/>
      </c>
      <c r="GW11" s="277" t="str">
        <f t="shared" si="46"/>
        <v/>
      </c>
      <c r="GX11" s="277" t="str">
        <f t="shared" si="47"/>
        <v/>
      </c>
      <c r="GY11" s="277" t="str">
        <f>ZahlenInBereich(Tabelle1[[Empfehlung58]:[Werkzeug60]],ROW()-5)</f>
        <v>Infrastruktur Interpreter_x000D_(Methode - Allison)</v>
      </c>
      <c r="GZ11" s="277" t="str">
        <f t="shared" si="48"/>
        <v>Cloud Service Broker_x000D_(Empfehlung - Jrad)</v>
      </c>
      <c r="HA11" s="277" t="str">
        <f t="shared" si="49"/>
        <v/>
      </c>
      <c r="HB11" s="277" t="str">
        <f t="shared" si="50"/>
        <v/>
      </c>
      <c r="HC11" s="277" t="str">
        <f>ZahlenInBereich(Tabelle1[[Empfehlung62]:[Werkzeug64]],ROW()-5)</f>
        <v>Cloud Service Broker_x000D_(Empfehlung - Jrad)</v>
      </c>
      <c r="HD11" s="277" t="str">
        <f t="shared" si="51"/>
        <v/>
      </c>
      <c r="HE11" s="277" t="str">
        <f t="shared" si="52"/>
        <v/>
      </c>
      <c r="HF11" s="277" t="str">
        <f t="shared" si="53"/>
        <v/>
      </c>
      <c r="HG11" s="277" t="str">
        <f>ZahlenInBereich(Tabelle1[[Empfehlung66]:[Werkzeug68]],ROW()-5)</f>
        <v/>
      </c>
      <c r="HH11" s="277" t="str">
        <f t="shared" si="54"/>
        <v>Cloud Service Broker_x000D_(Empfehlung - Jrad)</v>
      </c>
      <c r="HI11" s="277" t="str">
        <f t="shared" si="55"/>
        <v/>
      </c>
      <c r="HJ11" s="277" t="str">
        <f t="shared" si="56"/>
        <v/>
      </c>
      <c r="HK11" s="277" t="str">
        <f>ZahlenInBereich(Tabelle1[[Empfehlung70]:[Werkzeug72]],ROW()-5)</f>
        <v>Cloud Service Broker_x000D_(Empfehlung - Jrad)</v>
      </c>
      <c r="HL11" s="277" t="str">
        <f t="shared" si="57"/>
        <v/>
      </c>
      <c r="HM11" s="277" t="str">
        <f t="shared" si="58"/>
        <v/>
      </c>
      <c r="HN11" s="277" t="str">
        <f t="shared" si="59"/>
        <v/>
      </c>
      <c r="HO11" s="277" t="str">
        <f>ZahlenInBereich(Tabelle1[[Empfehlung74]:[Werkzeug76]],ROW()-5)</f>
        <v/>
      </c>
    </row>
    <row r="12" spans="2:223" ht="32" x14ac:dyDescent="0.2">
      <c r="B12" s="134">
        <f>'1.4 Analyse &amp; Synthese'!B13</f>
        <v>7</v>
      </c>
      <c r="C12" s="277" t="str">
        <f>IF(AND('1.4 Analyse &amp; Synthese'!Q13=1,'1.4 Analyse &amp; Synthese'!F13="Empfehlung"),'1.4 Analyse &amp; Synthese'!I13&amp;CHAR(13)&amp;"("&amp;'(Codierung)'!$C$2&amp;" - "&amp;'1.4 Analyse &amp; Synthese'!C13&amp;")","")</f>
        <v/>
      </c>
      <c r="D12" s="222" t="str">
        <f t="array" ref="D12">_xlfn.IFNA(INDEX($C$6:$C$66,MATCH(0,COUNTIF($D$4:D11,$C$6:$C$66),0),1),"")</f>
        <v/>
      </c>
      <c r="E12" s="277" t="str">
        <f>IF(AND('1.4 Analyse &amp; Synthese'!Q13=1,'1.4 Analyse &amp; Synthese'!F13="Methode"),'1.4 Analyse &amp; Synthese'!I13&amp;CHAR(13)&amp;"("&amp;'(Codierung)'!$C$3&amp;" - "&amp;'1.4 Analyse &amp; Synthese'!C13&amp;")","")</f>
        <v/>
      </c>
      <c r="F12" s="277" t="str">
        <f t="array" ref="F12">_xlfn.IFNA(INDEX($E$6:$E$66,MATCH(0,COUNTIF($F$4:F11,$E$6:$E$66),0),1),"")</f>
        <v/>
      </c>
      <c r="G12" s="277" t="str">
        <f>IF(AND('1.4 Analyse &amp; Synthese'!Q13=1,'1.4 Analyse &amp; Synthese'!F13="Werkzeug"),'1.4 Analyse &amp; Synthese'!I13&amp;CHAR(13)&amp;"("&amp;'(Codierung)'!$C$4&amp;" - "&amp;'1.4 Analyse &amp; Synthese'!C13&amp;")","")</f>
        <v/>
      </c>
      <c r="H12" s="277" t="str">
        <f t="array" ref="H12">_xlfn.IFNA(INDEX($G$6:$G$66,MATCH(0,COUNTIF($H$4:H11,$G$6:$G$66),0),1),"")</f>
        <v/>
      </c>
      <c r="J12" s="277" t="str">
        <f>IF(AND('1.4 Analyse &amp; Synthese'!R13=1,'1.4 Analyse &amp; Synthese'!F13="Empfehlung"),'1.4 Analyse &amp; Synthese'!I13&amp;CHAR(13)&amp;"("&amp;'(Codierung)'!$C$2&amp;" - "&amp;'1.4 Analyse &amp; Synthese'!C13&amp;")","")</f>
        <v/>
      </c>
      <c r="K12" s="277" t="str">
        <f t="array" ref="K12">_xlfn.IFNA(INDEX($J$6:$J$66,MATCH(0,COUNTIF($K$4:K11,$J$6:$J$66),0),1),"")</f>
        <v/>
      </c>
      <c r="L12" s="277" t="str">
        <f>IF(AND('1.4 Analyse &amp; Synthese'!R13=1,'1.4 Analyse &amp; Synthese'!F13="Methode"),'1.4 Analyse &amp; Synthese'!I13&amp;CHAR(13)&amp;"("&amp;'(Codierung)'!$C$3&amp;" - "&amp;'1.4 Analyse &amp; Synthese'!C13&amp;")","")</f>
        <v/>
      </c>
      <c r="M12" s="277" t="str">
        <f t="array" ref="M12">_xlfn.IFNA(INDEX($L$6:$L$66,MATCH(0,COUNTIF($M$4:M11,$L$6:$L$66),0),1),"")</f>
        <v/>
      </c>
      <c r="N12" s="277" t="str">
        <f>IF(AND('1.4 Analyse &amp; Synthese'!R13=1,'1.4 Analyse &amp; Synthese'!F13="Werkzeug"),'1.4 Analyse &amp; Synthese'!I13&amp;CHAR(13)&amp;"("&amp;'(Codierung)'!$C$4&amp;" - "&amp;'1.4 Analyse &amp; Synthese'!C13&amp;")","")</f>
        <v/>
      </c>
      <c r="O12" s="277" t="str">
        <f t="array" ref="O12">_xlfn.IFNA(INDEX($N$6:$N$66,MATCH(0,COUNTIF($O$4:O11,$N$6:$N$66),0),1),"")</f>
        <v/>
      </c>
      <c r="Q12" s="277" t="str">
        <f>IF(AND('1.4 Analyse &amp; Synthese'!S13=1,'1.4 Analyse &amp; Synthese'!F13="Empfehlung"),'1.4 Analyse &amp; Synthese'!I13&amp;CHAR(13)&amp;"("&amp;'(Codierung)'!$C$2&amp;" - "&amp;'1.4 Analyse &amp; Synthese'!C13&amp;")","")</f>
        <v>Datenintegration_x000D_(Empfehlung - Bennani )</v>
      </c>
      <c r="R12" s="277" t="str">
        <f t="array" ref="R12">_xlfn.IFNA(INDEX($Q$6:$Q$66,MATCH(0,COUNTIF($R$4:R11,$Q$6:$Q$66),0),1),"")</f>
        <v>Cloud Metrik Evaluierung_x000D_(Empfehlung - Lee)</v>
      </c>
      <c r="S12" s="277" t="str">
        <f>IF(AND('1.4 Analyse &amp; Synthese'!S13=1,'1.4 Analyse &amp; Synthese'!F13="Methode"),'1.4 Analyse &amp; Synthese'!I13&amp;CHAR(13)&amp;"("&amp;'(Codierung)'!$C$3&amp;" - "&amp;'1.4 Analyse &amp; Synthese'!C13&amp;")","")</f>
        <v/>
      </c>
      <c r="T12" s="277" t="str">
        <f t="array" ref="T12">_xlfn.IFNA(INDEX($S$6:$S$66,MATCH(0,COUNTIF($T$4:T11,$S$6:$S$66),0),1),"")</f>
        <v/>
      </c>
      <c r="U12" s="277" t="str">
        <f>IF(AND('1.4 Analyse &amp; Synthese'!S13=1,'1.4 Analyse &amp; Synthese'!F13="Werkzeug"),'1.4 Analyse &amp; Synthese'!I13&amp;CHAR(13)&amp;"("&amp;'(Codierung)'!$C$4&amp;" - "&amp;'1.4 Analyse &amp; Synthese'!C13&amp;")","")</f>
        <v/>
      </c>
      <c r="V12" s="277" t="str">
        <f t="array" ref="V12">_xlfn.IFNA(INDEX($U$6:$U$66,MATCH(0,COUNTIF($V$4:V11,$U$6:$U$66),0),1),"")</f>
        <v/>
      </c>
      <c r="X12" s="277" t="str">
        <f>IF(AND('1.4 Analyse &amp; Synthese'!T13=1,'1.4 Analyse &amp; Synthese'!F13="Empfehlung"),'1.4 Analyse &amp; Synthese'!I13&amp;CHAR(13)&amp;"("&amp;'(Codierung)'!$C$2&amp;" - "&amp;'1.4 Analyse &amp; Synthese'!C13&amp;")","")</f>
        <v>Datenintegration_x000D_(Empfehlung - Bennani )</v>
      </c>
      <c r="Y12" s="277" t="str">
        <f t="array" ref="Y12">_xlfn.IFNA(INDEX($X$6:$X$66,MATCH(0,COUNTIF($Y$4:Y11,$X$6:$X$66),0),1),"")</f>
        <v/>
      </c>
      <c r="Z12" s="277" t="str">
        <f>IF(AND('1.4 Analyse &amp; Synthese'!T13=1,'1.4 Analyse &amp; Synthese'!F13="Methode"),'1.4 Analyse &amp; Synthese'!I13&amp;CHAR(13)&amp;"("&amp;'(Codierung)'!$C$3&amp;" - "&amp;'1.4 Analyse &amp; Synthese'!C13&amp;")","")</f>
        <v/>
      </c>
      <c r="AA12" s="277" t="str">
        <f t="array" ref="AA12">_xlfn.IFNA(INDEX($Z$6:$Z$66,MATCH(0,COUNTIF($AA$4:AA11,$Z$6:$Z$66),0),1),"")</f>
        <v/>
      </c>
      <c r="AB12" s="277" t="str">
        <f>IF(AND('1.4 Analyse &amp; Synthese'!T13=1,'1.4 Analyse &amp; Synthese'!F13="Werkzeug"),'1.4 Analyse &amp; Synthese'!I13&amp;CHAR(13)&amp;"("&amp;'(Codierung)'!$C$4&amp;" - "&amp;'1.4 Analyse &amp; Synthese'!C13&amp;")","")</f>
        <v/>
      </c>
      <c r="AC12" s="277" t="str">
        <f t="array" ref="AC12">_xlfn.IFNA(INDEX($AB$6:$AB$66,MATCH(0,COUNTIF($AC$4:AC11,$AB$6:$AB$66),0),1),"")</f>
        <v/>
      </c>
      <c r="AE12" s="277" t="str">
        <f>IF(AND('1.4 Analyse &amp; Synthese'!U13=1,'1.4 Analyse &amp; Synthese'!F13="Empfehlung"),'1.4 Analyse &amp; Synthese'!I13&amp;CHAR(13)&amp;"("&amp;'(Codierung)'!$C$2&amp;" - "&amp;'1.4 Analyse &amp; Synthese'!C13&amp;")","")</f>
        <v/>
      </c>
      <c r="AF12" s="277" t="str">
        <f t="array" ref="AF12">_xlfn.IFNA(INDEX($AE$6:$AE$66,MATCH(0,COUNTIF($AF$4:AF11,$AE$6:$AE$66),0),1),"")</f>
        <v/>
      </c>
      <c r="AG12" s="277" t="str">
        <f>IF(AND('1.4 Analyse &amp; Synthese'!U13=1,'1.4 Analyse &amp; Synthese'!F13="Methode"),'1.4 Analyse &amp; Synthese'!I13&amp;CHAR(13)&amp;"("&amp;'(Codierung)'!$C$3&amp;" - "&amp;'1.4 Analyse &amp; Synthese'!C13&amp;")","")</f>
        <v/>
      </c>
      <c r="AH12" s="277" t="str">
        <f t="array" ref="AH12">_xlfn.IFNA(INDEX($AG$6:$AG$66,MATCH(0,COUNTIF($AH$4:AH11,$AG$6:$AG$66),0),1),"")</f>
        <v/>
      </c>
      <c r="AI12" s="277" t="str">
        <f>IF(AND('1.4 Analyse &amp; Synthese'!U13=1,'1.4 Analyse &amp; Synthese'!F13="Werkzeug"),'1.4 Analyse &amp; Synthese'!I13&amp;CHAR(13)&amp;"("&amp;'(Codierung)'!$C$4&amp;" - "&amp;'1.4 Analyse &amp; Synthese'!C13&amp;")","")</f>
        <v/>
      </c>
      <c r="AJ12" s="277" t="str">
        <f t="array" ref="AJ12">_xlfn.IFNA(INDEX($AI$6:$AI$66,MATCH(0,COUNTIF($AJ$4:AJ11,$AI$6:$AI$66),0),1),"")</f>
        <v/>
      </c>
      <c r="AL12" s="277" t="str">
        <f>IF(AND('1.4 Analyse &amp; Synthese'!V13=1,'1.4 Analyse &amp; Synthese'!F13="Empfehlung"),'1.4 Analyse &amp; Synthese'!I13&amp;CHAR(13)&amp;"("&amp;'(Codierung)'!$C$2&amp;" - "&amp;'1.4 Analyse &amp; Synthese'!C13&amp;")","")</f>
        <v/>
      </c>
      <c r="AM12" s="277" t="str">
        <f t="array" ref="AM12">_xlfn.IFNA(INDEX($AL$6:$AL$66,MATCH(0,COUNTIF($AM$4:AM11,$AL$6:$AL$66),0),1),"")</f>
        <v/>
      </c>
      <c r="AN12" s="277" t="str">
        <f>IF(AND('1.4 Analyse &amp; Synthese'!V13=1,'1.4 Analyse &amp; Synthese'!F13="Methode"),'1.4 Analyse &amp; Synthese'!I13&amp;CHAR(13)&amp;"("&amp;'(Codierung)'!$C$3&amp;" - "&amp;'1.4 Analyse &amp; Synthese'!C13&amp;")","")</f>
        <v/>
      </c>
      <c r="AO12" s="277" t="str">
        <f t="array" ref="AO12">_xlfn.IFNA(INDEX($AN$6:$AN$66,MATCH(0,COUNTIF($AO$4:AO11,$AN$6:$AN$66),0),1),"")</f>
        <v/>
      </c>
      <c r="AP12" s="277" t="str">
        <f>IF(AND('1.4 Analyse &amp; Synthese'!V13=1,'1.4 Analyse &amp; Synthese'!F13="Werkzeug"),'1.4 Analyse &amp; Synthese'!I13&amp;CHAR(13)&amp;"("&amp;'(Codierung)'!$C$4&amp;" - "&amp;'1.4 Analyse &amp; Synthese'!C13&amp;")","")</f>
        <v/>
      </c>
      <c r="AQ12" s="277" t="str">
        <f t="array" ref="AQ12">_xlfn.IFNA(INDEX($AP$6:$AP$66,MATCH(0,COUNTIF($AQ$4:AQ11,$AP$6:$AP$66),0),1),"")</f>
        <v/>
      </c>
      <c r="AS12" s="277" t="str">
        <f>IF(AND('1.4 Analyse &amp; Synthese'!W13=1,'1.4 Analyse &amp; Synthese'!F13="Empfehlung"),'1.4 Analyse &amp; Synthese'!I13&amp;CHAR(13)&amp;"("&amp;'(Codierung)'!$C$2&amp;" - "&amp;'1.4 Analyse &amp; Synthese'!C13&amp;")","")</f>
        <v/>
      </c>
      <c r="AT12" s="277" t="str">
        <f t="array" ref="AT12">_xlfn.IFNA(INDEX($AS$6:$AS$66,MATCH(0,COUNTIF($AT$4:AT11,$AS$6:$AS$66),0),1),"")</f>
        <v/>
      </c>
      <c r="AU12" s="277" t="str">
        <f>IF(AND('1.4 Analyse &amp; Synthese'!W13=1,'1.4 Analyse &amp; Synthese'!F13="Methode"),'1.4 Analyse &amp; Synthese'!I13&amp;CHAR(13)&amp;"("&amp;'(Codierung)'!$C$3&amp;" - "&amp;'1.4 Analyse &amp; Synthese'!C13&amp;")","")</f>
        <v/>
      </c>
      <c r="AV12" s="277" t="str">
        <f t="array" ref="AV12">_xlfn.IFNA(INDEX($AU$6:$AU$66,MATCH(0,COUNTIF($AV$4:AV11,$AU$6:$AU$66),0),1),"")</f>
        <v/>
      </c>
      <c r="AW12" s="277" t="str">
        <f>IF(AND('1.4 Analyse &amp; Synthese'!W13=1,'1.4 Analyse &amp; Synthese'!F13="Werkzeug"),'1.4 Analyse &amp; Synthese'!I13&amp;CHAR(13)&amp;"("&amp;'(Codierung)'!$C$4&amp;" - "&amp;'1.4 Analyse &amp; Synthese'!C13&amp;")","")</f>
        <v/>
      </c>
      <c r="AX12" s="277" t="str">
        <f t="array" ref="AX12">_xlfn.IFNA(INDEX($AW$6:$AW$66,MATCH(0,COUNTIF($AX$4:AX11,$AW$6:$AW$66),0),1),"")</f>
        <v/>
      </c>
      <c r="AZ12" s="277" t="str">
        <f>IF(AND('1.4 Analyse &amp; Synthese'!X13=1,'1.4 Analyse &amp; Synthese'!F13="Empfehlung"),'1.4 Analyse &amp; Synthese'!I13&amp;CHAR(13)&amp;"("&amp;'(Codierung)'!$C$2&amp;" - "&amp;'1.4 Analyse &amp; Synthese'!C13&amp;")","")</f>
        <v>Datenintegration_x000D_(Empfehlung - Bennani )</v>
      </c>
      <c r="BA12" s="277" t="str">
        <f t="array" ref="BA12">_xlfn.IFNA(INDEX($AZ$6:$AZ$66,MATCH(0,COUNTIF($BA$4:BA11,$AZ$6:$AZ$66),0),1),"")</f>
        <v/>
      </c>
      <c r="BB12" s="277" t="str">
        <f>IF(AND('1.4 Analyse &amp; Synthese'!X13=1,'1.4 Analyse &amp; Synthese'!F13="Methode"),'1.4 Analyse &amp; Synthese'!I13&amp;CHAR(13)&amp;"("&amp;'(Codierung)'!$C$3&amp;" - "&amp;'1.4 Analyse &amp; Synthese'!C13&amp;")","")</f>
        <v/>
      </c>
      <c r="BC12" s="277" t="str">
        <f t="array" ref="BC12">_xlfn.IFNA(INDEX($BB$6:$BB$66,MATCH(0,COUNTIF($BC$4:BC11,$BB$6:$BB$66),0),1),"")</f>
        <v/>
      </c>
      <c r="BD12" s="277" t="str">
        <f>IF(AND('1.4 Analyse &amp; Synthese'!X13=1,'1.4 Analyse &amp; Synthese'!F13="Werkzeug"),'1.4 Analyse &amp; Synthese'!I13&amp;CHAR(13)&amp;"("&amp;'(Codierung)'!$C$4&amp;" - "&amp;'1.4 Analyse &amp; Synthese'!C13&amp;")","")</f>
        <v/>
      </c>
      <c r="BE12" s="277" t="str">
        <f t="array" ref="BE12">_xlfn.IFNA(INDEX($BD$6:$BD$66,MATCH(0,COUNTIF($BE$4:BE11,$BD$6:$BD$66),0),1),"")</f>
        <v/>
      </c>
      <c r="BG12" s="277" t="str">
        <f>IF(AND('1.4 Analyse &amp; Synthese'!Y13=1,'1.4 Analyse &amp; Synthese'!F13="Empfehlung"),'1.4 Analyse &amp; Synthese'!I13&amp;CHAR(13)&amp;"("&amp;'(Codierung)'!$C$2&amp;" - "&amp;'1.4 Analyse &amp; Synthese'!C13&amp;")","")</f>
        <v/>
      </c>
      <c r="BH12" s="277" t="str">
        <f t="array" ref="BH12">_xlfn.IFNA(INDEX($BG$6:$BG$66,MATCH(0,COUNTIF($BH$4:BH11,$BG$6:$BG$66),0),1),"")</f>
        <v/>
      </c>
      <c r="BI12" s="277" t="str">
        <f>IF(AND('1.4 Analyse &amp; Synthese'!Y13=1,'1.4 Analyse &amp; Synthese'!F13="Methode"),'1.4 Analyse &amp; Synthese'!I13&amp;CHAR(13)&amp;"("&amp;'(Codierung)'!$C$3&amp;" - "&amp;'1.4 Analyse &amp; Synthese'!C13&amp;")","")</f>
        <v/>
      </c>
      <c r="BJ12" s="277" t="str">
        <f t="array" ref="BJ12">_xlfn.IFNA(INDEX($BI$6:$BI$66,MATCH(0,COUNTIF($BJ$4:BJ11,$BI$6:$BI$66),0),1),"")</f>
        <v/>
      </c>
      <c r="BK12" s="277" t="str">
        <f>IF(AND('1.4 Analyse &amp; Synthese'!Y13=1,'1.4 Analyse &amp; Synthese'!F13="Werkzeug"),'1.4 Analyse &amp; Synthese'!I13&amp;CHAR(13)&amp;"("&amp;'(Codierung)'!$C$4&amp;" - "&amp;'1.4 Analyse &amp; Synthese'!C13&amp;")","")</f>
        <v/>
      </c>
      <c r="BL12" s="277" t="str">
        <f t="array" ref="BL12">_xlfn.IFNA(INDEX($BK$6:$BK$66,MATCH(0,COUNTIF($BL$4:BL11,$BK$6:$BK$66),0),1),"")</f>
        <v/>
      </c>
      <c r="BN12" s="277" t="str">
        <f>IF(AND('1.4 Analyse &amp; Synthese'!Z13=1,'1.4 Analyse &amp; Synthese'!F13="Empfehlung"),'1.4 Analyse &amp; Synthese'!I13&amp;CHAR(13)&amp;"("&amp;'(Codierung)'!$C$2&amp;" - "&amp;'1.4 Analyse &amp; Synthese'!C13&amp;")","")</f>
        <v/>
      </c>
      <c r="BO12" s="277" t="str">
        <f t="array" ref="BO12">_xlfn.IFNA(INDEX($BN$6:$BN$66,MATCH(0,COUNTIF($BO$4:BO11,$BN$6:$BN$66),0),1),"")</f>
        <v>Datenintegration_x000D_(Empfehlung - Schulte)</v>
      </c>
      <c r="BP12" s="277" t="str">
        <f>IF(AND('1.4 Analyse &amp; Synthese'!Z13=1,'1.4 Analyse &amp; Synthese'!F13="Methode"),'1.4 Analyse &amp; Synthese'!I13&amp;CHAR(13)&amp;"("&amp;'(Codierung)'!$C$3&amp;" - "&amp;'1.4 Analyse &amp; Synthese'!C13&amp;")","")</f>
        <v/>
      </c>
      <c r="BQ12" s="277" t="str">
        <f t="array" ref="BQ12">_xlfn.IFNA(INDEX($BP$6:$BP$66,MATCH(0,COUNTIF($BQ$4:BQ11,$BP$6:$BP$66),0),1),"")</f>
        <v/>
      </c>
      <c r="BR12" s="277" t="str">
        <f>IF(AND('1.4 Analyse &amp; Synthese'!Z13=1,'1.4 Analyse &amp; Synthese'!F13="Werkzeug"),'1.4 Analyse &amp; Synthese'!I13&amp;CHAR(13)&amp;"("&amp;'(Codierung)'!$C$4&amp;" - "&amp;'1.4 Analyse &amp; Synthese'!C13&amp;")","")</f>
        <v/>
      </c>
      <c r="BS12" s="277" t="str">
        <f t="array" ref="BS12">_xlfn.IFNA(INDEX($BR$6:$BR$66,MATCH(0,COUNTIF($BS$4:BS11,$BR$6:$BR$66),0),1),"")</f>
        <v/>
      </c>
      <c r="BU12" s="277" t="str">
        <f>IF(AND('1.4 Analyse &amp; Synthese'!AA13=1,'1.4 Analyse &amp; Synthese'!F13="Empfehlung"),'1.4 Analyse &amp; Synthese'!I13&amp;CHAR(13)&amp;"("&amp;'(Codierung)'!$C$2&amp;" - "&amp;'1.4 Analyse &amp; Synthese'!C13&amp;")","")</f>
        <v/>
      </c>
      <c r="BV12" s="277" t="str">
        <f t="array" ref="BV12">_xlfn.IFNA(INDEX($BU$6:$BU$66,MATCH(0,COUNTIF($BV$4:BV11,$BU$6:$BU$66),0),1),"")</f>
        <v/>
      </c>
      <c r="BW12" s="277" t="str">
        <f>IF(AND('1.4 Analyse &amp; Synthese'!AA13=1,'1.4 Analyse &amp; Synthese'!F13="Methode"),'1.4 Analyse &amp; Synthese'!I13&amp;CHAR(13)&amp;"("&amp;'(Codierung)'!$C$3&amp;" - "&amp;'1.4 Analyse &amp; Synthese'!C13&amp;")","")</f>
        <v/>
      </c>
      <c r="BX12" s="277" t="str">
        <f t="array" ref="BX12">_xlfn.IFNA(INDEX($BW$6:$BW$66,MATCH(0,COUNTIF($BX$4:BX11,$BW$6:$BW$66),0),1),"")</f>
        <v/>
      </c>
      <c r="BY12" s="277" t="str">
        <f>IF(AND('1.4 Analyse &amp; Synthese'!AA13=1,'1.4 Analyse &amp; Synthese'!F13="Werkzeug"),'1.4 Analyse &amp; Synthese'!I13&amp;CHAR(13)&amp;"("&amp;'(Codierung)'!$C$4&amp;" - "&amp;'1.4 Analyse &amp; Synthese'!C13&amp;")","")</f>
        <v/>
      </c>
      <c r="BZ12" s="277" t="str">
        <f t="array" ref="BZ12">_xlfn.IFNA(INDEX($BY$6:$BY$66,MATCH(0,COUNTIF($BZ$4:BZ11,$BY$6:$BY$66),0),1),"")</f>
        <v/>
      </c>
      <c r="CB12" s="277" t="str">
        <f>IF(AND('1.4 Analyse &amp; Synthese'!AB13=1,'1.4 Analyse &amp; Synthese'!F13="Empfehlung"),'1.4 Analyse &amp; Synthese'!I13&amp;CHAR(13)&amp;"("&amp;'(Codierung)'!$C$2&amp;" - "&amp;'1.4 Analyse &amp; Synthese'!C13&amp;")","")</f>
        <v/>
      </c>
      <c r="CC12" s="277" t="str">
        <f t="array" ref="CC12">_xlfn.IFNA(INDEX($CB$6:$CB$66,MATCH(0,COUNTIF($CC$4:CC11,$CB$6:$CB$66),0),1),"")</f>
        <v/>
      </c>
      <c r="CD12" s="277" t="str">
        <f>IF(AND('1.4 Analyse &amp; Synthese'!AB13=1,'1.4 Analyse &amp; Synthese'!F13="Methode"),'1.4 Analyse &amp; Synthese'!I13&amp;CHAR(13)&amp;"("&amp;'(Codierung)'!$C$3&amp;" - "&amp;'1.4 Analyse &amp; Synthese'!C13&amp;")","")</f>
        <v/>
      </c>
      <c r="CE12" s="277" t="str">
        <f t="array" ref="CE12">_xlfn.IFNA(INDEX($CD$6:$CD$66,MATCH(0,COUNTIF($CE$4:CE11,$CD$6:$CD$66),0),1),"")</f>
        <v/>
      </c>
      <c r="CF12" s="277" t="str">
        <f>IF(AND('1.4 Analyse &amp; Synthese'!AB13=1,'1.4 Analyse &amp; Synthese'!F13="Werkzeug"),'1.4 Analyse &amp; Synthese'!I13&amp;CHAR(13)&amp;"("&amp;'(Codierung)'!$C$4&amp;" - "&amp;'1.4 Analyse &amp; Synthese'!C13&amp;")","")</f>
        <v/>
      </c>
      <c r="CG12" s="277" t="str">
        <f t="array" ref="CG12">_xlfn.IFNA(INDEX($CF$6:$CF$66,MATCH(0,COUNTIF($CG$4:CG11,$CF$6:$CF$66),0),1),"")</f>
        <v/>
      </c>
      <c r="CI12" s="277" t="str">
        <f>IF(AND('1.4 Analyse &amp; Synthese'!AC13=1,'1.4 Analyse &amp; Synthese'!F13="Empfehlung"),'1.4 Analyse &amp; Synthese'!I13&amp;CHAR(13)&amp;"("&amp;'(Codierung)'!$C$2&amp;" - "&amp;'1.4 Analyse &amp; Synthese'!C13&amp;")","")</f>
        <v/>
      </c>
      <c r="CJ12" s="277" t="str">
        <f t="array" ref="CJ12">_xlfn.IFNA(INDEX($CI$6:$CI$66,MATCH(0,COUNTIF($CJ$4:CJ11,$CI$6:$CI$66),0),1),"")</f>
        <v/>
      </c>
      <c r="CK12" s="277" t="str">
        <f>IF(AND('1.4 Analyse &amp; Synthese'!AC13=1,'1.4 Analyse &amp; Synthese'!F13="Methode"),'1.4 Analyse &amp; Synthese'!I13&amp;CHAR(13)&amp;"("&amp;'(Codierung)'!$C$3&amp;" - "&amp;'1.4 Analyse &amp; Synthese'!C13&amp;")","")</f>
        <v/>
      </c>
      <c r="CL12" s="277" t="str">
        <f t="array" ref="CL12">_xlfn.IFNA(INDEX($CK$6:$CK$66,MATCH(0,COUNTIF($CL$4:CL11,$CK$6:$CK$66),0),1),"")</f>
        <v/>
      </c>
      <c r="CM12" s="277" t="str">
        <f>IF(AND('1.4 Analyse &amp; Synthese'!AC13=1,'1.4 Analyse &amp; Synthese'!F13="Werkzeug"),'1.4 Analyse &amp; Synthese'!I13&amp;CHAR(13)&amp;"("&amp;'(Codierung)'!$C$4&amp;" - "&amp;'1.4 Analyse &amp; Synthese'!C13&amp;")","")</f>
        <v/>
      </c>
      <c r="CN12" s="277" t="str">
        <f t="array" ref="CN12">_xlfn.IFNA(INDEX($CM$6:$CM$66,MATCH(0,COUNTIF($CN$4:CN11,$CM$6:$CM$66),0),1),"")</f>
        <v/>
      </c>
      <c r="CP12" s="277" t="str">
        <f>IF(AND('1.4 Analyse &amp; Synthese'!AD13=1,'1.4 Analyse &amp; Synthese'!F13="Empfehlung"),'1.4 Analyse &amp; Synthese'!I13&amp;CHAR(13)&amp;"("&amp;'(Codierung)'!$C$2&amp;" - "&amp;'1.4 Analyse &amp; Synthese'!C13&amp;")","")</f>
        <v/>
      </c>
      <c r="CQ12" s="277" t="str">
        <f t="array" ref="CQ12">_xlfn.IFNA(INDEX($CP$6:$CP$66,MATCH(0,COUNTIF($CQ$4:CQ11,$CP$6:$CP$66),0),1),"")</f>
        <v/>
      </c>
      <c r="CR12" s="277" t="str">
        <f>IF(AND('1.4 Analyse &amp; Synthese'!AD13=1,'1.4 Analyse &amp; Synthese'!F13="Methode"),'1.4 Analyse &amp; Synthese'!I13&amp;CHAR(13)&amp;"("&amp;'(Codierung)'!$C$3&amp;" - "&amp;'1.4 Analyse &amp; Synthese'!C13&amp;")","")</f>
        <v/>
      </c>
      <c r="CS12" s="277" t="str">
        <f t="array" ref="CS12">_xlfn.IFNA(INDEX($CR$6:$CR$66,MATCH(0,COUNTIF($CS$4:CS11,$CR$6:$CR$66),0),1),"")</f>
        <v/>
      </c>
      <c r="CT12" s="277" t="str">
        <f>IF(AND('1.4 Analyse &amp; Synthese'!AD13=1,'1.4 Analyse &amp; Synthese'!F13="Werkzeug"),'1.4 Analyse &amp; Synthese'!I13&amp;CHAR(13)&amp;"("&amp;'(Codierung)'!$C$4&amp;" - "&amp;'1.4 Analyse &amp; Synthese'!C13&amp;")","")</f>
        <v/>
      </c>
      <c r="CU12" s="277" t="str">
        <f t="array" ref="CU12">_xlfn.IFNA(INDEX($CT$6:$CT$66,MATCH(0,COUNTIF($CU$4:CU11,$CT$6:$CT$66),0),1),"")</f>
        <v/>
      </c>
      <c r="CW12" s="277" t="str">
        <f>IF(AND('1.4 Analyse &amp; Synthese'!AE13=1,'1.4 Analyse &amp; Synthese'!F13="Empfehlung"),'1.4 Analyse &amp; Synthese'!I13&amp;CHAR(13)&amp;"("&amp;'(Codierung)'!$C$2&amp;" - "&amp;'1.4 Analyse &amp; Synthese'!C13&amp;")","")</f>
        <v/>
      </c>
      <c r="CX12" s="277" t="str">
        <f t="array" ref="CX12">_xlfn.IFNA(INDEX($CW$6:$CW$66,MATCH(0,COUNTIF($CX$4:CX11,$CW$6:$CW$66),0),1),"")</f>
        <v>Application Programming Interface_x000D_(Empfehlung - Oprescu)</v>
      </c>
      <c r="CY12" s="277" t="str">
        <f>IF(AND('1.4 Analyse &amp; Synthese'!AE13=1,'1.4 Analyse &amp; Synthese'!F13="Methode"),'1.4 Analyse &amp; Synthese'!I13&amp;CHAR(13)&amp;"("&amp;'(Codierung)'!$C$3&amp;" - "&amp;'1.4 Analyse &amp; Synthese'!C13&amp;")","")</f>
        <v/>
      </c>
      <c r="CZ12" s="277" t="str">
        <f t="array" ref="CZ12">_xlfn.IFNA(INDEX($CY$6:$CY$66,MATCH(0,COUNTIF($CZ$4:CZ11,$CY$6:$CY$66),0),1),"")</f>
        <v/>
      </c>
      <c r="DA12" s="277" t="str">
        <f>IF(AND('1.4 Analyse &amp; Synthese'!AE13=1,'1.4 Analyse &amp; Synthese'!F13="Werkzeug"),'1.4 Analyse &amp; Synthese'!I13&amp;CHAR(13)&amp;"("&amp;'(Codierung)'!$C$4&amp;" - "&amp;'1.4 Analyse &amp; Synthese'!C13&amp;")","")</f>
        <v/>
      </c>
      <c r="DB12" s="277" t="str">
        <f t="array" ref="DB12">_xlfn.IFNA(INDEX($DA$6:$DA$66,MATCH(0,COUNTIF($DB$4:DB11,$DA$6:$DA$66),0),1),"")</f>
        <v/>
      </c>
      <c r="DD12" s="277" t="str">
        <f>IF(AND('1.4 Analyse &amp; Synthese'!AF13=1,'1.4 Analyse &amp; Synthese'!F13="Empfehlung"),'1.4 Analyse &amp; Synthese'!I13&amp;CHAR(13)&amp;"("&amp;'(Codierung)'!$C$2&amp;" - "&amp;'1.4 Analyse &amp; Synthese'!C13&amp;")","")</f>
        <v/>
      </c>
      <c r="DE12" s="277" t="str">
        <f t="array" ref="DE12">_xlfn.IFNA(INDEX($DD$6:$DD$66,MATCH(0,COUNTIF($DE$4:DE11,$DD$6:$DD$66),0),1),"")</f>
        <v/>
      </c>
      <c r="DF12" s="277" t="str">
        <f>IF(AND('1.4 Analyse &amp; Synthese'!AF13=1,'1.4 Analyse &amp; Synthese'!F13="Methode"),'1.4 Analyse &amp; Synthese'!I13&amp;CHAR(13)&amp;"("&amp;'(Codierung)'!$C$3&amp;" - "&amp;'1.4 Analyse &amp; Synthese'!C13&amp;")","")</f>
        <v/>
      </c>
      <c r="DG12" s="277" t="str">
        <f t="array" ref="DG12">_xlfn.IFNA(INDEX($DF$6:$DF$66,MATCH(0,COUNTIF($DG$4:DG11,$DF$6:$DF$66),0),1),"")</f>
        <v/>
      </c>
      <c r="DH12" s="277" t="str">
        <f>IF(AND('1.4 Analyse &amp; Synthese'!AF13=1,'1.4 Analyse &amp; Synthese'!F13="Werkzeug"),'1.4 Analyse &amp; Synthese'!I13&amp;CHAR(13)&amp;"("&amp;'(Codierung)'!$C$4&amp;" - "&amp;'1.4 Analyse &amp; Synthese'!C13&amp;")","")</f>
        <v/>
      </c>
      <c r="DI12" s="277" t="str">
        <f t="array" ref="DI12">_xlfn.IFNA(INDEX($DH$6:$DH$66,MATCH(0,COUNTIF($DI$4:DI11,$DH$6:$DH$66),0),1),"")</f>
        <v/>
      </c>
      <c r="DK12" s="277" t="str">
        <f>IF(AND('1.4 Analyse &amp; Synthese'!AG13=1,'1.4 Analyse &amp; Synthese'!F13="Empfehlung"),'1.4 Analyse &amp; Synthese'!I13&amp;CHAR(13)&amp;"("&amp;'(Codierung)'!$C$2&amp;" - "&amp;'1.4 Analyse &amp; Synthese'!C13&amp;")","")</f>
        <v/>
      </c>
      <c r="DL12" s="277" t="str">
        <f t="array" ref="DL12">_xlfn.IFNA(INDEX($DK$6:$DK$66,MATCH(0,COUNTIF($DL$4:DL11,$DK$6:$DK$66),0),1),"")</f>
        <v>Protokolltransmitter_x000D_(Empfehlung - Majda)</v>
      </c>
      <c r="DM12" s="277" t="str">
        <f>IF(AND('1.4 Analyse &amp; Synthese'!AG13=1,'1.4 Analyse &amp; Synthese'!F13="Methode"),'1.4 Analyse &amp; Synthese'!I13&amp;CHAR(13)&amp;"("&amp;'(Codierung)'!$C$3&amp;" - "&amp;'1.4 Analyse &amp; Synthese'!C13&amp;")","")</f>
        <v/>
      </c>
      <c r="DN12" s="277" t="str">
        <f t="array" ref="DN12">_xlfn.IFNA(INDEX($DM$6:$DM$66,MATCH(0,COUNTIF($DN$4:DN11,$DM$6:$DM$66),0),1),"")</f>
        <v/>
      </c>
      <c r="DO12" s="277" t="str">
        <f>IF(AND('1.4 Analyse &amp; Synthese'!AG13=1,'1.4 Analyse &amp; Synthese'!F13="Werkzeug"),'1.4 Analyse &amp; Synthese'!I13&amp;CHAR(13)&amp;"("&amp;'(Codierung)'!$C$4&amp;" - "&amp;'1.4 Analyse &amp; Synthese'!C13&amp;")","")</f>
        <v/>
      </c>
      <c r="DP12" s="277" t="str">
        <f t="array" ref="DP12">_xlfn.IFNA(INDEX($DO$6:$DO$66,MATCH(0,COUNTIF($DP$4:DP11,$DO$6:$DO$66),0),1),"")</f>
        <v/>
      </c>
      <c r="DR12" s="277" t="str">
        <f>IF(AND('1.4 Analyse &amp; Synthese'!AH13=1,'1.4 Analyse &amp; Synthese'!F13="Empfehlung"),'1.4 Analyse &amp; Synthese'!I13&amp;CHAR(13)&amp;"("&amp;'(Codierung)'!$C$2&amp;" - "&amp;'1.4 Analyse &amp; Synthese'!C13&amp;")","")</f>
        <v/>
      </c>
      <c r="DS12" s="277" t="str">
        <f t="array" ref="DS12">_xlfn.IFNA(INDEX($DR$6:$DR$66,MATCH(0,COUNTIF($DS$4:DS11,$DR$6:$DR$66),0),1),"")</f>
        <v/>
      </c>
      <c r="DT12" s="277" t="str">
        <f>IF(AND('1.4 Analyse &amp; Synthese'!AH13=1,'1.4 Analyse &amp; Synthese'!F13="Methode"),'1.4 Analyse &amp; Synthese'!I13&amp;CHAR(13)&amp;"("&amp;'(Codierung)'!$C$3&amp;" - "&amp;'1.4 Analyse &amp; Synthese'!C13&amp;")","")</f>
        <v/>
      </c>
      <c r="DU12" s="277" t="str">
        <f t="array" ref="DU12">_xlfn.IFNA(INDEX($DT$6:$DT$66,MATCH(0,COUNTIF($DU$4:DU11,$DT$6:$DT$66),0),1),"")</f>
        <v/>
      </c>
      <c r="DV12" s="277" t="str">
        <f>IF(AND('1.4 Analyse &amp; Synthese'!AH13=1,'1.4 Analyse &amp; Synthese'!F13="Werkzeug"),'1.4 Analyse &amp; Synthese'!I13&amp;CHAR(13)&amp;"("&amp;'(Codierung)'!$C$4&amp;" - "&amp;'1.4 Analyse &amp; Synthese'!C13&amp;")","")</f>
        <v/>
      </c>
      <c r="DW12" s="277" t="str">
        <f t="array" ref="DW12">_xlfn.IFNA(INDEX($DV$6:$DV$66,MATCH(0,COUNTIF($DW$4:DW11,$DV$6:$DV$66),0),1),"")</f>
        <v/>
      </c>
      <c r="DY12" s="277" t="str">
        <f>IF(AND('1.4 Analyse &amp; Synthese'!AI13=1,'1.4 Analyse &amp; Synthese'!F13="Empfehlung"),'1.4 Analyse &amp; Synthese'!I13&amp;CHAR(13)&amp;"("&amp;'(Codierung)'!$C$2&amp;" - "&amp;'1.4 Analyse &amp; Synthese'!C13&amp;")","")</f>
        <v/>
      </c>
      <c r="DZ12" s="277" t="str">
        <f t="array" ref="DZ12">_xlfn.IFNA(INDEX($DY$6:$DY$66,MATCH(0,COUNTIF($DZ$4:DZ11,$DY$6:$DY$66),0),1),"")</f>
        <v>Protokolltransmitter_x000D_(Empfehlung - Majda)</v>
      </c>
      <c r="EA12" s="277" t="str">
        <f>IF(AND('1.4 Analyse &amp; Synthese'!AI13=1,'1.4 Analyse &amp; Synthese'!F13="Methode"),'1.4 Analyse &amp; Synthese'!I13&amp;CHAR(13)&amp;"("&amp;'(Codierung)'!$C$3&amp;" - "&amp;'1.4 Analyse &amp; Synthese'!C13&amp;")","")</f>
        <v/>
      </c>
      <c r="EB12" s="277" t="str">
        <f t="array" ref="EB12">_xlfn.IFNA(INDEX($EA$6:$EA$66,MATCH(0,COUNTIF($EB$4:EB11,$EA$6:$EA$66),0),1),"")</f>
        <v/>
      </c>
      <c r="EC12" s="277" t="str">
        <f>IF(AND('1.4 Analyse &amp; Synthese'!AI13=1,'1.4 Analyse &amp; Synthese'!F13="Werkzeug"),'1.4 Analyse &amp; Synthese'!I13&amp;CHAR(13)&amp;"("&amp;'(Codierung)'!$C$4&amp;" - "&amp;'1.4 Analyse &amp; Synthese'!C13&amp;")","")</f>
        <v/>
      </c>
      <c r="ED12" s="277" t="str">
        <f t="array" ref="ED12">_xlfn.IFNA(INDEX($EC$6:$EC$66,MATCH(0,COUNTIF($ED$4:ED11,$EC$6:$EC$66),0),1),"")</f>
        <v/>
      </c>
      <c r="EF12" s="277" t="str">
        <f>IF(AND('1.4 Analyse &amp; Synthese'!AJ13=1,'1.4 Analyse &amp; Synthese'!F13="Empfehlung"),'1.4 Analyse &amp; Synthese'!I13&amp;CHAR(13)&amp;"("&amp;'(Codierung)'!$C$2&amp;" - "&amp;'1.4 Analyse &amp; Synthese'!C13&amp;")","")</f>
        <v>Datenintegration_x000D_(Empfehlung - Bennani )</v>
      </c>
      <c r="EG12" s="277" t="str">
        <f t="array" ref="EG12">_xlfn.IFNA(INDEX($EF$6:$EF$66,MATCH(0,COUNTIF($EG$4:EG11,$EF$6:$EF$66),0),1),"")</f>
        <v/>
      </c>
      <c r="EH12" s="277" t="str">
        <f>IF(AND('1.4 Analyse &amp; Synthese'!AJ13=1,'1.4 Analyse &amp; Synthese'!F13="Methode"),'1.4 Analyse &amp; Synthese'!I13&amp;CHAR(13)&amp;"("&amp;'(Codierung)'!$C$3&amp;" - "&amp;'1.4 Analyse &amp; Synthese'!C13&amp;")","")</f>
        <v/>
      </c>
      <c r="EI12" s="277" t="str">
        <f t="array" ref="EI12">_xlfn.IFNA(INDEX($EH$6:$EH$66,MATCH(0,COUNTIF($EI$4:EI11,$EH$6:$EH$66),0),1),"")</f>
        <v/>
      </c>
      <c r="EJ12" s="277" t="str">
        <f>IF(AND('1.4 Analyse &amp; Synthese'!AJ13=1,'1.4 Analyse &amp; Synthese'!F13="Werkzeug"),'1.4 Analyse &amp; Synthese'!I13&amp;CHAR(13)&amp;"("&amp;'(Codierung)'!$C$4&amp;" - "&amp;'1.4 Analyse &amp; Synthese'!C13&amp;")","")</f>
        <v/>
      </c>
      <c r="EK12" s="277" t="str">
        <f t="array" ref="EK12">_xlfn.IFNA(INDEX($EJ$6:$EJ$66,MATCH(0,COUNTIF($EK$4:EK11,$EJ$6:$EJ$66),0),1),"")</f>
        <v/>
      </c>
      <c r="EN12" s="222" t="str">
        <f t="shared" si="0"/>
        <v/>
      </c>
      <c r="EO12" s="277" t="str">
        <f t="shared" si="1"/>
        <v/>
      </c>
      <c r="EP12" s="277" t="str">
        <f t="shared" si="2"/>
        <v/>
      </c>
      <c r="EQ12" s="277" t="str">
        <f>ZahlenInBereich(Tabelle1[[Empfehlung]:[Werkzeug]],ROW()-5)</f>
        <v/>
      </c>
      <c r="ER12" s="277" t="str">
        <f t="shared" si="3"/>
        <v/>
      </c>
      <c r="ES12" s="277" t="str">
        <f t="shared" si="4"/>
        <v/>
      </c>
      <c r="ET12" s="277" t="str">
        <f t="shared" si="5"/>
        <v/>
      </c>
      <c r="EU12" s="277" t="str">
        <f>ZahlenInBereich(Tabelle1[[Empfehlung2]:[Werkzeug4]],ROW()-5)</f>
        <v>Collaboration SaaS_x000D_(Werkzeug - Xia)</v>
      </c>
      <c r="EV12" s="277" t="str">
        <f t="shared" si="6"/>
        <v>Cloud Metrik Evaluierung_x000D_(Empfehlung - Lee)</v>
      </c>
      <c r="EW12" s="277" t="str">
        <f t="shared" si="7"/>
        <v/>
      </c>
      <c r="EX12" s="277" t="str">
        <f t="shared" si="8"/>
        <v/>
      </c>
      <c r="EY12" s="277" t="str">
        <f>ZahlenInBereich(Tabelle1[[Empfehlung6]:[Werkzeug8]],ROW()-5)</f>
        <v>Cloud Metrik Evaluierung_x000D_(Empfehlung - Lee)</v>
      </c>
      <c r="EZ12" s="277" t="str">
        <f t="shared" si="9"/>
        <v/>
      </c>
      <c r="FA12" s="277" t="str">
        <f t="shared" si="10"/>
        <v/>
      </c>
      <c r="FB12" s="277" t="str">
        <f t="shared" si="11"/>
        <v/>
      </c>
      <c r="FC12" s="277" t="str">
        <f>ZahlenInBereich(Tabelle1[[Empfehlung10]:[Werkzeug12]],ROW()-5)</f>
        <v/>
      </c>
      <c r="FD12" s="277" t="str">
        <f t="shared" si="12"/>
        <v/>
      </c>
      <c r="FE12" s="277" t="str">
        <f t="shared" si="13"/>
        <v/>
      </c>
      <c r="FF12" s="277" t="str">
        <f t="shared" si="14"/>
        <v/>
      </c>
      <c r="FG12" s="277" t="str">
        <f>ZahlenInBereich(Tabelle1[[Empfehlung14]:[Werkzeug16]],ROW()-5)</f>
        <v/>
      </c>
      <c r="FH12" s="277" t="str">
        <f t="shared" si="15"/>
        <v/>
      </c>
      <c r="FI12" s="277" t="str">
        <f t="shared" si="16"/>
        <v/>
      </c>
      <c r="FJ12" s="277" t="str">
        <f t="shared" si="17"/>
        <v/>
      </c>
      <c r="FK12" s="277" t="str">
        <f>ZahlenInBereich(Tabelle1[[Empfehlung18]:[Werkzeug20]],ROW()-5)</f>
        <v/>
      </c>
      <c r="FL12" s="277" t="str">
        <f t="shared" si="18"/>
        <v/>
      </c>
      <c r="FM12" s="277" t="str">
        <f t="shared" si="19"/>
        <v/>
      </c>
      <c r="FN12" s="277" t="str">
        <f t="shared" si="20"/>
        <v/>
      </c>
      <c r="FO12" s="277" t="str">
        <f>ZahlenInBereich(Tabelle1[[Empfehlung22]:[Werkzeug24]],ROW()-5)</f>
        <v/>
      </c>
      <c r="FP12" s="277" t="str">
        <f t="shared" si="21"/>
        <v/>
      </c>
      <c r="FQ12" s="277" t="str">
        <f t="shared" si="22"/>
        <v/>
      </c>
      <c r="FR12" s="277" t="str">
        <f t="shared" si="23"/>
        <v/>
      </c>
      <c r="FS12" s="277" t="str">
        <f>ZahlenInBereich(Tabelle1[[Empfehlung26]:[Werkzeug28]],ROW()-5)</f>
        <v/>
      </c>
      <c r="FT12" s="277" t="str">
        <f t="shared" si="24"/>
        <v/>
      </c>
      <c r="FU12" s="277" t="str">
        <f t="shared" si="25"/>
        <v/>
      </c>
      <c r="FV12" s="277" t="str">
        <f t="shared" si="26"/>
        <v/>
      </c>
      <c r="FW12" s="277" t="str">
        <f>ZahlenInBereich(Tabelle1[[Empfehlung30]:[Werkzeug32]],ROW()-5)</f>
        <v/>
      </c>
      <c r="FX12" s="277" t="str">
        <f t="shared" si="27"/>
        <v>Datenintegration_x000D_(Empfehlung - Schulte)</v>
      </c>
      <c r="FY12" s="277" t="str">
        <f t="shared" si="28"/>
        <v/>
      </c>
      <c r="FZ12" s="277" t="str">
        <f t="shared" si="29"/>
        <v/>
      </c>
      <c r="GA12" s="277" t="str">
        <f>ZahlenInBereich(Tabelle1[[Empfehlung34]:[Werkzeug36]],ROW()-5)</f>
        <v>Datenintegration_x000D_(Empfehlung - Schulte)</v>
      </c>
      <c r="GB12" s="277" t="str">
        <f t="shared" si="30"/>
        <v/>
      </c>
      <c r="GC12" s="277" t="str">
        <f t="shared" si="31"/>
        <v/>
      </c>
      <c r="GD12" s="277" t="str">
        <f t="shared" si="32"/>
        <v/>
      </c>
      <c r="GE12" s="277" t="str">
        <f>ZahlenInBereich(Tabelle1[[Empfehlung38]:[Werkzeug40]],ROW()-5)</f>
        <v/>
      </c>
      <c r="GF12" s="277" t="str">
        <f t="shared" si="33"/>
        <v/>
      </c>
      <c r="GG12" s="277" t="str">
        <f t="shared" si="34"/>
        <v/>
      </c>
      <c r="GH12" s="277" t="str">
        <f t="shared" si="35"/>
        <v/>
      </c>
      <c r="GI12" s="277" t="str">
        <f>ZahlenInBereich(Tabelle1[[Empfehlung42]:[Werkzeug44]],ROW()-5)</f>
        <v/>
      </c>
      <c r="GJ12" s="277" t="str">
        <f t="shared" si="36"/>
        <v/>
      </c>
      <c r="GK12" s="277" t="str">
        <f t="shared" si="37"/>
        <v/>
      </c>
      <c r="GL12" s="277" t="str">
        <f t="shared" si="38"/>
        <v/>
      </c>
      <c r="GM12" s="277" t="str">
        <f>ZahlenInBereich(Tabelle1[[Empfehlung46]:[Werkzeug48]],ROW()-5)</f>
        <v/>
      </c>
      <c r="GN12" s="277" t="str">
        <f t="shared" si="39"/>
        <v/>
      </c>
      <c r="GO12" s="277" t="str">
        <f t="shared" si="40"/>
        <v/>
      </c>
      <c r="GP12" s="277" t="str">
        <f t="shared" si="41"/>
        <v/>
      </c>
      <c r="GQ12" s="277" t="str">
        <f>ZahlenInBereich(Tabelle1[[Empfehlung50]:[Werkzeug52]],ROW()-5)</f>
        <v/>
      </c>
      <c r="GR12" s="277" t="str">
        <f t="shared" si="42"/>
        <v>Application Programming Interface_x000D_(Empfehlung - Oprescu)</v>
      </c>
      <c r="GS12" s="277" t="str">
        <f t="shared" si="43"/>
        <v/>
      </c>
      <c r="GT12" s="277" t="str">
        <f t="shared" si="44"/>
        <v/>
      </c>
      <c r="GU12" s="277" t="str">
        <f>ZahlenInBereich(Tabelle1[[Empfehlung54]:[Werkzeug56]],ROW()-5)</f>
        <v>Application Programming Interface_x000D_(Empfehlung - Oprescu)</v>
      </c>
      <c r="GV12" s="277" t="str">
        <f t="shared" si="45"/>
        <v/>
      </c>
      <c r="GW12" s="277" t="str">
        <f t="shared" si="46"/>
        <v/>
      </c>
      <c r="GX12" s="277" t="str">
        <f t="shared" si="47"/>
        <v/>
      </c>
      <c r="GY12" s="277" t="str">
        <f>ZahlenInBereich(Tabelle1[[Empfehlung58]:[Werkzeug60]],ROW()-5)</f>
        <v>Monitoring System_x000D_(Methode - Aversa)</v>
      </c>
      <c r="GZ12" s="277" t="str">
        <f t="shared" si="48"/>
        <v>Protokolltransmitter_x000D_(Empfehlung - Majda)</v>
      </c>
      <c r="HA12" s="277" t="str">
        <f t="shared" si="49"/>
        <v/>
      </c>
      <c r="HB12" s="277" t="str">
        <f t="shared" si="50"/>
        <v/>
      </c>
      <c r="HC12" s="277" t="str">
        <f>ZahlenInBereich(Tabelle1[[Empfehlung62]:[Werkzeug64]],ROW()-5)</f>
        <v>Protokolltransmitter_x000D_(Empfehlung - Majda)</v>
      </c>
      <c r="HD12" s="277" t="str">
        <f t="shared" si="51"/>
        <v/>
      </c>
      <c r="HE12" s="277" t="str">
        <f t="shared" si="52"/>
        <v/>
      </c>
      <c r="HF12" s="277" t="str">
        <f t="shared" si="53"/>
        <v/>
      </c>
      <c r="HG12" s="277" t="str">
        <f>ZahlenInBereich(Tabelle1[[Empfehlung66]:[Werkzeug68]],ROW()-5)</f>
        <v/>
      </c>
      <c r="HH12" s="277" t="str">
        <f t="shared" si="54"/>
        <v>Protokolltransmitter_x000D_(Empfehlung - Majda)</v>
      </c>
      <c r="HI12" s="277" t="str">
        <f t="shared" si="55"/>
        <v/>
      </c>
      <c r="HJ12" s="277" t="str">
        <f t="shared" si="56"/>
        <v/>
      </c>
      <c r="HK12" s="277" t="str">
        <f>ZahlenInBereich(Tabelle1[[Empfehlung70]:[Werkzeug72]],ROW()-5)</f>
        <v>Protokolltransmitter_x000D_(Empfehlung - Majda)</v>
      </c>
      <c r="HL12" s="277" t="str">
        <f t="shared" si="57"/>
        <v/>
      </c>
      <c r="HM12" s="277" t="str">
        <f t="shared" si="58"/>
        <v/>
      </c>
      <c r="HN12" s="277" t="str">
        <f t="shared" si="59"/>
        <v/>
      </c>
      <c r="HO12" s="277" t="str">
        <f>ZahlenInBereich(Tabelle1[[Empfehlung74]:[Werkzeug76]],ROW()-5)</f>
        <v/>
      </c>
    </row>
    <row r="13" spans="2:223" ht="32" x14ac:dyDescent="0.2">
      <c r="B13" s="134">
        <f>'1.4 Analyse &amp; Synthese'!B14</f>
        <v>8</v>
      </c>
      <c r="C13" s="277" t="str">
        <f>IF(AND('1.4 Analyse &amp; Synthese'!Q14=1,'1.4 Analyse &amp; Synthese'!F14="Empfehlung"),'1.4 Analyse &amp; Synthese'!I14&amp;CHAR(13)&amp;"("&amp;'(Codierung)'!$C$2&amp;" - "&amp;'1.4 Analyse &amp; Synthese'!C14&amp;")","")</f>
        <v>Vertragsmanagementanwendung_x000D_(Empfehlung - Bochicchio)</v>
      </c>
      <c r="D13" s="222" t="str">
        <f t="array" ref="D13">_xlfn.IFNA(INDEX($C$6:$C$66,MATCH(0,COUNTIF($D$4:D12,$C$6:$C$66),0),1),"")</f>
        <v/>
      </c>
      <c r="E13" s="277" t="str">
        <f>IF(AND('1.4 Analyse &amp; Synthese'!Q14=1,'1.4 Analyse &amp; Synthese'!F14="Methode"),'1.4 Analyse &amp; Synthese'!I14&amp;CHAR(13)&amp;"("&amp;'(Codierung)'!$C$3&amp;" - "&amp;'1.4 Analyse &amp; Synthese'!C14&amp;")","")</f>
        <v/>
      </c>
      <c r="F13" s="277" t="str">
        <f t="array" ref="F13">_xlfn.IFNA(INDEX($E$6:$E$66,MATCH(0,COUNTIF($F$4:F12,$E$6:$E$66),0),1),"")</f>
        <v/>
      </c>
      <c r="G13" s="277" t="str">
        <f>IF(AND('1.4 Analyse &amp; Synthese'!Q14=1,'1.4 Analyse &amp; Synthese'!F14="Werkzeug"),'1.4 Analyse &amp; Synthese'!I14&amp;CHAR(13)&amp;"("&amp;'(Codierung)'!$C$4&amp;" - "&amp;'1.4 Analyse &amp; Synthese'!C14&amp;")","")</f>
        <v/>
      </c>
      <c r="H13" s="277" t="str">
        <f t="array" ref="H13">_xlfn.IFNA(INDEX($G$6:$G$66,MATCH(0,COUNTIF($H$4:H12,$G$6:$G$66),0),1),"")</f>
        <v/>
      </c>
      <c r="J13" s="277" t="str">
        <f>IF(AND('1.4 Analyse &amp; Synthese'!R14=1,'1.4 Analyse &amp; Synthese'!F14="Empfehlung"),'1.4 Analyse &amp; Synthese'!I14&amp;CHAR(13)&amp;"("&amp;'(Codierung)'!$C$2&amp;" - "&amp;'1.4 Analyse &amp; Synthese'!C14&amp;")","")</f>
        <v/>
      </c>
      <c r="K13" s="277" t="str">
        <f t="array" ref="K13">_xlfn.IFNA(INDEX($J$6:$J$66,MATCH(0,COUNTIF($K$4:K12,$J$6:$J$66),0),1),"")</f>
        <v/>
      </c>
      <c r="L13" s="277" t="str">
        <f>IF(AND('1.4 Analyse &amp; Synthese'!R14=1,'1.4 Analyse &amp; Synthese'!F14="Methode"),'1.4 Analyse &amp; Synthese'!I14&amp;CHAR(13)&amp;"("&amp;'(Codierung)'!$C$3&amp;" - "&amp;'1.4 Analyse &amp; Synthese'!C14&amp;")","")</f>
        <v/>
      </c>
      <c r="M13" s="277" t="str">
        <f t="array" ref="M13">_xlfn.IFNA(INDEX($L$6:$L$66,MATCH(0,COUNTIF($M$4:M12,$L$6:$L$66),0),1),"")</f>
        <v/>
      </c>
      <c r="N13" s="277" t="str">
        <f>IF(AND('1.4 Analyse &amp; Synthese'!R14=1,'1.4 Analyse &amp; Synthese'!F14="Werkzeug"),'1.4 Analyse &amp; Synthese'!I14&amp;CHAR(13)&amp;"("&amp;'(Codierung)'!$C$4&amp;" - "&amp;'1.4 Analyse &amp; Synthese'!C14&amp;")","")</f>
        <v/>
      </c>
      <c r="O13" s="277" t="str">
        <f t="array" ref="O13">_xlfn.IFNA(INDEX($N$6:$N$66,MATCH(0,COUNTIF($O$4:O12,$N$6:$N$66),0),1),"")</f>
        <v/>
      </c>
      <c r="Q13" s="277" t="str">
        <f>IF(AND('1.4 Analyse &amp; Synthese'!S14=1,'1.4 Analyse &amp; Synthese'!F14="Empfehlung"),'1.4 Analyse &amp; Synthese'!I14&amp;CHAR(13)&amp;"("&amp;'(Codierung)'!$C$2&amp;" - "&amp;'1.4 Analyse &amp; Synthese'!C14&amp;")","")</f>
        <v>Vertragsmanagementanwendung_x000D_(Empfehlung - Bochicchio)</v>
      </c>
      <c r="R13" s="277" t="str">
        <f t="array" ref="R13">_xlfn.IFNA(INDEX($Q$6:$Q$66,MATCH(0,COUNTIF($R$4:R12,$Q$6:$Q$66),0),1),"")</f>
        <v>Open-Source Plattform_x000D_(Empfehlung - Moscato)</v>
      </c>
      <c r="S13" s="277" t="str">
        <f>IF(AND('1.4 Analyse &amp; Synthese'!S14=1,'1.4 Analyse &amp; Synthese'!F14="Methode"),'1.4 Analyse &amp; Synthese'!I14&amp;CHAR(13)&amp;"("&amp;'(Codierung)'!$C$3&amp;" - "&amp;'1.4 Analyse &amp; Synthese'!C14&amp;")","")</f>
        <v/>
      </c>
      <c r="T13" s="277" t="str">
        <f t="array" ref="T13">_xlfn.IFNA(INDEX($S$6:$S$66,MATCH(0,COUNTIF($T$4:T12,$S$6:$S$66),0),1),"")</f>
        <v/>
      </c>
      <c r="U13" s="277" t="str">
        <f>IF(AND('1.4 Analyse &amp; Synthese'!S14=1,'1.4 Analyse &amp; Synthese'!F14="Werkzeug"),'1.4 Analyse &amp; Synthese'!I14&amp;CHAR(13)&amp;"("&amp;'(Codierung)'!$C$4&amp;" - "&amp;'1.4 Analyse &amp; Synthese'!C14&amp;")","")</f>
        <v/>
      </c>
      <c r="V13" s="277" t="str">
        <f t="array" ref="V13">_xlfn.IFNA(INDEX($U$6:$U$66,MATCH(0,COUNTIF($V$4:V12,$U$6:$U$66),0),1),"")</f>
        <v/>
      </c>
      <c r="X13" s="277" t="str">
        <f>IF(AND('1.4 Analyse &amp; Synthese'!T14=1,'1.4 Analyse &amp; Synthese'!F14="Empfehlung"),'1.4 Analyse &amp; Synthese'!I14&amp;CHAR(13)&amp;"("&amp;'(Codierung)'!$C$2&amp;" - "&amp;'1.4 Analyse &amp; Synthese'!C14&amp;")","")</f>
        <v/>
      </c>
      <c r="Y13" s="277" t="str">
        <f t="array" ref="Y13">_xlfn.IFNA(INDEX($X$6:$X$66,MATCH(0,COUNTIF($Y$4:Y12,$X$6:$X$66),0),1),"")</f>
        <v/>
      </c>
      <c r="Z13" s="277" t="str">
        <f>IF(AND('1.4 Analyse &amp; Synthese'!T14=1,'1.4 Analyse &amp; Synthese'!F14="Methode"),'1.4 Analyse &amp; Synthese'!I14&amp;CHAR(13)&amp;"("&amp;'(Codierung)'!$C$3&amp;" - "&amp;'1.4 Analyse &amp; Synthese'!C14&amp;")","")</f>
        <v/>
      </c>
      <c r="AA13" s="277" t="str">
        <f t="array" ref="AA13">_xlfn.IFNA(INDEX($Z$6:$Z$66,MATCH(0,COUNTIF($AA$4:AA12,$Z$6:$Z$66),0),1),"")</f>
        <v/>
      </c>
      <c r="AB13" s="277" t="str">
        <f>IF(AND('1.4 Analyse &amp; Synthese'!T14=1,'1.4 Analyse &amp; Synthese'!F14="Werkzeug"),'1.4 Analyse &amp; Synthese'!I14&amp;CHAR(13)&amp;"("&amp;'(Codierung)'!$C$4&amp;" - "&amp;'1.4 Analyse &amp; Synthese'!C14&amp;")","")</f>
        <v/>
      </c>
      <c r="AC13" s="277" t="str">
        <f t="array" ref="AC13">_xlfn.IFNA(INDEX($AB$6:$AB$66,MATCH(0,COUNTIF($AC$4:AC12,$AB$6:$AB$66),0),1),"")</f>
        <v/>
      </c>
      <c r="AE13" s="277" t="str">
        <f>IF(AND('1.4 Analyse &amp; Synthese'!U14=1,'1.4 Analyse &amp; Synthese'!F14="Empfehlung"),'1.4 Analyse &amp; Synthese'!I14&amp;CHAR(13)&amp;"("&amp;'(Codierung)'!$C$2&amp;" - "&amp;'1.4 Analyse &amp; Synthese'!C14&amp;")","")</f>
        <v/>
      </c>
      <c r="AF13" s="277" t="str">
        <f t="array" ref="AF13">_xlfn.IFNA(INDEX($AE$6:$AE$66,MATCH(0,COUNTIF($AF$4:AF12,$AE$6:$AE$66),0),1),"")</f>
        <v/>
      </c>
      <c r="AG13" s="277" t="str">
        <f>IF(AND('1.4 Analyse &amp; Synthese'!U14=1,'1.4 Analyse &amp; Synthese'!F14="Methode"),'1.4 Analyse &amp; Synthese'!I14&amp;CHAR(13)&amp;"("&amp;'(Codierung)'!$C$3&amp;" - "&amp;'1.4 Analyse &amp; Synthese'!C14&amp;")","")</f>
        <v/>
      </c>
      <c r="AH13" s="277" t="str">
        <f t="array" ref="AH13">_xlfn.IFNA(INDEX($AG$6:$AG$66,MATCH(0,COUNTIF($AH$4:AH12,$AG$6:$AG$66),0),1),"")</f>
        <v/>
      </c>
      <c r="AI13" s="277" t="str">
        <f>IF(AND('1.4 Analyse &amp; Synthese'!U14=1,'1.4 Analyse &amp; Synthese'!F14="Werkzeug"),'1.4 Analyse &amp; Synthese'!I14&amp;CHAR(13)&amp;"("&amp;'(Codierung)'!$C$4&amp;" - "&amp;'1.4 Analyse &amp; Synthese'!C14&amp;")","")</f>
        <v/>
      </c>
      <c r="AJ13" s="277" t="str">
        <f t="array" ref="AJ13">_xlfn.IFNA(INDEX($AI$6:$AI$66,MATCH(0,COUNTIF($AJ$4:AJ12,$AI$6:$AI$66),0),1),"")</f>
        <v/>
      </c>
      <c r="AL13" s="277" t="str">
        <f>IF(AND('1.4 Analyse &amp; Synthese'!V14=1,'1.4 Analyse &amp; Synthese'!F14="Empfehlung"),'1.4 Analyse &amp; Synthese'!I14&amp;CHAR(13)&amp;"("&amp;'(Codierung)'!$C$2&amp;" - "&amp;'1.4 Analyse &amp; Synthese'!C14&amp;")","")</f>
        <v/>
      </c>
      <c r="AM13" s="277" t="str">
        <f t="array" ref="AM13">_xlfn.IFNA(INDEX($AL$6:$AL$66,MATCH(0,COUNTIF($AM$4:AM12,$AL$6:$AL$66),0),1),"")</f>
        <v/>
      </c>
      <c r="AN13" s="277" t="str">
        <f>IF(AND('1.4 Analyse &amp; Synthese'!V14=1,'1.4 Analyse &amp; Synthese'!F14="Methode"),'1.4 Analyse &amp; Synthese'!I14&amp;CHAR(13)&amp;"("&amp;'(Codierung)'!$C$3&amp;" - "&amp;'1.4 Analyse &amp; Synthese'!C14&amp;")","")</f>
        <v/>
      </c>
      <c r="AO13" s="277" t="str">
        <f t="array" ref="AO13">_xlfn.IFNA(INDEX($AN$6:$AN$66,MATCH(0,COUNTIF($AO$4:AO12,$AN$6:$AN$66),0),1),"")</f>
        <v/>
      </c>
      <c r="AP13" s="277" t="str">
        <f>IF(AND('1.4 Analyse &amp; Synthese'!V14=1,'1.4 Analyse &amp; Synthese'!F14="Werkzeug"),'1.4 Analyse &amp; Synthese'!I14&amp;CHAR(13)&amp;"("&amp;'(Codierung)'!$C$4&amp;" - "&amp;'1.4 Analyse &amp; Synthese'!C14&amp;")","")</f>
        <v/>
      </c>
      <c r="AQ13" s="277" t="str">
        <f t="array" ref="AQ13">_xlfn.IFNA(INDEX($AP$6:$AP$66,MATCH(0,COUNTIF($AQ$4:AQ12,$AP$6:$AP$66),0),1),"")</f>
        <v/>
      </c>
      <c r="AS13" s="277" t="str">
        <f>IF(AND('1.4 Analyse &amp; Synthese'!W14=1,'1.4 Analyse &amp; Synthese'!F14="Empfehlung"),'1.4 Analyse &amp; Synthese'!I14&amp;CHAR(13)&amp;"("&amp;'(Codierung)'!$C$2&amp;" - "&amp;'1.4 Analyse &amp; Synthese'!C14&amp;")","")</f>
        <v/>
      </c>
      <c r="AT13" s="277" t="str">
        <f t="array" ref="AT13">_xlfn.IFNA(INDEX($AS$6:$AS$66,MATCH(0,COUNTIF($AT$4:AT12,$AS$6:$AS$66),0),1),"")</f>
        <v/>
      </c>
      <c r="AU13" s="277" t="str">
        <f>IF(AND('1.4 Analyse &amp; Synthese'!W14=1,'1.4 Analyse &amp; Synthese'!F14="Methode"),'1.4 Analyse &amp; Synthese'!I14&amp;CHAR(13)&amp;"("&amp;'(Codierung)'!$C$3&amp;" - "&amp;'1.4 Analyse &amp; Synthese'!C14&amp;")","")</f>
        <v/>
      </c>
      <c r="AV13" s="277" t="str">
        <f t="array" ref="AV13">_xlfn.IFNA(INDEX($AU$6:$AU$66,MATCH(0,COUNTIF($AV$4:AV12,$AU$6:$AU$66),0),1),"")</f>
        <v/>
      </c>
      <c r="AW13" s="277" t="str">
        <f>IF(AND('1.4 Analyse &amp; Synthese'!W14=1,'1.4 Analyse &amp; Synthese'!F14="Werkzeug"),'1.4 Analyse &amp; Synthese'!I14&amp;CHAR(13)&amp;"("&amp;'(Codierung)'!$C$4&amp;" - "&amp;'1.4 Analyse &amp; Synthese'!C14&amp;")","")</f>
        <v/>
      </c>
      <c r="AX13" s="277" t="str">
        <f t="array" ref="AX13">_xlfn.IFNA(INDEX($AW$6:$AW$66,MATCH(0,COUNTIF($AX$4:AX12,$AW$6:$AW$66),0),1),"")</f>
        <v/>
      </c>
      <c r="AZ13" s="277" t="str">
        <f>IF(AND('1.4 Analyse &amp; Synthese'!X14=1,'1.4 Analyse &amp; Synthese'!F14="Empfehlung"),'1.4 Analyse &amp; Synthese'!I14&amp;CHAR(13)&amp;"("&amp;'(Codierung)'!$C$2&amp;" - "&amp;'1.4 Analyse &amp; Synthese'!C14&amp;")","")</f>
        <v/>
      </c>
      <c r="BA13" s="277" t="str">
        <f t="array" ref="BA13">_xlfn.IFNA(INDEX($AZ$6:$AZ$66,MATCH(0,COUNTIF($BA$4:BA12,$AZ$6:$AZ$66),0),1),"")</f>
        <v/>
      </c>
      <c r="BB13" s="277" t="str">
        <f>IF(AND('1.4 Analyse &amp; Synthese'!X14=1,'1.4 Analyse &amp; Synthese'!F14="Methode"),'1.4 Analyse &amp; Synthese'!I14&amp;CHAR(13)&amp;"("&amp;'(Codierung)'!$C$3&amp;" - "&amp;'1.4 Analyse &amp; Synthese'!C14&amp;")","")</f>
        <v/>
      </c>
      <c r="BC13" s="277" t="str">
        <f t="array" ref="BC13">_xlfn.IFNA(INDEX($BB$6:$BB$66,MATCH(0,COUNTIF($BC$4:BC12,$BB$6:$BB$66),0),1),"")</f>
        <v/>
      </c>
      <c r="BD13" s="277" t="str">
        <f>IF(AND('1.4 Analyse &amp; Synthese'!X14=1,'1.4 Analyse &amp; Synthese'!F14="Werkzeug"),'1.4 Analyse &amp; Synthese'!I14&amp;CHAR(13)&amp;"("&amp;'(Codierung)'!$C$4&amp;" - "&amp;'1.4 Analyse &amp; Synthese'!C14&amp;")","")</f>
        <v/>
      </c>
      <c r="BE13" s="277" t="str">
        <f t="array" ref="BE13">_xlfn.IFNA(INDEX($BD$6:$BD$66,MATCH(0,COUNTIF($BE$4:BE12,$BD$6:$BD$66),0),1),"")</f>
        <v/>
      </c>
      <c r="BG13" s="277" t="str">
        <f>IF(AND('1.4 Analyse &amp; Synthese'!Y14=1,'1.4 Analyse &amp; Synthese'!F14="Empfehlung"),'1.4 Analyse &amp; Synthese'!I14&amp;CHAR(13)&amp;"("&amp;'(Codierung)'!$C$2&amp;" - "&amp;'1.4 Analyse &amp; Synthese'!C14&amp;")","")</f>
        <v>Vertragsmanagementanwendung_x000D_(Empfehlung - Bochicchio)</v>
      </c>
      <c r="BH13" s="277" t="str">
        <f t="array" ref="BH13">_xlfn.IFNA(INDEX($BG$6:$BG$66,MATCH(0,COUNTIF($BH$4:BH12,$BG$6:$BG$66),0),1),"")</f>
        <v/>
      </c>
      <c r="BI13" s="277" t="str">
        <f>IF(AND('1.4 Analyse &amp; Synthese'!Y14=1,'1.4 Analyse &amp; Synthese'!F14="Methode"),'1.4 Analyse &amp; Synthese'!I14&amp;CHAR(13)&amp;"("&amp;'(Codierung)'!$C$3&amp;" - "&amp;'1.4 Analyse &amp; Synthese'!C14&amp;")","")</f>
        <v/>
      </c>
      <c r="BJ13" s="277" t="str">
        <f t="array" ref="BJ13">_xlfn.IFNA(INDEX($BI$6:$BI$66,MATCH(0,COUNTIF($BJ$4:BJ12,$BI$6:$BI$66),0),1),"")</f>
        <v/>
      </c>
      <c r="BK13" s="277" t="str">
        <f>IF(AND('1.4 Analyse &amp; Synthese'!Y14=1,'1.4 Analyse &amp; Synthese'!F14="Werkzeug"),'1.4 Analyse &amp; Synthese'!I14&amp;CHAR(13)&amp;"("&amp;'(Codierung)'!$C$4&amp;" - "&amp;'1.4 Analyse &amp; Synthese'!C14&amp;")","")</f>
        <v/>
      </c>
      <c r="BL13" s="277" t="str">
        <f t="array" ref="BL13">_xlfn.IFNA(INDEX($BK$6:$BK$66,MATCH(0,COUNTIF($BL$4:BL12,$BK$6:$BK$66),0),1),"")</f>
        <v/>
      </c>
      <c r="BN13" s="277" t="str">
        <f>IF(AND('1.4 Analyse &amp; Synthese'!Z14=1,'1.4 Analyse &amp; Synthese'!F14="Empfehlung"),'1.4 Analyse &amp; Synthese'!I14&amp;CHAR(13)&amp;"("&amp;'(Codierung)'!$C$2&amp;" - "&amp;'1.4 Analyse &amp; Synthese'!C14&amp;")","")</f>
        <v>Vertragsmanagementanwendung_x000D_(Empfehlung - Bochicchio)</v>
      </c>
      <c r="BO13" s="277" t="str">
        <f t="array" ref="BO13">_xlfn.IFNA(INDEX($BN$6:$BN$66,MATCH(0,COUNTIF($BO$4:BO12,$BN$6:$BN$66),0),1),"")</f>
        <v/>
      </c>
      <c r="BP13" s="277" t="str">
        <f>IF(AND('1.4 Analyse &amp; Synthese'!Z14=1,'1.4 Analyse &amp; Synthese'!F14="Methode"),'1.4 Analyse &amp; Synthese'!I14&amp;CHAR(13)&amp;"("&amp;'(Codierung)'!$C$3&amp;" - "&amp;'1.4 Analyse &amp; Synthese'!C14&amp;")","")</f>
        <v/>
      </c>
      <c r="BQ13" s="277" t="str">
        <f t="array" ref="BQ13">_xlfn.IFNA(INDEX($BP$6:$BP$66,MATCH(0,COUNTIF($BQ$4:BQ12,$BP$6:$BP$66),0),1),"")</f>
        <v/>
      </c>
      <c r="BR13" s="277" t="str">
        <f>IF(AND('1.4 Analyse &amp; Synthese'!Z14=1,'1.4 Analyse &amp; Synthese'!F14="Werkzeug"),'1.4 Analyse &amp; Synthese'!I14&amp;CHAR(13)&amp;"("&amp;'(Codierung)'!$C$4&amp;" - "&amp;'1.4 Analyse &amp; Synthese'!C14&amp;")","")</f>
        <v/>
      </c>
      <c r="BS13" s="277" t="str">
        <f t="array" ref="BS13">_xlfn.IFNA(INDEX($BR$6:$BR$66,MATCH(0,COUNTIF($BS$4:BS12,$BR$6:$BR$66),0),1),"")</f>
        <v/>
      </c>
      <c r="BU13" s="277" t="str">
        <f>IF(AND('1.4 Analyse &amp; Synthese'!AA14=1,'1.4 Analyse &amp; Synthese'!F14="Empfehlung"),'1.4 Analyse &amp; Synthese'!I14&amp;CHAR(13)&amp;"("&amp;'(Codierung)'!$C$2&amp;" - "&amp;'1.4 Analyse &amp; Synthese'!C14&amp;")","")</f>
        <v>Vertragsmanagementanwendung_x000D_(Empfehlung - Bochicchio)</v>
      </c>
      <c r="BV13" s="277" t="str">
        <f t="array" ref="BV13">_xlfn.IFNA(INDEX($BU$6:$BU$66,MATCH(0,COUNTIF($BV$4:BV12,$BU$6:$BU$66),0),1),"")</f>
        <v/>
      </c>
      <c r="BW13" s="277" t="str">
        <f>IF(AND('1.4 Analyse &amp; Synthese'!AA14=1,'1.4 Analyse &amp; Synthese'!F14="Methode"),'1.4 Analyse &amp; Synthese'!I14&amp;CHAR(13)&amp;"("&amp;'(Codierung)'!$C$3&amp;" - "&amp;'1.4 Analyse &amp; Synthese'!C14&amp;")","")</f>
        <v/>
      </c>
      <c r="BX13" s="277" t="str">
        <f t="array" ref="BX13">_xlfn.IFNA(INDEX($BW$6:$BW$66,MATCH(0,COUNTIF($BX$4:BX12,$BW$6:$BW$66),0),1),"")</f>
        <v/>
      </c>
      <c r="BY13" s="277" t="str">
        <f>IF(AND('1.4 Analyse &amp; Synthese'!AA14=1,'1.4 Analyse &amp; Synthese'!F14="Werkzeug"),'1.4 Analyse &amp; Synthese'!I14&amp;CHAR(13)&amp;"("&amp;'(Codierung)'!$C$4&amp;" - "&amp;'1.4 Analyse &amp; Synthese'!C14&amp;")","")</f>
        <v/>
      </c>
      <c r="BZ13" s="277" t="str">
        <f t="array" ref="BZ13">_xlfn.IFNA(INDEX($BY$6:$BY$66,MATCH(0,COUNTIF($BZ$4:BZ12,$BY$6:$BY$66),0),1),"")</f>
        <v/>
      </c>
      <c r="CB13" s="277" t="str">
        <f>IF(AND('1.4 Analyse &amp; Synthese'!AB14=1,'1.4 Analyse &amp; Synthese'!F14="Empfehlung"),'1.4 Analyse &amp; Synthese'!I14&amp;CHAR(13)&amp;"("&amp;'(Codierung)'!$C$2&amp;" - "&amp;'1.4 Analyse &amp; Synthese'!C14&amp;")","")</f>
        <v/>
      </c>
      <c r="CC13" s="277" t="str">
        <f t="array" ref="CC13">_xlfn.IFNA(INDEX($CB$6:$CB$66,MATCH(0,COUNTIF($CC$4:CC12,$CB$6:$CB$66),0),1),"")</f>
        <v/>
      </c>
      <c r="CD13" s="277" t="str">
        <f>IF(AND('1.4 Analyse &amp; Synthese'!AB14=1,'1.4 Analyse &amp; Synthese'!F14="Methode"),'1.4 Analyse &amp; Synthese'!I14&amp;CHAR(13)&amp;"("&amp;'(Codierung)'!$C$3&amp;" - "&amp;'1.4 Analyse &amp; Synthese'!C14&amp;")","")</f>
        <v/>
      </c>
      <c r="CE13" s="277" t="str">
        <f t="array" ref="CE13">_xlfn.IFNA(INDEX($CD$6:$CD$66,MATCH(0,COUNTIF($CE$4:CE12,$CD$6:$CD$66),0),1),"")</f>
        <v/>
      </c>
      <c r="CF13" s="277" t="str">
        <f>IF(AND('1.4 Analyse &amp; Synthese'!AB14=1,'1.4 Analyse &amp; Synthese'!F14="Werkzeug"),'1.4 Analyse &amp; Synthese'!I14&amp;CHAR(13)&amp;"("&amp;'(Codierung)'!$C$4&amp;" - "&amp;'1.4 Analyse &amp; Synthese'!C14&amp;")","")</f>
        <v/>
      </c>
      <c r="CG13" s="277" t="str">
        <f t="array" ref="CG13">_xlfn.IFNA(INDEX($CF$6:$CF$66,MATCH(0,COUNTIF($CG$4:CG12,$CF$6:$CF$66),0),1),"")</f>
        <v/>
      </c>
      <c r="CI13" s="277" t="str">
        <f>IF(AND('1.4 Analyse &amp; Synthese'!AC14=1,'1.4 Analyse &amp; Synthese'!F14="Empfehlung"),'1.4 Analyse &amp; Synthese'!I14&amp;CHAR(13)&amp;"("&amp;'(Codierung)'!$C$2&amp;" - "&amp;'1.4 Analyse &amp; Synthese'!C14&amp;")","")</f>
        <v/>
      </c>
      <c r="CJ13" s="277" t="str">
        <f t="array" ref="CJ13">_xlfn.IFNA(INDEX($CI$6:$CI$66,MATCH(0,COUNTIF($CJ$4:CJ12,$CI$6:$CI$66),0),1),"")</f>
        <v/>
      </c>
      <c r="CK13" s="277" t="str">
        <f>IF(AND('1.4 Analyse &amp; Synthese'!AC14=1,'1.4 Analyse &amp; Synthese'!F14="Methode"),'1.4 Analyse &amp; Synthese'!I14&amp;CHAR(13)&amp;"("&amp;'(Codierung)'!$C$3&amp;" - "&amp;'1.4 Analyse &amp; Synthese'!C14&amp;")","")</f>
        <v/>
      </c>
      <c r="CL13" s="277" t="str">
        <f t="array" ref="CL13">_xlfn.IFNA(INDEX($CK$6:$CK$66,MATCH(0,COUNTIF($CL$4:CL12,$CK$6:$CK$66),0),1),"")</f>
        <v/>
      </c>
      <c r="CM13" s="277" t="str">
        <f>IF(AND('1.4 Analyse &amp; Synthese'!AC14=1,'1.4 Analyse &amp; Synthese'!F14="Werkzeug"),'1.4 Analyse &amp; Synthese'!I14&amp;CHAR(13)&amp;"("&amp;'(Codierung)'!$C$4&amp;" - "&amp;'1.4 Analyse &amp; Synthese'!C14&amp;")","")</f>
        <v/>
      </c>
      <c r="CN13" s="277" t="str">
        <f t="array" ref="CN13">_xlfn.IFNA(INDEX($CM$6:$CM$66,MATCH(0,COUNTIF($CN$4:CN12,$CM$6:$CM$66),0),1),"")</f>
        <v/>
      </c>
      <c r="CP13" s="277" t="str">
        <f>IF(AND('1.4 Analyse &amp; Synthese'!AD14=1,'1.4 Analyse &amp; Synthese'!F14="Empfehlung"),'1.4 Analyse &amp; Synthese'!I14&amp;CHAR(13)&amp;"("&amp;'(Codierung)'!$C$2&amp;" - "&amp;'1.4 Analyse &amp; Synthese'!C14&amp;")","")</f>
        <v/>
      </c>
      <c r="CQ13" s="277" t="str">
        <f t="array" ref="CQ13">_xlfn.IFNA(INDEX($CP$6:$CP$66,MATCH(0,COUNTIF($CQ$4:CQ12,$CP$6:$CP$66),0),1),"")</f>
        <v/>
      </c>
      <c r="CR13" s="277" t="str">
        <f>IF(AND('1.4 Analyse &amp; Synthese'!AD14=1,'1.4 Analyse &amp; Synthese'!F14="Methode"),'1.4 Analyse &amp; Synthese'!I14&amp;CHAR(13)&amp;"("&amp;'(Codierung)'!$C$3&amp;" - "&amp;'1.4 Analyse &amp; Synthese'!C14&amp;")","")</f>
        <v/>
      </c>
      <c r="CS13" s="277" t="str">
        <f t="array" ref="CS13">_xlfn.IFNA(INDEX($CR$6:$CR$66,MATCH(0,COUNTIF($CS$4:CS12,$CR$6:$CR$66),0),1),"")</f>
        <v/>
      </c>
      <c r="CT13" s="277" t="str">
        <f>IF(AND('1.4 Analyse &amp; Synthese'!AD14=1,'1.4 Analyse &amp; Synthese'!F14="Werkzeug"),'1.4 Analyse &amp; Synthese'!I14&amp;CHAR(13)&amp;"("&amp;'(Codierung)'!$C$4&amp;" - "&amp;'1.4 Analyse &amp; Synthese'!C14&amp;")","")</f>
        <v/>
      </c>
      <c r="CU13" s="277" t="str">
        <f t="array" ref="CU13">_xlfn.IFNA(INDEX($CT$6:$CT$66,MATCH(0,COUNTIF($CU$4:CU12,$CT$6:$CT$66),0),1),"")</f>
        <v/>
      </c>
      <c r="CW13" s="277" t="str">
        <f>IF(AND('1.4 Analyse &amp; Synthese'!AE14=1,'1.4 Analyse &amp; Synthese'!F14="Empfehlung"),'1.4 Analyse &amp; Synthese'!I14&amp;CHAR(13)&amp;"("&amp;'(Codierung)'!$C$2&amp;" - "&amp;'1.4 Analyse &amp; Synthese'!C14&amp;")","")</f>
        <v/>
      </c>
      <c r="CX13" s="277" t="str">
        <f t="array" ref="CX13">_xlfn.IFNA(INDEX($CW$6:$CW$66,MATCH(0,COUNTIF($CX$4:CX12,$CW$6:$CW$66),0),1),"")</f>
        <v>Meta Cloud API_x000D_(Empfehlung - Satzger)</v>
      </c>
      <c r="CY13" s="277" t="str">
        <f>IF(AND('1.4 Analyse &amp; Synthese'!AE14=1,'1.4 Analyse &amp; Synthese'!F14="Methode"),'1.4 Analyse &amp; Synthese'!I14&amp;CHAR(13)&amp;"("&amp;'(Codierung)'!$C$3&amp;" - "&amp;'1.4 Analyse &amp; Synthese'!C14&amp;")","")</f>
        <v/>
      </c>
      <c r="CZ13" s="277" t="str">
        <f t="array" ref="CZ13">_xlfn.IFNA(INDEX($CY$6:$CY$66,MATCH(0,COUNTIF($CZ$4:CZ12,$CY$6:$CY$66),0),1),"")</f>
        <v/>
      </c>
      <c r="DA13" s="277" t="str">
        <f>IF(AND('1.4 Analyse &amp; Synthese'!AE14=1,'1.4 Analyse &amp; Synthese'!F14="Werkzeug"),'1.4 Analyse &amp; Synthese'!I14&amp;CHAR(13)&amp;"("&amp;'(Codierung)'!$C$4&amp;" - "&amp;'1.4 Analyse &amp; Synthese'!C14&amp;")","")</f>
        <v/>
      </c>
      <c r="DB13" s="277" t="str">
        <f t="array" ref="DB13">_xlfn.IFNA(INDEX($DA$6:$DA$66,MATCH(0,COUNTIF($DB$4:DB12,$DA$6:$DA$66),0),1),"")</f>
        <v/>
      </c>
      <c r="DD13" s="277" t="str">
        <f>IF(AND('1.4 Analyse &amp; Synthese'!AF14=1,'1.4 Analyse &amp; Synthese'!F14="Empfehlung"),'1.4 Analyse &amp; Synthese'!I14&amp;CHAR(13)&amp;"("&amp;'(Codierung)'!$C$2&amp;" - "&amp;'1.4 Analyse &amp; Synthese'!C14&amp;")","")</f>
        <v/>
      </c>
      <c r="DE13" s="277" t="str">
        <f t="array" ref="DE13">_xlfn.IFNA(INDEX($DD$6:$DD$66,MATCH(0,COUNTIF($DE$4:DE12,$DD$6:$DD$66),0),1),"")</f>
        <v/>
      </c>
      <c r="DF13" s="277" t="str">
        <f>IF(AND('1.4 Analyse &amp; Synthese'!AF14=1,'1.4 Analyse &amp; Synthese'!F14="Methode"),'1.4 Analyse &amp; Synthese'!I14&amp;CHAR(13)&amp;"("&amp;'(Codierung)'!$C$3&amp;" - "&amp;'1.4 Analyse &amp; Synthese'!C14&amp;")","")</f>
        <v/>
      </c>
      <c r="DG13" s="277" t="str">
        <f t="array" ref="DG13">_xlfn.IFNA(INDEX($DF$6:$DF$66,MATCH(0,COUNTIF($DG$4:DG12,$DF$6:$DF$66),0),1),"")</f>
        <v/>
      </c>
      <c r="DH13" s="277" t="str">
        <f>IF(AND('1.4 Analyse &amp; Synthese'!AF14=1,'1.4 Analyse &amp; Synthese'!F14="Werkzeug"),'1.4 Analyse &amp; Synthese'!I14&amp;CHAR(13)&amp;"("&amp;'(Codierung)'!$C$4&amp;" - "&amp;'1.4 Analyse &amp; Synthese'!C14&amp;")","")</f>
        <v/>
      </c>
      <c r="DI13" s="277" t="str">
        <f t="array" ref="DI13">_xlfn.IFNA(INDEX($DH$6:$DH$66,MATCH(0,COUNTIF($DI$4:DI12,$DH$6:$DH$66),0),1),"")</f>
        <v/>
      </c>
      <c r="DK13" s="277" t="str">
        <f>IF(AND('1.4 Analyse &amp; Synthese'!AG14=1,'1.4 Analyse &amp; Synthese'!F14="Empfehlung"),'1.4 Analyse &amp; Synthese'!I14&amp;CHAR(13)&amp;"("&amp;'(Codierung)'!$C$2&amp;" - "&amp;'1.4 Analyse &amp; Synthese'!C14&amp;")","")</f>
        <v/>
      </c>
      <c r="DL13" s="277" t="str">
        <f t="array" ref="DL13">_xlfn.IFNA(INDEX($DK$6:$DK$66,MATCH(0,COUNTIF($DL$4:DL12,$DK$6:$DK$66),0),1),"")</f>
        <v>Open-Source Plattform_x000D_(Empfehlung - Moscato)</v>
      </c>
      <c r="DM13" s="277" t="str">
        <f>IF(AND('1.4 Analyse &amp; Synthese'!AG14=1,'1.4 Analyse &amp; Synthese'!F14="Methode"),'1.4 Analyse &amp; Synthese'!I14&amp;CHAR(13)&amp;"("&amp;'(Codierung)'!$C$3&amp;" - "&amp;'1.4 Analyse &amp; Synthese'!C14&amp;")","")</f>
        <v/>
      </c>
      <c r="DN13" s="277" t="str">
        <f t="array" ref="DN13">_xlfn.IFNA(INDEX($DM$6:$DM$66,MATCH(0,COUNTIF($DN$4:DN12,$DM$6:$DM$66),0),1),"")</f>
        <v/>
      </c>
      <c r="DO13" s="277" t="str">
        <f>IF(AND('1.4 Analyse &amp; Synthese'!AG14=1,'1.4 Analyse &amp; Synthese'!F14="Werkzeug"),'1.4 Analyse &amp; Synthese'!I14&amp;CHAR(13)&amp;"("&amp;'(Codierung)'!$C$4&amp;" - "&amp;'1.4 Analyse &amp; Synthese'!C14&amp;")","")</f>
        <v/>
      </c>
      <c r="DP13" s="277" t="str">
        <f t="array" ref="DP13">_xlfn.IFNA(INDEX($DO$6:$DO$66,MATCH(0,COUNTIF($DP$4:DP12,$DO$6:$DO$66),0),1),"")</f>
        <v/>
      </c>
      <c r="DR13" s="277" t="str">
        <f>IF(AND('1.4 Analyse &amp; Synthese'!AH14=1,'1.4 Analyse &amp; Synthese'!F14="Empfehlung"),'1.4 Analyse &amp; Synthese'!I14&amp;CHAR(13)&amp;"("&amp;'(Codierung)'!$C$2&amp;" - "&amp;'1.4 Analyse &amp; Synthese'!C14&amp;")","")</f>
        <v/>
      </c>
      <c r="DS13" s="277" t="str">
        <f t="array" ref="DS13">_xlfn.IFNA(INDEX($DR$6:$DR$66,MATCH(0,COUNTIF($DS$4:DS12,$DR$6:$DR$66),0),1),"")</f>
        <v/>
      </c>
      <c r="DT13" s="277" t="str">
        <f>IF(AND('1.4 Analyse &amp; Synthese'!AH14=1,'1.4 Analyse &amp; Synthese'!F14="Methode"),'1.4 Analyse &amp; Synthese'!I14&amp;CHAR(13)&amp;"("&amp;'(Codierung)'!$C$3&amp;" - "&amp;'1.4 Analyse &amp; Synthese'!C14&amp;")","")</f>
        <v/>
      </c>
      <c r="DU13" s="277" t="str">
        <f t="array" ref="DU13">_xlfn.IFNA(INDEX($DT$6:$DT$66,MATCH(0,COUNTIF($DU$4:DU12,$DT$6:$DT$66),0),1),"")</f>
        <v/>
      </c>
      <c r="DV13" s="277" t="str">
        <f>IF(AND('1.4 Analyse &amp; Synthese'!AH14=1,'1.4 Analyse &amp; Synthese'!F14="Werkzeug"),'1.4 Analyse &amp; Synthese'!I14&amp;CHAR(13)&amp;"("&amp;'(Codierung)'!$C$4&amp;" - "&amp;'1.4 Analyse &amp; Synthese'!C14&amp;")","")</f>
        <v/>
      </c>
      <c r="DW13" s="277" t="str">
        <f t="array" ref="DW13">_xlfn.IFNA(INDEX($DV$6:$DV$66,MATCH(0,COUNTIF($DW$4:DW12,$DV$6:$DV$66),0),1),"")</f>
        <v/>
      </c>
      <c r="DY13" s="277" t="str">
        <f>IF(AND('1.4 Analyse &amp; Synthese'!AI14=1,'1.4 Analyse &amp; Synthese'!F14="Empfehlung"),'1.4 Analyse &amp; Synthese'!I14&amp;CHAR(13)&amp;"("&amp;'(Codierung)'!$C$2&amp;" - "&amp;'1.4 Analyse &amp; Synthese'!C14&amp;")","")</f>
        <v/>
      </c>
      <c r="DZ13" s="277" t="str">
        <f t="array" ref="DZ13">_xlfn.IFNA(INDEX($DY$6:$DY$66,MATCH(0,COUNTIF($DZ$4:DZ12,$DY$6:$DY$66),0),1),"")</f>
        <v>Open-Source Plattform_x000D_(Empfehlung - Moscato)</v>
      </c>
      <c r="EA13" s="277" t="str">
        <f>IF(AND('1.4 Analyse &amp; Synthese'!AI14=1,'1.4 Analyse &amp; Synthese'!F14="Methode"),'1.4 Analyse &amp; Synthese'!I14&amp;CHAR(13)&amp;"("&amp;'(Codierung)'!$C$3&amp;" - "&amp;'1.4 Analyse &amp; Synthese'!C14&amp;")","")</f>
        <v/>
      </c>
      <c r="EB13" s="277" t="str">
        <f t="array" ref="EB13">_xlfn.IFNA(INDEX($EA$6:$EA$66,MATCH(0,COUNTIF($EB$4:EB12,$EA$6:$EA$66),0),1),"")</f>
        <v/>
      </c>
      <c r="EC13" s="277" t="str">
        <f>IF(AND('1.4 Analyse &amp; Synthese'!AI14=1,'1.4 Analyse &amp; Synthese'!F14="Werkzeug"),'1.4 Analyse &amp; Synthese'!I14&amp;CHAR(13)&amp;"("&amp;'(Codierung)'!$C$4&amp;" - "&amp;'1.4 Analyse &amp; Synthese'!C14&amp;")","")</f>
        <v/>
      </c>
      <c r="ED13" s="277" t="str">
        <f t="array" ref="ED13">_xlfn.IFNA(INDEX($EC$6:$EC$66,MATCH(0,COUNTIF($ED$4:ED12,$EC$6:$EC$66),0),1),"")</f>
        <v/>
      </c>
      <c r="EF13" s="277" t="str">
        <f>IF(AND('1.4 Analyse &amp; Synthese'!AJ14=1,'1.4 Analyse &amp; Synthese'!F14="Empfehlung"),'1.4 Analyse &amp; Synthese'!I14&amp;CHAR(13)&amp;"("&amp;'(Codierung)'!$C$2&amp;" - "&amp;'1.4 Analyse &amp; Synthese'!C14&amp;")","")</f>
        <v/>
      </c>
      <c r="EG13" s="277" t="str">
        <f t="array" ref="EG13">_xlfn.IFNA(INDEX($EF$6:$EF$66,MATCH(0,COUNTIF($EG$4:EG12,$EF$6:$EF$66),0),1),"")</f>
        <v/>
      </c>
      <c r="EH13" s="277" t="str">
        <f>IF(AND('1.4 Analyse &amp; Synthese'!AJ14=1,'1.4 Analyse &amp; Synthese'!F14="Methode"),'1.4 Analyse &amp; Synthese'!I14&amp;CHAR(13)&amp;"("&amp;'(Codierung)'!$C$3&amp;" - "&amp;'1.4 Analyse &amp; Synthese'!C14&amp;")","")</f>
        <v/>
      </c>
      <c r="EI13" s="277" t="str">
        <f t="array" ref="EI13">_xlfn.IFNA(INDEX($EH$6:$EH$66,MATCH(0,COUNTIF($EI$4:EI12,$EH$6:$EH$66),0),1),"")</f>
        <v/>
      </c>
      <c r="EJ13" s="277" t="str">
        <f>IF(AND('1.4 Analyse &amp; Synthese'!AJ14=1,'1.4 Analyse &amp; Synthese'!F14="Werkzeug"),'1.4 Analyse &amp; Synthese'!I14&amp;CHAR(13)&amp;"("&amp;'(Codierung)'!$C$4&amp;" - "&amp;'1.4 Analyse &amp; Synthese'!C14&amp;")","")</f>
        <v/>
      </c>
      <c r="EK13" s="277" t="str">
        <f t="array" ref="EK13">_xlfn.IFNA(INDEX($EJ$6:$EJ$66,MATCH(0,COUNTIF($EK$4:EK12,$EJ$6:$EJ$66),0),1),"")</f>
        <v/>
      </c>
      <c r="EN13" s="222" t="str">
        <f t="shared" si="0"/>
        <v/>
      </c>
      <c r="EO13" s="277" t="str">
        <f t="shared" si="1"/>
        <v/>
      </c>
      <c r="EP13" s="277" t="str">
        <f t="shared" si="2"/>
        <v/>
      </c>
      <c r="EQ13" s="277" t="str">
        <f>ZahlenInBereich(Tabelle1[[Empfehlung]:[Werkzeug]],ROW()-5)</f>
        <v/>
      </c>
      <c r="ER13" s="277" t="str">
        <f t="shared" si="3"/>
        <v/>
      </c>
      <c r="ES13" s="277" t="str">
        <f t="shared" si="4"/>
        <v/>
      </c>
      <c r="ET13" s="277" t="str">
        <f t="shared" si="5"/>
        <v/>
      </c>
      <c r="EU13" s="277" t="str">
        <f>ZahlenInBereich(Tabelle1[[Empfehlung2]:[Werkzeug4]],ROW()-5)</f>
        <v/>
      </c>
      <c r="EV13" s="277" t="str">
        <f t="shared" si="6"/>
        <v>Open-Source Plattform_x000D_(Empfehlung - Moscato)</v>
      </c>
      <c r="EW13" s="277" t="str">
        <f t="shared" si="7"/>
        <v/>
      </c>
      <c r="EX13" s="277" t="str">
        <f t="shared" si="8"/>
        <v/>
      </c>
      <c r="EY13" s="277" t="str">
        <f>ZahlenInBereich(Tabelle1[[Empfehlung6]:[Werkzeug8]],ROW()-5)</f>
        <v>Open-Source Plattform_x000D_(Empfehlung - Moscato)</v>
      </c>
      <c r="EZ13" s="277" t="str">
        <f t="shared" si="9"/>
        <v/>
      </c>
      <c r="FA13" s="277" t="str">
        <f t="shared" si="10"/>
        <v/>
      </c>
      <c r="FB13" s="277" t="str">
        <f t="shared" si="11"/>
        <v/>
      </c>
      <c r="FC13" s="277" t="str">
        <f>ZahlenInBereich(Tabelle1[[Empfehlung10]:[Werkzeug12]],ROW()-5)</f>
        <v/>
      </c>
      <c r="FD13" s="277" t="str">
        <f t="shared" si="12"/>
        <v/>
      </c>
      <c r="FE13" s="277" t="str">
        <f t="shared" si="13"/>
        <v/>
      </c>
      <c r="FF13" s="277" t="str">
        <f t="shared" si="14"/>
        <v/>
      </c>
      <c r="FG13" s="277" t="str">
        <f>ZahlenInBereich(Tabelle1[[Empfehlung14]:[Werkzeug16]],ROW()-5)</f>
        <v/>
      </c>
      <c r="FH13" s="277" t="str">
        <f t="shared" si="15"/>
        <v/>
      </c>
      <c r="FI13" s="277" t="str">
        <f t="shared" si="16"/>
        <v/>
      </c>
      <c r="FJ13" s="277" t="str">
        <f t="shared" si="17"/>
        <v/>
      </c>
      <c r="FK13" s="277" t="str">
        <f>ZahlenInBereich(Tabelle1[[Empfehlung18]:[Werkzeug20]],ROW()-5)</f>
        <v/>
      </c>
      <c r="FL13" s="277" t="str">
        <f t="shared" si="18"/>
        <v/>
      </c>
      <c r="FM13" s="277" t="str">
        <f t="shared" si="19"/>
        <v/>
      </c>
      <c r="FN13" s="277" t="str">
        <f t="shared" si="20"/>
        <v/>
      </c>
      <c r="FO13" s="277" t="str">
        <f>ZahlenInBereich(Tabelle1[[Empfehlung22]:[Werkzeug24]],ROW()-5)</f>
        <v/>
      </c>
      <c r="FP13" s="277" t="str">
        <f t="shared" si="21"/>
        <v/>
      </c>
      <c r="FQ13" s="277" t="str">
        <f t="shared" si="22"/>
        <v/>
      </c>
      <c r="FR13" s="277" t="str">
        <f t="shared" si="23"/>
        <v/>
      </c>
      <c r="FS13" s="277" t="str">
        <f>ZahlenInBereich(Tabelle1[[Empfehlung26]:[Werkzeug28]],ROW()-5)</f>
        <v/>
      </c>
      <c r="FT13" s="277" t="str">
        <f t="shared" si="24"/>
        <v/>
      </c>
      <c r="FU13" s="277" t="str">
        <f t="shared" si="25"/>
        <v/>
      </c>
      <c r="FV13" s="277" t="str">
        <f t="shared" si="26"/>
        <v/>
      </c>
      <c r="FW13" s="277" t="str">
        <f>ZahlenInBereich(Tabelle1[[Empfehlung30]:[Werkzeug32]],ROW()-5)</f>
        <v/>
      </c>
      <c r="FX13" s="277" t="str">
        <f t="shared" si="27"/>
        <v/>
      </c>
      <c r="FY13" s="277" t="str">
        <f t="shared" si="28"/>
        <v/>
      </c>
      <c r="FZ13" s="277" t="str">
        <f t="shared" si="29"/>
        <v/>
      </c>
      <c r="GA13" s="277" t="str">
        <f>ZahlenInBereich(Tabelle1[[Empfehlung34]:[Werkzeug36]],ROW()-5)</f>
        <v>Atificial Intelligence_x000D_(Werkzeug - Chhetri)</v>
      </c>
      <c r="GB13" s="277" t="str">
        <f t="shared" si="30"/>
        <v/>
      </c>
      <c r="GC13" s="277" t="str">
        <f t="shared" si="31"/>
        <v/>
      </c>
      <c r="GD13" s="277" t="str">
        <f t="shared" si="32"/>
        <v/>
      </c>
      <c r="GE13" s="277" t="str">
        <f>ZahlenInBereich(Tabelle1[[Empfehlung38]:[Werkzeug40]],ROW()-5)</f>
        <v/>
      </c>
      <c r="GF13" s="277" t="str">
        <f t="shared" si="33"/>
        <v/>
      </c>
      <c r="GG13" s="277" t="str">
        <f t="shared" si="34"/>
        <v/>
      </c>
      <c r="GH13" s="277" t="str">
        <f t="shared" si="35"/>
        <v/>
      </c>
      <c r="GI13" s="277" t="str">
        <f>ZahlenInBereich(Tabelle1[[Empfehlung42]:[Werkzeug44]],ROW()-5)</f>
        <v/>
      </c>
      <c r="GJ13" s="277" t="str">
        <f t="shared" si="36"/>
        <v/>
      </c>
      <c r="GK13" s="277" t="str">
        <f t="shared" si="37"/>
        <v/>
      </c>
      <c r="GL13" s="277" t="str">
        <f t="shared" si="38"/>
        <v/>
      </c>
      <c r="GM13" s="277" t="str">
        <f>ZahlenInBereich(Tabelle1[[Empfehlung46]:[Werkzeug48]],ROW()-5)</f>
        <v/>
      </c>
      <c r="GN13" s="277" t="str">
        <f t="shared" si="39"/>
        <v/>
      </c>
      <c r="GO13" s="277" t="str">
        <f t="shared" si="40"/>
        <v/>
      </c>
      <c r="GP13" s="277" t="str">
        <f t="shared" si="41"/>
        <v/>
      </c>
      <c r="GQ13" s="277" t="str">
        <f>ZahlenInBereich(Tabelle1[[Empfehlung50]:[Werkzeug52]],ROW()-5)</f>
        <v/>
      </c>
      <c r="GR13" s="277" t="str">
        <f t="shared" si="42"/>
        <v>Meta Cloud API_x000D_(Empfehlung - Satzger)</v>
      </c>
      <c r="GS13" s="277" t="str">
        <f t="shared" si="43"/>
        <v/>
      </c>
      <c r="GT13" s="277" t="str">
        <f t="shared" si="44"/>
        <v/>
      </c>
      <c r="GU13" s="277" t="str">
        <f>ZahlenInBereich(Tabelle1[[Empfehlung54]:[Werkzeug56]],ROW()-5)</f>
        <v>Meta Cloud API_x000D_(Empfehlung - Satzger)</v>
      </c>
      <c r="GV13" s="277" t="str">
        <f t="shared" si="45"/>
        <v/>
      </c>
      <c r="GW13" s="277" t="str">
        <f t="shared" si="46"/>
        <v/>
      </c>
      <c r="GX13" s="277" t="str">
        <f t="shared" si="47"/>
        <v/>
      </c>
      <c r="GY13" s="277" t="str">
        <f>ZahlenInBereich(Tabelle1[[Empfehlung58]:[Werkzeug60]],ROW()-5)</f>
        <v>Open-Source Plattform_x000D_(Methode - Ferry)</v>
      </c>
      <c r="GZ13" s="277" t="str">
        <f t="shared" si="48"/>
        <v>Open-Source Plattform_x000D_(Empfehlung - Moscato)</v>
      </c>
      <c r="HA13" s="277" t="str">
        <f t="shared" si="49"/>
        <v/>
      </c>
      <c r="HB13" s="277" t="str">
        <f t="shared" si="50"/>
        <v/>
      </c>
      <c r="HC13" s="277" t="str">
        <f>ZahlenInBereich(Tabelle1[[Empfehlung62]:[Werkzeug64]],ROW()-5)</f>
        <v>Open-Source Plattform_x000D_(Empfehlung - Moscato)</v>
      </c>
      <c r="HD13" s="277" t="str">
        <f t="shared" si="51"/>
        <v/>
      </c>
      <c r="HE13" s="277" t="str">
        <f t="shared" si="52"/>
        <v/>
      </c>
      <c r="HF13" s="277" t="str">
        <f t="shared" si="53"/>
        <v/>
      </c>
      <c r="HG13" s="277" t="str">
        <f>ZahlenInBereich(Tabelle1[[Empfehlung66]:[Werkzeug68]],ROW()-5)</f>
        <v/>
      </c>
      <c r="HH13" s="277" t="str">
        <f t="shared" si="54"/>
        <v>Open-Source Plattform_x000D_(Empfehlung - Moscato)</v>
      </c>
      <c r="HI13" s="277" t="str">
        <f t="shared" si="55"/>
        <v/>
      </c>
      <c r="HJ13" s="277" t="str">
        <f t="shared" si="56"/>
        <v/>
      </c>
      <c r="HK13" s="277" t="str">
        <f>ZahlenInBereich(Tabelle1[[Empfehlung70]:[Werkzeug72]],ROW()-5)</f>
        <v>Open-Source Plattform_x000D_(Empfehlung - Moscato)</v>
      </c>
      <c r="HL13" s="277" t="str">
        <f t="shared" si="57"/>
        <v/>
      </c>
      <c r="HM13" s="277" t="str">
        <f t="shared" si="58"/>
        <v/>
      </c>
      <c r="HN13" s="277" t="str">
        <f t="shared" si="59"/>
        <v/>
      </c>
      <c r="HO13" s="277" t="str">
        <f>ZahlenInBereich(Tabelle1[[Empfehlung74]:[Werkzeug76]],ROW()-5)</f>
        <v/>
      </c>
    </row>
    <row r="14" spans="2:223" ht="32" x14ac:dyDescent="0.2">
      <c r="B14" s="134">
        <f>'1.4 Analyse &amp; Synthese'!B15</f>
        <v>9</v>
      </c>
      <c r="C14" s="277" t="str">
        <f>IF(AND('1.4 Analyse &amp; Synthese'!Q15=1,'1.4 Analyse &amp; Synthese'!F15="Empfehlung"),'1.4 Analyse &amp; Synthese'!I15&amp;CHAR(13)&amp;"("&amp;'(Codierung)'!$C$2&amp;" - "&amp;'1.4 Analyse &amp; Synthese'!C15&amp;")","")</f>
        <v/>
      </c>
      <c r="D14" s="222" t="str">
        <f t="array" ref="D14">_xlfn.IFNA(INDEX($C$6:$C$66,MATCH(0,COUNTIF($D$4:D13,$C$6:$C$66),0),1),"")</f>
        <v/>
      </c>
      <c r="E14" s="277" t="str">
        <f>IF(AND('1.4 Analyse &amp; Synthese'!Q15=1,'1.4 Analyse &amp; Synthese'!F15="Methode"),'1.4 Analyse &amp; Synthese'!I15&amp;CHAR(13)&amp;"("&amp;'(Codierung)'!$C$3&amp;" - "&amp;'1.4 Analyse &amp; Synthese'!C15&amp;")","")</f>
        <v/>
      </c>
      <c r="F14" s="277" t="str">
        <f t="array" ref="F14">_xlfn.IFNA(INDEX($E$6:$E$66,MATCH(0,COUNTIF($F$4:F13,$E$6:$E$66),0),1),"")</f>
        <v/>
      </c>
      <c r="G14" s="277" t="str">
        <f>IF(AND('1.4 Analyse &amp; Synthese'!Q15=1,'1.4 Analyse &amp; Synthese'!F15="Werkzeug"),'1.4 Analyse &amp; Synthese'!I15&amp;CHAR(13)&amp;"("&amp;'(Codierung)'!$C$4&amp;" - "&amp;'1.4 Analyse &amp; Synthese'!C15&amp;")","")</f>
        <v/>
      </c>
      <c r="H14" s="277" t="str">
        <f t="array" ref="H14">_xlfn.IFNA(INDEX($G$6:$G$66,MATCH(0,COUNTIF($H$4:H13,$G$6:$G$66),0),1),"")</f>
        <v/>
      </c>
      <c r="J14" s="277" t="str">
        <f>IF(AND('1.4 Analyse &amp; Synthese'!R15=1,'1.4 Analyse &amp; Synthese'!F15="Empfehlung"),'1.4 Analyse &amp; Synthese'!I15&amp;CHAR(13)&amp;"("&amp;'(Codierung)'!$C$2&amp;" - "&amp;'1.4 Analyse &amp; Synthese'!C15&amp;")","")</f>
        <v/>
      </c>
      <c r="K14" s="277" t="str">
        <f t="array" ref="K14">_xlfn.IFNA(INDEX($J$6:$J$66,MATCH(0,COUNTIF($K$4:K13,$J$6:$J$66),0),1),"")</f>
        <v/>
      </c>
      <c r="L14" s="277" t="str">
        <f>IF(AND('1.4 Analyse &amp; Synthese'!R15=1,'1.4 Analyse &amp; Synthese'!F15="Methode"),'1.4 Analyse &amp; Synthese'!I15&amp;CHAR(13)&amp;"("&amp;'(Codierung)'!$C$3&amp;" - "&amp;'1.4 Analyse &amp; Synthese'!C15&amp;")","")</f>
        <v/>
      </c>
      <c r="M14" s="277" t="str">
        <f t="array" ref="M14">_xlfn.IFNA(INDEX($L$6:$L$66,MATCH(0,COUNTIF($M$4:M13,$L$6:$L$66),0),1),"")</f>
        <v/>
      </c>
      <c r="N14" s="277" t="str">
        <f>IF(AND('1.4 Analyse &amp; Synthese'!R15=1,'1.4 Analyse &amp; Synthese'!F15="Werkzeug"),'1.4 Analyse &amp; Synthese'!I15&amp;CHAR(13)&amp;"("&amp;'(Codierung)'!$C$4&amp;" - "&amp;'1.4 Analyse &amp; Synthese'!C15&amp;")","")</f>
        <v/>
      </c>
      <c r="O14" s="277" t="str">
        <f t="array" ref="O14">_xlfn.IFNA(INDEX($N$6:$N$66,MATCH(0,COUNTIF($O$4:O13,$N$6:$N$66),0),1),"")</f>
        <v/>
      </c>
      <c r="Q14" s="277" t="str">
        <f>IF(AND('1.4 Analyse &amp; Synthese'!S15=1,'1.4 Analyse &amp; Synthese'!F15="Empfehlung"),'1.4 Analyse &amp; Synthese'!I15&amp;CHAR(13)&amp;"("&amp;'(Codierung)'!$C$2&amp;" - "&amp;'1.4 Analyse &amp; Synthese'!C15&amp;")","")</f>
        <v/>
      </c>
      <c r="R14" s="277" t="str">
        <f t="array" ref="R14">_xlfn.IFNA(INDEX($Q$6:$Q$66,MATCH(0,COUNTIF($R$4:R13,$Q$6:$Q$66),0),1),"")</f>
        <v>SLA Management Aggregation_x000D_(Empfehlung - Muthusamy)</v>
      </c>
      <c r="S14" s="277" t="str">
        <f>IF(AND('1.4 Analyse &amp; Synthese'!S15=1,'1.4 Analyse &amp; Synthese'!F15="Methode"),'1.4 Analyse &amp; Synthese'!I15&amp;CHAR(13)&amp;"("&amp;'(Codierung)'!$C$3&amp;" - "&amp;'1.4 Analyse &amp; Synthese'!C15&amp;")","")</f>
        <v/>
      </c>
      <c r="T14" s="277" t="str">
        <f t="array" ref="T14">_xlfn.IFNA(INDEX($S$6:$S$66,MATCH(0,COUNTIF($T$4:T13,$S$6:$S$66),0),1),"")</f>
        <v/>
      </c>
      <c r="U14" s="277" t="str">
        <f>IF(AND('1.4 Analyse &amp; Synthese'!S15=1,'1.4 Analyse &amp; Synthese'!F15="Werkzeug"),'1.4 Analyse &amp; Synthese'!I15&amp;CHAR(13)&amp;"("&amp;'(Codierung)'!$C$4&amp;" - "&amp;'1.4 Analyse &amp; Synthese'!C15&amp;")","")</f>
        <v/>
      </c>
      <c r="V14" s="277" t="str">
        <f t="array" ref="V14">_xlfn.IFNA(INDEX($U$6:$U$66,MATCH(0,COUNTIF($V$4:V13,$U$6:$U$66),0),1),"")</f>
        <v/>
      </c>
      <c r="X14" s="277" t="str">
        <f>IF(AND('1.4 Analyse &amp; Synthese'!T15=1,'1.4 Analyse &amp; Synthese'!F15="Empfehlung"),'1.4 Analyse &amp; Synthese'!I15&amp;CHAR(13)&amp;"("&amp;'(Codierung)'!$C$2&amp;" - "&amp;'1.4 Analyse &amp; Synthese'!C15&amp;")","")</f>
        <v/>
      </c>
      <c r="Y14" s="277" t="str">
        <f t="array" ref="Y14">_xlfn.IFNA(INDEX($X$6:$X$66,MATCH(0,COUNTIF($Y$4:Y13,$X$6:$X$66),0),1),"")</f>
        <v/>
      </c>
      <c r="Z14" s="277" t="str">
        <f>IF(AND('1.4 Analyse &amp; Synthese'!T15=1,'1.4 Analyse &amp; Synthese'!F15="Methode"),'1.4 Analyse &amp; Synthese'!I15&amp;CHAR(13)&amp;"("&amp;'(Codierung)'!$C$3&amp;" - "&amp;'1.4 Analyse &amp; Synthese'!C15&amp;")","")</f>
        <v/>
      </c>
      <c r="AA14" s="277" t="str">
        <f t="array" ref="AA14">_xlfn.IFNA(INDEX($Z$6:$Z$66,MATCH(0,COUNTIF($AA$4:AA13,$Z$6:$Z$66),0),1),"")</f>
        <v/>
      </c>
      <c r="AB14" s="277" t="str">
        <f>IF(AND('1.4 Analyse &amp; Synthese'!T15=1,'1.4 Analyse &amp; Synthese'!F15="Werkzeug"),'1.4 Analyse &amp; Synthese'!I15&amp;CHAR(13)&amp;"("&amp;'(Codierung)'!$C$4&amp;" - "&amp;'1.4 Analyse &amp; Synthese'!C15&amp;")","")</f>
        <v/>
      </c>
      <c r="AC14" s="277" t="str">
        <f t="array" ref="AC14">_xlfn.IFNA(INDEX($AB$6:$AB$66,MATCH(0,COUNTIF($AC$4:AC13,$AB$6:$AB$66),0),1),"")</f>
        <v/>
      </c>
      <c r="AE14" s="277" t="str">
        <f>IF(AND('1.4 Analyse &amp; Synthese'!U15=1,'1.4 Analyse &amp; Synthese'!F15="Empfehlung"),'1.4 Analyse &amp; Synthese'!I15&amp;CHAR(13)&amp;"("&amp;'(Codierung)'!$C$2&amp;" - "&amp;'1.4 Analyse &amp; Synthese'!C15&amp;")","")</f>
        <v/>
      </c>
      <c r="AF14" s="277" t="str">
        <f t="array" ref="AF14">_xlfn.IFNA(INDEX($AE$6:$AE$66,MATCH(0,COUNTIF($AF$4:AF13,$AE$6:$AE$66),0),1),"")</f>
        <v/>
      </c>
      <c r="AG14" s="277" t="str">
        <f>IF(AND('1.4 Analyse &amp; Synthese'!U15=1,'1.4 Analyse &amp; Synthese'!F15="Methode"),'1.4 Analyse &amp; Synthese'!I15&amp;CHAR(13)&amp;"("&amp;'(Codierung)'!$C$3&amp;" - "&amp;'1.4 Analyse &amp; Synthese'!C15&amp;")","")</f>
        <v/>
      </c>
      <c r="AH14" s="277" t="str">
        <f t="array" ref="AH14">_xlfn.IFNA(INDEX($AG$6:$AG$66,MATCH(0,COUNTIF($AH$4:AH13,$AG$6:$AG$66),0),1),"")</f>
        <v/>
      </c>
      <c r="AI14" s="277" t="str">
        <f>IF(AND('1.4 Analyse &amp; Synthese'!U15=1,'1.4 Analyse &amp; Synthese'!F15="Werkzeug"),'1.4 Analyse &amp; Synthese'!I15&amp;CHAR(13)&amp;"("&amp;'(Codierung)'!$C$4&amp;" - "&amp;'1.4 Analyse &amp; Synthese'!C15&amp;")","")</f>
        <v/>
      </c>
      <c r="AJ14" s="277" t="str">
        <f t="array" ref="AJ14">_xlfn.IFNA(INDEX($AI$6:$AI$66,MATCH(0,COUNTIF($AJ$4:AJ13,$AI$6:$AI$66),0),1),"")</f>
        <v/>
      </c>
      <c r="AL14" s="277" t="str">
        <f>IF(AND('1.4 Analyse &amp; Synthese'!V15=1,'1.4 Analyse &amp; Synthese'!F15="Empfehlung"),'1.4 Analyse &amp; Synthese'!I15&amp;CHAR(13)&amp;"("&amp;'(Codierung)'!$C$2&amp;" - "&amp;'1.4 Analyse &amp; Synthese'!C15&amp;")","")</f>
        <v/>
      </c>
      <c r="AM14" s="277" t="str">
        <f t="array" ref="AM14">_xlfn.IFNA(INDEX($AL$6:$AL$66,MATCH(0,COUNTIF($AM$4:AM13,$AL$6:$AL$66),0),1),"")</f>
        <v/>
      </c>
      <c r="AN14" s="277" t="str">
        <f>IF(AND('1.4 Analyse &amp; Synthese'!V15=1,'1.4 Analyse &amp; Synthese'!F15="Methode"),'1.4 Analyse &amp; Synthese'!I15&amp;CHAR(13)&amp;"("&amp;'(Codierung)'!$C$3&amp;" - "&amp;'1.4 Analyse &amp; Synthese'!C15&amp;")","")</f>
        <v/>
      </c>
      <c r="AO14" s="277" t="str">
        <f t="array" ref="AO14">_xlfn.IFNA(INDEX($AN$6:$AN$66,MATCH(0,COUNTIF($AO$4:AO13,$AN$6:$AN$66),0),1),"")</f>
        <v/>
      </c>
      <c r="AP14" s="277" t="str">
        <f>IF(AND('1.4 Analyse &amp; Synthese'!V15=1,'1.4 Analyse &amp; Synthese'!F15="Werkzeug"),'1.4 Analyse &amp; Synthese'!I15&amp;CHAR(13)&amp;"("&amp;'(Codierung)'!$C$4&amp;" - "&amp;'1.4 Analyse &amp; Synthese'!C15&amp;")","")</f>
        <v/>
      </c>
      <c r="AQ14" s="277" t="str">
        <f t="array" ref="AQ14">_xlfn.IFNA(INDEX($AP$6:$AP$66,MATCH(0,COUNTIF($AQ$4:AQ13,$AP$6:$AP$66),0),1),"")</f>
        <v/>
      </c>
      <c r="AS14" s="277" t="str">
        <f>IF(AND('1.4 Analyse &amp; Synthese'!W15=1,'1.4 Analyse &amp; Synthese'!F15="Empfehlung"),'1.4 Analyse &amp; Synthese'!I15&amp;CHAR(13)&amp;"("&amp;'(Codierung)'!$C$2&amp;" - "&amp;'1.4 Analyse &amp; Synthese'!C15&amp;")","")</f>
        <v/>
      </c>
      <c r="AT14" s="277" t="str">
        <f t="array" ref="AT14">_xlfn.IFNA(INDEX($AS$6:$AS$66,MATCH(0,COUNTIF($AT$4:AT13,$AS$6:$AS$66),0),1),"")</f>
        <v/>
      </c>
      <c r="AU14" s="277" t="str">
        <f>IF(AND('1.4 Analyse &amp; Synthese'!W15=1,'1.4 Analyse &amp; Synthese'!F15="Methode"),'1.4 Analyse &amp; Synthese'!I15&amp;CHAR(13)&amp;"("&amp;'(Codierung)'!$C$3&amp;" - "&amp;'1.4 Analyse &amp; Synthese'!C15&amp;")","")</f>
        <v/>
      </c>
      <c r="AV14" s="277" t="str">
        <f t="array" ref="AV14">_xlfn.IFNA(INDEX($AU$6:$AU$66,MATCH(0,COUNTIF($AV$4:AV13,$AU$6:$AU$66),0),1),"")</f>
        <v/>
      </c>
      <c r="AW14" s="277" t="str">
        <f>IF(AND('1.4 Analyse &amp; Synthese'!W15=1,'1.4 Analyse &amp; Synthese'!F15="Werkzeug"),'1.4 Analyse &amp; Synthese'!I15&amp;CHAR(13)&amp;"("&amp;'(Codierung)'!$C$4&amp;" - "&amp;'1.4 Analyse &amp; Synthese'!C15&amp;")","")</f>
        <v/>
      </c>
      <c r="AX14" s="277" t="str">
        <f t="array" ref="AX14">_xlfn.IFNA(INDEX($AW$6:$AW$66,MATCH(0,COUNTIF($AX$4:AX13,$AW$6:$AW$66),0),1),"")</f>
        <v/>
      </c>
      <c r="AZ14" s="277" t="str">
        <f>IF(AND('1.4 Analyse &amp; Synthese'!X15=1,'1.4 Analyse &amp; Synthese'!F15="Empfehlung"),'1.4 Analyse &amp; Synthese'!I15&amp;CHAR(13)&amp;"("&amp;'(Codierung)'!$C$2&amp;" - "&amp;'1.4 Analyse &amp; Synthese'!C15&amp;")","")</f>
        <v/>
      </c>
      <c r="BA14" s="277" t="str">
        <f t="array" ref="BA14">_xlfn.IFNA(INDEX($AZ$6:$AZ$66,MATCH(0,COUNTIF($BA$4:BA13,$AZ$6:$AZ$66),0),1),"")</f>
        <v/>
      </c>
      <c r="BB14" s="277" t="str">
        <f>IF(AND('1.4 Analyse &amp; Synthese'!X15=1,'1.4 Analyse &amp; Synthese'!F15="Methode"),'1.4 Analyse &amp; Synthese'!I15&amp;CHAR(13)&amp;"("&amp;'(Codierung)'!$C$3&amp;" - "&amp;'1.4 Analyse &amp; Synthese'!C15&amp;")","")</f>
        <v/>
      </c>
      <c r="BC14" s="277" t="str">
        <f t="array" ref="BC14">_xlfn.IFNA(INDEX($BB$6:$BB$66,MATCH(0,COUNTIF($BC$4:BC13,$BB$6:$BB$66),0),1),"")</f>
        <v/>
      </c>
      <c r="BD14" s="277" t="str">
        <f>IF(AND('1.4 Analyse &amp; Synthese'!X15=1,'1.4 Analyse &amp; Synthese'!F15="Werkzeug"),'1.4 Analyse &amp; Synthese'!I15&amp;CHAR(13)&amp;"("&amp;'(Codierung)'!$C$4&amp;" - "&amp;'1.4 Analyse &amp; Synthese'!C15&amp;")","")</f>
        <v/>
      </c>
      <c r="BE14" s="277" t="str">
        <f t="array" ref="BE14">_xlfn.IFNA(INDEX($BD$6:$BD$66,MATCH(0,COUNTIF($BE$4:BE13,$BD$6:$BD$66),0),1),"")</f>
        <v/>
      </c>
      <c r="BG14" s="277" t="str">
        <f>IF(AND('1.4 Analyse &amp; Synthese'!Y15=1,'1.4 Analyse &amp; Synthese'!F15="Empfehlung"),'1.4 Analyse &amp; Synthese'!I15&amp;CHAR(13)&amp;"("&amp;'(Codierung)'!$C$2&amp;" - "&amp;'1.4 Analyse &amp; Synthese'!C15&amp;")","")</f>
        <v/>
      </c>
      <c r="BH14" s="277" t="str">
        <f t="array" ref="BH14">_xlfn.IFNA(INDEX($BG$6:$BG$66,MATCH(0,COUNTIF($BH$4:BH13,$BG$6:$BG$66),0),1),"")</f>
        <v/>
      </c>
      <c r="BI14" s="277" t="str">
        <f>IF(AND('1.4 Analyse &amp; Synthese'!Y15=1,'1.4 Analyse &amp; Synthese'!F15="Methode"),'1.4 Analyse &amp; Synthese'!I15&amp;CHAR(13)&amp;"("&amp;'(Codierung)'!$C$3&amp;" - "&amp;'1.4 Analyse &amp; Synthese'!C15&amp;")","")</f>
        <v/>
      </c>
      <c r="BJ14" s="277" t="str">
        <f t="array" ref="BJ14">_xlfn.IFNA(INDEX($BI$6:$BI$66,MATCH(0,COUNTIF($BJ$4:BJ13,$BI$6:$BI$66),0),1),"")</f>
        <v/>
      </c>
      <c r="BK14" s="277" t="str">
        <f>IF(AND('1.4 Analyse &amp; Synthese'!Y15=1,'1.4 Analyse &amp; Synthese'!F15="Werkzeug"),'1.4 Analyse &amp; Synthese'!I15&amp;CHAR(13)&amp;"("&amp;'(Codierung)'!$C$4&amp;" - "&amp;'1.4 Analyse &amp; Synthese'!C15&amp;")","")</f>
        <v/>
      </c>
      <c r="BL14" s="277" t="str">
        <f t="array" ref="BL14">_xlfn.IFNA(INDEX($BK$6:$BK$66,MATCH(0,COUNTIF($BL$4:BL13,$BK$6:$BK$66),0),1),"")</f>
        <v/>
      </c>
      <c r="BN14" s="277" t="str">
        <f>IF(AND('1.4 Analyse &amp; Synthese'!Z15=1,'1.4 Analyse &amp; Synthese'!F15="Empfehlung"),'1.4 Analyse &amp; Synthese'!I15&amp;CHAR(13)&amp;"("&amp;'(Codierung)'!$C$2&amp;" - "&amp;'1.4 Analyse &amp; Synthese'!C15&amp;")","")</f>
        <v/>
      </c>
      <c r="BO14" s="277" t="str">
        <f t="array" ref="BO14">_xlfn.IFNA(INDEX($BN$6:$BN$66,MATCH(0,COUNTIF($BO$4:BO13,$BN$6:$BN$66),0),1),"")</f>
        <v/>
      </c>
      <c r="BP14" s="277" t="str">
        <f>IF(AND('1.4 Analyse &amp; Synthese'!Z15=1,'1.4 Analyse &amp; Synthese'!F15="Methode"),'1.4 Analyse &amp; Synthese'!I15&amp;CHAR(13)&amp;"("&amp;'(Codierung)'!$C$3&amp;" - "&amp;'1.4 Analyse &amp; Synthese'!C15&amp;")","")</f>
        <v/>
      </c>
      <c r="BQ14" s="277" t="str">
        <f t="array" ref="BQ14">_xlfn.IFNA(INDEX($BP$6:$BP$66,MATCH(0,COUNTIF($BQ$4:BQ13,$BP$6:$BP$66),0),1),"")</f>
        <v/>
      </c>
      <c r="BR14" s="277" t="str">
        <f>IF(AND('1.4 Analyse &amp; Synthese'!Z15=1,'1.4 Analyse &amp; Synthese'!F15="Werkzeug"),'1.4 Analyse &amp; Synthese'!I15&amp;CHAR(13)&amp;"("&amp;'(Codierung)'!$C$4&amp;" - "&amp;'1.4 Analyse &amp; Synthese'!C15&amp;")","")</f>
        <v/>
      </c>
      <c r="BS14" s="277" t="str">
        <f t="array" ref="BS14">_xlfn.IFNA(INDEX($BR$6:$BR$66,MATCH(0,COUNTIF($BS$4:BS13,$BR$6:$BR$66),0),1),"")</f>
        <v/>
      </c>
      <c r="BU14" s="277" t="str">
        <f>IF(AND('1.4 Analyse &amp; Synthese'!AA15=1,'1.4 Analyse &amp; Synthese'!F15="Empfehlung"),'1.4 Analyse &amp; Synthese'!I15&amp;CHAR(13)&amp;"("&amp;'(Codierung)'!$C$2&amp;" - "&amp;'1.4 Analyse &amp; Synthese'!C15&amp;")","")</f>
        <v/>
      </c>
      <c r="BV14" s="277" t="str">
        <f t="array" ref="BV14">_xlfn.IFNA(INDEX($BU$6:$BU$66,MATCH(0,COUNTIF($BV$4:BV13,$BU$6:$BU$66),0),1),"")</f>
        <v/>
      </c>
      <c r="BW14" s="277" t="str">
        <f>IF(AND('1.4 Analyse &amp; Synthese'!AA15=1,'1.4 Analyse &amp; Synthese'!F15="Methode"),'1.4 Analyse &amp; Synthese'!I15&amp;CHAR(13)&amp;"("&amp;'(Codierung)'!$C$3&amp;" - "&amp;'1.4 Analyse &amp; Synthese'!C15&amp;")","")</f>
        <v/>
      </c>
      <c r="BX14" s="277" t="str">
        <f t="array" ref="BX14">_xlfn.IFNA(INDEX($BW$6:$BW$66,MATCH(0,COUNTIF($BX$4:BX13,$BW$6:$BW$66),0),1),"")</f>
        <v/>
      </c>
      <c r="BY14" s="277" t="str">
        <f>IF(AND('1.4 Analyse &amp; Synthese'!AA15=1,'1.4 Analyse &amp; Synthese'!F15="Werkzeug"),'1.4 Analyse &amp; Synthese'!I15&amp;CHAR(13)&amp;"("&amp;'(Codierung)'!$C$4&amp;" - "&amp;'1.4 Analyse &amp; Synthese'!C15&amp;")","")</f>
        <v/>
      </c>
      <c r="BZ14" s="277" t="str">
        <f t="array" ref="BZ14">_xlfn.IFNA(INDEX($BY$6:$BY$66,MATCH(0,COUNTIF($BZ$4:BZ13,$BY$6:$BY$66),0),1),"")</f>
        <v/>
      </c>
      <c r="CB14" s="277" t="str">
        <f>IF(AND('1.4 Analyse &amp; Synthese'!AB15=1,'1.4 Analyse &amp; Synthese'!F15="Empfehlung"),'1.4 Analyse &amp; Synthese'!I15&amp;CHAR(13)&amp;"("&amp;'(Codierung)'!$C$2&amp;" - "&amp;'1.4 Analyse &amp; Synthese'!C15&amp;")","")</f>
        <v/>
      </c>
      <c r="CC14" s="277" t="str">
        <f t="array" ref="CC14">_xlfn.IFNA(INDEX($CB$6:$CB$66,MATCH(0,COUNTIF($CC$4:CC13,$CB$6:$CB$66),0),1),"")</f>
        <v/>
      </c>
      <c r="CD14" s="277" t="str">
        <f>IF(AND('1.4 Analyse &amp; Synthese'!AB15=1,'1.4 Analyse &amp; Synthese'!F15="Methode"),'1.4 Analyse &amp; Synthese'!I15&amp;CHAR(13)&amp;"("&amp;'(Codierung)'!$C$3&amp;" - "&amp;'1.4 Analyse &amp; Synthese'!C15&amp;")","")</f>
        <v/>
      </c>
      <c r="CE14" s="277" t="str">
        <f t="array" ref="CE14">_xlfn.IFNA(INDEX($CD$6:$CD$66,MATCH(0,COUNTIF($CE$4:CE13,$CD$6:$CD$66),0),1),"")</f>
        <v/>
      </c>
      <c r="CF14" s="277" t="str">
        <f>IF(AND('1.4 Analyse &amp; Synthese'!AB15=1,'1.4 Analyse &amp; Synthese'!F15="Werkzeug"),'1.4 Analyse &amp; Synthese'!I15&amp;CHAR(13)&amp;"("&amp;'(Codierung)'!$C$4&amp;" - "&amp;'1.4 Analyse &amp; Synthese'!C15&amp;")","")</f>
        <v/>
      </c>
      <c r="CG14" s="277" t="str">
        <f t="array" ref="CG14">_xlfn.IFNA(INDEX($CF$6:$CF$66,MATCH(0,COUNTIF($CG$4:CG13,$CF$6:$CF$66),0),1),"")</f>
        <v/>
      </c>
      <c r="CI14" s="277" t="str">
        <f>IF(AND('1.4 Analyse &amp; Synthese'!AC15=1,'1.4 Analyse &amp; Synthese'!F15="Empfehlung"),'1.4 Analyse &amp; Synthese'!I15&amp;CHAR(13)&amp;"("&amp;'(Codierung)'!$C$2&amp;" - "&amp;'1.4 Analyse &amp; Synthese'!C15&amp;")","")</f>
        <v/>
      </c>
      <c r="CJ14" s="277" t="str">
        <f t="array" ref="CJ14">_xlfn.IFNA(INDEX($CI$6:$CI$66,MATCH(0,COUNTIF($CJ$4:CJ13,$CI$6:$CI$66),0),1),"")</f>
        <v/>
      </c>
      <c r="CK14" s="277" t="str">
        <f>IF(AND('1.4 Analyse &amp; Synthese'!AC15=1,'1.4 Analyse &amp; Synthese'!F15="Methode"),'1.4 Analyse &amp; Synthese'!I15&amp;CHAR(13)&amp;"("&amp;'(Codierung)'!$C$3&amp;" - "&amp;'1.4 Analyse &amp; Synthese'!C15&amp;")","")</f>
        <v/>
      </c>
      <c r="CL14" s="277" t="str">
        <f t="array" ref="CL14">_xlfn.IFNA(INDEX($CK$6:$CK$66,MATCH(0,COUNTIF($CL$4:CL13,$CK$6:$CK$66),0),1),"")</f>
        <v/>
      </c>
      <c r="CM14" s="277" t="str">
        <f>IF(AND('1.4 Analyse &amp; Synthese'!AC15=1,'1.4 Analyse &amp; Synthese'!F15="Werkzeug"),'1.4 Analyse &amp; Synthese'!I15&amp;CHAR(13)&amp;"("&amp;'(Codierung)'!$C$4&amp;" - "&amp;'1.4 Analyse &amp; Synthese'!C15&amp;")","")</f>
        <v/>
      </c>
      <c r="CN14" s="277" t="str">
        <f t="array" ref="CN14">_xlfn.IFNA(INDEX($CM$6:$CM$66,MATCH(0,COUNTIF($CN$4:CN13,$CM$6:$CM$66),0),1),"")</f>
        <v/>
      </c>
      <c r="CP14" s="277" t="str">
        <f>IF(AND('1.4 Analyse &amp; Synthese'!AD15=1,'1.4 Analyse &amp; Synthese'!F15="Empfehlung"),'1.4 Analyse &amp; Synthese'!I15&amp;CHAR(13)&amp;"("&amp;'(Codierung)'!$C$2&amp;" - "&amp;'1.4 Analyse &amp; Synthese'!C15&amp;")","")</f>
        <v/>
      </c>
      <c r="CQ14" s="277" t="str">
        <f t="array" ref="CQ14">_xlfn.IFNA(INDEX($CP$6:$CP$66,MATCH(0,COUNTIF($CQ$4:CQ13,$CP$6:$CP$66),0),1),"")</f>
        <v/>
      </c>
      <c r="CR14" s="277" t="str">
        <f>IF(AND('1.4 Analyse &amp; Synthese'!AD15=1,'1.4 Analyse &amp; Synthese'!F15="Methode"),'1.4 Analyse &amp; Synthese'!I15&amp;CHAR(13)&amp;"("&amp;'(Codierung)'!$C$3&amp;" - "&amp;'1.4 Analyse &amp; Synthese'!C15&amp;")","")</f>
        <v/>
      </c>
      <c r="CS14" s="277" t="str">
        <f t="array" ref="CS14">_xlfn.IFNA(INDEX($CR$6:$CR$66,MATCH(0,COUNTIF($CS$4:CS13,$CR$6:$CR$66),0),1),"")</f>
        <v/>
      </c>
      <c r="CT14" s="277" t="str">
        <f>IF(AND('1.4 Analyse &amp; Synthese'!AD15=1,'1.4 Analyse &amp; Synthese'!F15="Werkzeug"),'1.4 Analyse &amp; Synthese'!I15&amp;CHAR(13)&amp;"("&amp;'(Codierung)'!$C$4&amp;" - "&amp;'1.4 Analyse &amp; Synthese'!C15&amp;")","")</f>
        <v/>
      </c>
      <c r="CU14" s="277" t="str">
        <f t="array" ref="CU14">_xlfn.IFNA(INDEX($CT$6:$CT$66,MATCH(0,COUNTIF($CU$4:CU13,$CT$6:$CT$66),0),1),"")</f>
        <v/>
      </c>
      <c r="CW14" s="277" t="str">
        <f>IF(AND('1.4 Analyse &amp; Synthese'!AE15=1,'1.4 Analyse &amp; Synthese'!F15="Empfehlung"),'1.4 Analyse &amp; Synthese'!I15&amp;CHAR(13)&amp;"("&amp;'(Codierung)'!$C$2&amp;" - "&amp;'1.4 Analyse &amp; Synthese'!C15&amp;")","")</f>
        <v/>
      </c>
      <c r="CX14" s="277" t="str">
        <f t="array" ref="CX14">_xlfn.IFNA(INDEX($CW$6:$CW$66,MATCH(0,COUNTIF($CX$4:CX13,$CW$6:$CW$66),0),1),"")</f>
        <v/>
      </c>
      <c r="CY14" s="277" t="str">
        <f>IF(AND('1.4 Analyse &amp; Synthese'!AE15=1,'1.4 Analyse &amp; Synthese'!F15="Methode"),'1.4 Analyse &amp; Synthese'!I15&amp;CHAR(13)&amp;"("&amp;'(Codierung)'!$C$3&amp;" - "&amp;'1.4 Analyse &amp; Synthese'!C15&amp;")","")</f>
        <v/>
      </c>
      <c r="CZ14" s="277" t="str">
        <f t="array" ref="CZ14">_xlfn.IFNA(INDEX($CY$6:$CY$66,MATCH(0,COUNTIF($CZ$4:CZ13,$CY$6:$CY$66),0),1),"")</f>
        <v/>
      </c>
      <c r="DA14" s="277" t="str">
        <f>IF(AND('1.4 Analyse &amp; Synthese'!AE15=1,'1.4 Analyse &amp; Synthese'!F15="Werkzeug"),'1.4 Analyse &amp; Synthese'!I15&amp;CHAR(13)&amp;"("&amp;'(Codierung)'!$C$4&amp;" - "&amp;'1.4 Analyse &amp; Synthese'!C15&amp;")","")</f>
        <v/>
      </c>
      <c r="DB14" s="277" t="str">
        <f t="array" ref="DB14">_xlfn.IFNA(INDEX($DA$6:$DA$66,MATCH(0,COUNTIF($DB$4:DB13,$DA$6:$DA$66),0),1),"")</f>
        <v/>
      </c>
      <c r="DD14" s="277" t="str">
        <f>IF(AND('1.4 Analyse &amp; Synthese'!AF15=1,'1.4 Analyse &amp; Synthese'!F15="Empfehlung"),'1.4 Analyse &amp; Synthese'!I15&amp;CHAR(13)&amp;"("&amp;'(Codierung)'!$C$2&amp;" - "&amp;'1.4 Analyse &amp; Synthese'!C15&amp;")","")</f>
        <v>Virtualisierungsinfrastruktur_x000D_(Empfehlung - Celesti )</v>
      </c>
      <c r="DE14" s="277" t="str">
        <f t="array" ref="DE14">_xlfn.IFNA(INDEX($DD$6:$DD$66,MATCH(0,COUNTIF($DE$4:DE13,$DD$6:$DD$66),0),1),"")</f>
        <v/>
      </c>
      <c r="DF14" s="277" t="str">
        <f>IF(AND('1.4 Analyse &amp; Synthese'!AF15=1,'1.4 Analyse &amp; Synthese'!F15="Methode"),'1.4 Analyse &amp; Synthese'!I15&amp;CHAR(13)&amp;"("&amp;'(Codierung)'!$C$3&amp;" - "&amp;'1.4 Analyse &amp; Synthese'!C15&amp;")","")</f>
        <v/>
      </c>
      <c r="DG14" s="277" t="str">
        <f t="array" ref="DG14">_xlfn.IFNA(INDEX($DF$6:$DF$66,MATCH(0,COUNTIF($DG$4:DG13,$DF$6:$DF$66),0),1),"")</f>
        <v/>
      </c>
      <c r="DH14" s="277" t="str">
        <f>IF(AND('1.4 Analyse &amp; Synthese'!AF15=1,'1.4 Analyse &amp; Synthese'!F15="Werkzeug"),'1.4 Analyse &amp; Synthese'!I15&amp;CHAR(13)&amp;"("&amp;'(Codierung)'!$C$4&amp;" - "&amp;'1.4 Analyse &amp; Synthese'!C15&amp;")","")</f>
        <v/>
      </c>
      <c r="DI14" s="277" t="str">
        <f t="array" ref="DI14">_xlfn.IFNA(INDEX($DH$6:$DH$66,MATCH(0,COUNTIF($DI$4:DI13,$DH$6:$DH$66),0),1),"")</f>
        <v/>
      </c>
      <c r="DK14" s="277" t="str">
        <f>IF(AND('1.4 Analyse &amp; Synthese'!AG15=1,'1.4 Analyse &amp; Synthese'!F15="Empfehlung"),'1.4 Analyse &amp; Synthese'!I15&amp;CHAR(13)&amp;"("&amp;'(Codierung)'!$C$2&amp;" - "&amp;'1.4 Analyse &amp; Synthese'!C15&amp;")","")</f>
        <v>Virtualisierungsinfrastruktur_x000D_(Empfehlung - Celesti )</v>
      </c>
      <c r="DL14" s="277" t="str">
        <f t="array" ref="DL14">_xlfn.IFNA(INDEX($DK$6:$DK$66,MATCH(0,COUNTIF($DL$4:DL13,$DK$6:$DK$66),0),1),"")</f>
        <v>Open-Source Plattform_x000D_(Empfehlung - Nodehi)</v>
      </c>
      <c r="DM14" s="277" t="str">
        <f>IF(AND('1.4 Analyse &amp; Synthese'!AG15=1,'1.4 Analyse &amp; Synthese'!F15="Methode"),'1.4 Analyse &amp; Synthese'!I15&amp;CHAR(13)&amp;"("&amp;'(Codierung)'!$C$3&amp;" - "&amp;'1.4 Analyse &amp; Synthese'!C15&amp;")","")</f>
        <v/>
      </c>
      <c r="DN14" s="277" t="str">
        <f t="array" ref="DN14">_xlfn.IFNA(INDEX($DM$6:$DM$66,MATCH(0,COUNTIF($DN$4:DN13,$DM$6:$DM$66),0),1),"")</f>
        <v/>
      </c>
      <c r="DO14" s="277" t="str">
        <f>IF(AND('1.4 Analyse &amp; Synthese'!AG15=1,'1.4 Analyse &amp; Synthese'!F15="Werkzeug"),'1.4 Analyse &amp; Synthese'!I15&amp;CHAR(13)&amp;"("&amp;'(Codierung)'!$C$4&amp;" - "&amp;'1.4 Analyse &amp; Synthese'!C15&amp;")","")</f>
        <v/>
      </c>
      <c r="DP14" s="277" t="str">
        <f t="array" ref="DP14">_xlfn.IFNA(INDEX($DO$6:$DO$66,MATCH(0,COUNTIF($DP$4:DP13,$DO$6:$DO$66),0),1),"")</f>
        <v/>
      </c>
      <c r="DR14" s="277" t="str">
        <f>IF(AND('1.4 Analyse &amp; Synthese'!AH15=1,'1.4 Analyse &amp; Synthese'!F15="Empfehlung"),'1.4 Analyse &amp; Synthese'!I15&amp;CHAR(13)&amp;"("&amp;'(Codierung)'!$C$2&amp;" - "&amp;'1.4 Analyse &amp; Synthese'!C15&amp;")","")</f>
        <v/>
      </c>
      <c r="DS14" s="277" t="str">
        <f t="array" ref="DS14">_xlfn.IFNA(INDEX($DR$6:$DR$66,MATCH(0,COUNTIF($DS$4:DS13,$DR$6:$DR$66),0),1),"")</f>
        <v/>
      </c>
      <c r="DT14" s="277" t="str">
        <f>IF(AND('1.4 Analyse &amp; Synthese'!AH15=1,'1.4 Analyse &amp; Synthese'!F15="Methode"),'1.4 Analyse &amp; Synthese'!I15&amp;CHAR(13)&amp;"("&amp;'(Codierung)'!$C$3&amp;" - "&amp;'1.4 Analyse &amp; Synthese'!C15&amp;")","")</f>
        <v/>
      </c>
      <c r="DU14" s="277" t="str">
        <f t="array" ref="DU14">_xlfn.IFNA(INDEX($DT$6:$DT$66,MATCH(0,COUNTIF($DU$4:DU13,$DT$6:$DT$66),0),1),"")</f>
        <v/>
      </c>
      <c r="DV14" s="277" t="str">
        <f>IF(AND('1.4 Analyse &amp; Synthese'!AH15=1,'1.4 Analyse &amp; Synthese'!F15="Werkzeug"),'1.4 Analyse &amp; Synthese'!I15&amp;CHAR(13)&amp;"("&amp;'(Codierung)'!$C$4&amp;" - "&amp;'1.4 Analyse &amp; Synthese'!C15&amp;")","")</f>
        <v/>
      </c>
      <c r="DW14" s="277" t="str">
        <f t="array" ref="DW14">_xlfn.IFNA(INDEX($DV$6:$DV$66,MATCH(0,COUNTIF($DW$4:DW13,$DV$6:$DV$66),0),1),"")</f>
        <v/>
      </c>
      <c r="DY14" s="277" t="str">
        <f>IF(AND('1.4 Analyse &amp; Synthese'!AI15=1,'1.4 Analyse &amp; Synthese'!F15="Empfehlung"),'1.4 Analyse &amp; Synthese'!I15&amp;CHAR(13)&amp;"("&amp;'(Codierung)'!$C$2&amp;" - "&amp;'1.4 Analyse &amp; Synthese'!C15&amp;")","")</f>
        <v>Virtualisierungsinfrastruktur_x000D_(Empfehlung - Celesti )</v>
      </c>
      <c r="DZ14" s="277" t="str">
        <f t="array" ref="DZ14">_xlfn.IFNA(INDEX($DY$6:$DY$66,MATCH(0,COUNTIF($DZ$4:DZ13,$DY$6:$DY$66),0),1),"")</f>
        <v>Open-Source Plattform_x000D_(Empfehlung - Nodehi)</v>
      </c>
      <c r="EA14" s="277" t="str">
        <f>IF(AND('1.4 Analyse &amp; Synthese'!AI15=1,'1.4 Analyse &amp; Synthese'!F15="Methode"),'1.4 Analyse &amp; Synthese'!I15&amp;CHAR(13)&amp;"("&amp;'(Codierung)'!$C$3&amp;" - "&amp;'1.4 Analyse &amp; Synthese'!C15&amp;")","")</f>
        <v/>
      </c>
      <c r="EB14" s="277" t="str">
        <f t="array" ref="EB14">_xlfn.IFNA(INDEX($EA$6:$EA$66,MATCH(0,COUNTIF($EB$4:EB13,$EA$6:$EA$66),0),1),"")</f>
        <v/>
      </c>
      <c r="EC14" s="277" t="str">
        <f>IF(AND('1.4 Analyse &amp; Synthese'!AI15=1,'1.4 Analyse &amp; Synthese'!F15="Werkzeug"),'1.4 Analyse &amp; Synthese'!I15&amp;CHAR(13)&amp;"("&amp;'(Codierung)'!$C$4&amp;" - "&amp;'1.4 Analyse &amp; Synthese'!C15&amp;")","")</f>
        <v/>
      </c>
      <c r="ED14" s="277" t="str">
        <f t="array" ref="ED14">_xlfn.IFNA(INDEX($EC$6:$EC$66,MATCH(0,COUNTIF($ED$4:ED13,$EC$6:$EC$66),0),1),"")</f>
        <v/>
      </c>
      <c r="EF14" s="277" t="str">
        <f>IF(AND('1.4 Analyse &amp; Synthese'!AJ15=1,'1.4 Analyse &amp; Synthese'!F15="Empfehlung"),'1.4 Analyse &amp; Synthese'!I15&amp;CHAR(13)&amp;"("&amp;'(Codierung)'!$C$2&amp;" - "&amp;'1.4 Analyse &amp; Synthese'!C15&amp;")","")</f>
        <v/>
      </c>
      <c r="EG14" s="277" t="str">
        <f t="array" ref="EG14">_xlfn.IFNA(INDEX($EF$6:$EF$66,MATCH(0,COUNTIF($EG$4:EG13,$EF$6:$EF$66),0),1),"")</f>
        <v/>
      </c>
      <c r="EH14" s="277" t="str">
        <f>IF(AND('1.4 Analyse &amp; Synthese'!AJ15=1,'1.4 Analyse &amp; Synthese'!F15="Methode"),'1.4 Analyse &amp; Synthese'!I15&amp;CHAR(13)&amp;"("&amp;'(Codierung)'!$C$3&amp;" - "&amp;'1.4 Analyse &amp; Synthese'!C15&amp;")","")</f>
        <v/>
      </c>
      <c r="EI14" s="277" t="str">
        <f t="array" ref="EI14">_xlfn.IFNA(INDEX($EH$6:$EH$66,MATCH(0,COUNTIF($EI$4:EI13,$EH$6:$EH$66),0),1),"")</f>
        <v/>
      </c>
      <c r="EJ14" s="277" t="str">
        <f>IF(AND('1.4 Analyse &amp; Synthese'!AJ15=1,'1.4 Analyse &amp; Synthese'!F15="Werkzeug"),'1.4 Analyse &amp; Synthese'!I15&amp;CHAR(13)&amp;"("&amp;'(Codierung)'!$C$4&amp;" - "&amp;'1.4 Analyse &amp; Synthese'!C15&amp;")","")</f>
        <v/>
      </c>
      <c r="EK14" s="277" t="str">
        <f t="array" ref="EK14">_xlfn.IFNA(INDEX($EJ$6:$EJ$66,MATCH(0,COUNTIF($EK$4:EK13,$EJ$6:$EJ$66),0),1),"")</f>
        <v/>
      </c>
      <c r="EN14" s="222" t="str">
        <f t="shared" si="0"/>
        <v/>
      </c>
      <c r="EO14" s="277" t="str">
        <f t="shared" si="1"/>
        <v/>
      </c>
      <c r="EP14" s="277" t="str">
        <f t="shared" si="2"/>
        <v/>
      </c>
      <c r="EQ14" s="277" t="str">
        <f>ZahlenInBereich(Tabelle1[[Empfehlung]:[Werkzeug]],ROW()-5)</f>
        <v/>
      </c>
      <c r="ER14" s="277" t="str">
        <f t="shared" si="3"/>
        <v/>
      </c>
      <c r="ES14" s="277" t="str">
        <f t="shared" si="4"/>
        <v/>
      </c>
      <c r="ET14" s="277" t="str">
        <f t="shared" si="5"/>
        <v/>
      </c>
      <c r="EU14" s="277" t="str">
        <f>ZahlenInBereich(Tabelle1[[Empfehlung2]:[Werkzeug4]],ROW()-5)</f>
        <v/>
      </c>
      <c r="EV14" s="277" t="str">
        <f t="shared" si="6"/>
        <v>SLA Management Aggregation_x000D_(Empfehlung - Muthusamy)</v>
      </c>
      <c r="EW14" s="277" t="str">
        <f t="shared" si="7"/>
        <v/>
      </c>
      <c r="EX14" s="277" t="str">
        <f t="shared" si="8"/>
        <v/>
      </c>
      <c r="EY14" s="277" t="str">
        <f>ZahlenInBereich(Tabelle1[[Empfehlung6]:[Werkzeug8]],ROW()-5)</f>
        <v>SLA Management Aggregation_x000D_(Empfehlung - Muthusamy)</v>
      </c>
      <c r="EZ14" s="277" t="str">
        <f t="shared" si="9"/>
        <v/>
      </c>
      <c r="FA14" s="277" t="str">
        <f t="shared" si="10"/>
        <v/>
      </c>
      <c r="FB14" s="277" t="str">
        <f t="shared" si="11"/>
        <v/>
      </c>
      <c r="FC14" s="277" t="str">
        <f>ZahlenInBereich(Tabelle1[[Empfehlung10]:[Werkzeug12]],ROW()-5)</f>
        <v/>
      </c>
      <c r="FD14" s="277" t="str">
        <f t="shared" si="12"/>
        <v/>
      </c>
      <c r="FE14" s="277" t="str">
        <f t="shared" si="13"/>
        <v/>
      </c>
      <c r="FF14" s="277" t="str">
        <f t="shared" si="14"/>
        <v/>
      </c>
      <c r="FG14" s="277" t="str">
        <f>ZahlenInBereich(Tabelle1[[Empfehlung14]:[Werkzeug16]],ROW()-5)</f>
        <v/>
      </c>
      <c r="FH14" s="277" t="str">
        <f t="shared" si="15"/>
        <v/>
      </c>
      <c r="FI14" s="277" t="str">
        <f t="shared" si="16"/>
        <v/>
      </c>
      <c r="FJ14" s="277" t="str">
        <f t="shared" si="17"/>
        <v/>
      </c>
      <c r="FK14" s="277" t="str">
        <f>ZahlenInBereich(Tabelle1[[Empfehlung18]:[Werkzeug20]],ROW()-5)</f>
        <v/>
      </c>
      <c r="FL14" s="277" t="str">
        <f t="shared" si="18"/>
        <v/>
      </c>
      <c r="FM14" s="277" t="str">
        <f t="shared" si="19"/>
        <v/>
      </c>
      <c r="FN14" s="277" t="str">
        <f t="shared" si="20"/>
        <v/>
      </c>
      <c r="FO14" s="277" t="str">
        <f>ZahlenInBereich(Tabelle1[[Empfehlung22]:[Werkzeug24]],ROW()-5)</f>
        <v/>
      </c>
      <c r="FP14" s="277" t="str">
        <f t="shared" si="21"/>
        <v/>
      </c>
      <c r="FQ14" s="277" t="str">
        <f t="shared" si="22"/>
        <v/>
      </c>
      <c r="FR14" s="277" t="str">
        <f t="shared" si="23"/>
        <v/>
      </c>
      <c r="FS14" s="277" t="str">
        <f>ZahlenInBereich(Tabelle1[[Empfehlung26]:[Werkzeug28]],ROW()-5)</f>
        <v/>
      </c>
      <c r="FT14" s="277" t="str">
        <f t="shared" si="24"/>
        <v/>
      </c>
      <c r="FU14" s="277" t="str">
        <f t="shared" si="25"/>
        <v/>
      </c>
      <c r="FV14" s="277" t="str">
        <f t="shared" si="26"/>
        <v/>
      </c>
      <c r="FW14" s="277" t="str">
        <f>ZahlenInBereich(Tabelle1[[Empfehlung30]:[Werkzeug32]],ROW()-5)</f>
        <v/>
      </c>
      <c r="FX14" s="277" t="str">
        <f t="shared" si="27"/>
        <v/>
      </c>
      <c r="FY14" s="277" t="str">
        <f t="shared" si="28"/>
        <v/>
      </c>
      <c r="FZ14" s="277" t="str">
        <f t="shared" si="29"/>
        <v/>
      </c>
      <c r="GA14" s="277" t="str">
        <f>ZahlenInBereich(Tabelle1[[Empfehlung34]:[Werkzeug36]],ROW()-5)</f>
        <v>Cloud Service Komposition_x000D_(Werkzeug - Dastjerdi )</v>
      </c>
      <c r="GB14" s="277" t="str">
        <f t="shared" si="30"/>
        <v/>
      </c>
      <c r="GC14" s="277" t="str">
        <f t="shared" si="31"/>
        <v/>
      </c>
      <c r="GD14" s="277" t="str">
        <f t="shared" si="32"/>
        <v/>
      </c>
      <c r="GE14" s="277" t="str">
        <f>ZahlenInBereich(Tabelle1[[Empfehlung38]:[Werkzeug40]],ROW()-5)</f>
        <v/>
      </c>
      <c r="GF14" s="277" t="str">
        <f t="shared" si="33"/>
        <v/>
      </c>
      <c r="GG14" s="277" t="str">
        <f t="shared" si="34"/>
        <v/>
      </c>
      <c r="GH14" s="277" t="str">
        <f t="shared" si="35"/>
        <v/>
      </c>
      <c r="GI14" s="277" t="str">
        <f>ZahlenInBereich(Tabelle1[[Empfehlung42]:[Werkzeug44]],ROW()-5)</f>
        <v/>
      </c>
      <c r="GJ14" s="277" t="str">
        <f t="shared" si="36"/>
        <v/>
      </c>
      <c r="GK14" s="277" t="str">
        <f t="shared" si="37"/>
        <v/>
      </c>
      <c r="GL14" s="277" t="str">
        <f t="shared" si="38"/>
        <v/>
      </c>
      <c r="GM14" s="277" t="str">
        <f>ZahlenInBereich(Tabelle1[[Empfehlung46]:[Werkzeug48]],ROW()-5)</f>
        <v/>
      </c>
      <c r="GN14" s="277" t="str">
        <f t="shared" si="39"/>
        <v/>
      </c>
      <c r="GO14" s="277" t="str">
        <f t="shared" si="40"/>
        <v/>
      </c>
      <c r="GP14" s="277" t="str">
        <f t="shared" si="41"/>
        <v/>
      </c>
      <c r="GQ14" s="277" t="str">
        <f>ZahlenInBereich(Tabelle1[[Empfehlung50]:[Werkzeug52]],ROW()-5)</f>
        <v/>
      </c>
      <c r="GR14" s="277" t="str">
        <f t="shared" si="42"/>
        <v/>
      </c>
      <c r="GS14" s="277" t="str">
        <f t="shared" si="43"/>
        <v/>
      </c>
      <c r="GT14" s="277" t="str">
        <f t="shared" si="44"/>
        <v/>
      </c>
      <c r="GU14" s="277" t="str">
        <f>ZahlenInBereich(Tabelle1[[Empfehlung54]:[Werkzeug56]],ROW()-5)</f>
        <v>Monitoring System_x000D_(Methode - Al-Hazmi )</v>
      </c>
      <c r="GV14" s="277" t="str">
        <f t="shared" si="45"/>
        <v/>
      </c>
      <c r="GW14" s="277" t="str">
        <f t="shared" si="46"/>
        <v/>
      </c>
      <c r="GX14" s="277" t="str">
        <f t="shared" si="47"/>
        <v/>
      </c>
      <c r="GY14" s="277" t="str">
        <f>ZahlenInBereich(Tabelle1[[Empfehlung58]:[Werkzeug60]],ROW()-5)</f>
        <v>SLA Management Aggregation_x000D_(Methode - Stanik)</v>
      </c>
      <c r="GZ14" s="277" t="str">
        <f t="shared" si="48"/>
        <v>Open-Source Plattform_x000D_(Empfehlung - Nodehi)</v>
      </c>
      <c r="HA14" s="277" t="str">
        <f t="shared" si="49"/>
        <v/>
      </c>
      <c r="HB14" s="277" t="str">
        <f t="shared" si="50"/>
        <v/>
      </c>
      <c r="HC14" s="277" t="str">
        <f>ZahlenInBereich(Tabelle1[[Empfehlung62]:[Werkzeug64]],ROW()-5)</f>
        <v>Open-Source Plattform_x000D_(Empfehlung - Nodehi)</v>
      </c>
      <c r="HD14" s="277" t="str">
        <f t="shared" si="51"/>
        <v/>
      </c>
      <c r="HE14" s="277" t="str">
        <f t="shared" si="52"/>
        <v/>
      </c>
      <c r="HF14" s="277" t="str">
        <f t="shared" si="53"/>
        <v/>
      </c>
      <c r="HG14" s="277" t="str">
        <f>ZahlenInBereich(Tabelle1[[Empfehlung66]:[Werkzeug68]],ROW()-5)</f>
        <v/>
      </c>
      <c r="HH14" s="277" t="str">
        <f t="shared" si="54"/>
        <v>Open-Source Plattform_x000D_(Empfehlung - Nodehi)</v>
      </c>
      <c r="HI14" s="277" t="str">
        <f t="shared" si="55"/>
        <v/>
      </c>
      <c r="HJ14" s="277" t="str">
        <f t="shared" si="56"/>
        <v/>
      </c>
      <c r="HK14" s="277" t="str">
        <f>ZahlenInBereich(Tabelle1[[Empfehlung70]:[Werkzeug72]],ROW()-5)</f>
        <v>Open-Source Plattform_x000D_(Empfehlung - Nodehi)</v>
      </c>
      <c r="HL14" s="277" t="str">
        <f t="shared" si="57"/>
        <v/>
      </c>
      <c r="HM14" s="277" t="str">
        <f t="shared" si="58"/>
        <v/>
      </c>
      <c r="HN14" s="277" t="str">
        <f t="shared" si="59"/>
        <v/>
      </c>
      <c r="HO14" s="277" t="str">
        <f>ZahlenInBereich(Tabelle1[[Empfehlung74]:[Werkzeug76]],ROW()-5)</f>
        <v/>
      </c>
    </row>
    <row r="15" spans="2:223" ht="32" x14ac:dyDescent="0.2">
      <c r="B15" s="134">
        <f>'1.4 Analyse &amp; Synthese'!B16</f>
        <v>10</v>
      </c>
      <c r="C15" s="277" t="str">
        <f>IF(AND('1.4 Analyse &amp; Synthese'!Q16=1,'1.4 Analyse &amp; Synthese'!F16="Empfehlung"),'1.4 Analyse &amp; Synthese'!I16&amp;CHAR(13)&amp;"("&amp;'(Codierung)'!$C$2&amp;" - "&amp;'1.4 Analyse &amp; Synthese'!C16&amp;")","")</f>
        <v/>
      </c>
      <c r="D15" s="222" t="str">
        <f t="array" ref="D15">_xlfn.IFNA(INDEX($C$6:$C$66,MATCH(0,COUNTIF($D$4:D14,$C$6:$C$66),0),1),"")</f>
        <v/>
      </c>
      <c r="E15" s="277" t="str">
        <f>IF(AND('1.4 Analyse &amp; Synthese'!Q16=1,'1.4 Analyse &amp; Synthese'!F16="Methode"),'1.4 Analyse &amp; Synthese'!I16&amp;CHAR(13)&amp;"("&amp;'(Codierung)'!$C$3&amp;" - "&amp;'1.4 Analyse &amp; Synthese'!C16&amp;")","")</f>
        <v/>
      </c>
      <c r="F15" s="277" t="str">
        <f t="array" ref="F15">_xlfn.IFNA(INDEX($E$6:$E$66,MATCH(0,COUNTIF($F$4:F14,$E$6:$E$66),0),1),"")</f>
        <v/>
      </c>
      <c r="G15" s="277" t="str">
        <f>IF(AND('1.4 Analyse &amp; Synthese'!Q16=1,'1.4 Analyse &amp; Synthese'!F16="Werkzeug"),'1.4 Analyse &amp; Synthese'!I16&amp;CHAR(13)&amp;"("&amp;'(Codierung)'!$C$4&amp;" - "&amp;'1.4 Analyse &amp; Synthese'!C16&amp;")","")</f>
        <v>Atificial Intelligence_x000D_(Werkzeug - Chhetri)</v>
      </c>
      <c r="H15" s="277" t="str">
        <f t="array" ref="H15">_xlfn.IFNA(INDEX($G$6:$G$66,MATCH(0,COUNTIF($H$4:H14,$G$6:$G$66),0),1),"")</f>
        <v/>
      </c>
      <c r="J15" s="277" t="str">
        <f>IF(AND('1.4 Analyse &amp; Synthese'!R16=1,'1.4 Analyse &amp; Synthese'!F16="Empfehlung"),'1.4 Analyse &amp; Synthese'!I16&amp;CHAR(13)&amp;"("&amp;'(Codierung)'!$C$2&amp;" - "&amp;'1.4 Analyse &amp; Synthese'!C16&amp;")","")</f>
        <v/>
      </c>
      <c r="K15" s="277" t="str">
        <f t="array" ref="K15">_xlfn.IFNA(INDEX($J$6:$J$66,MATCH(0,COUNTIF($K$4:K14,$J$6:$J$66),0),1),"")</f>
        <v/>
      </c>
      <c r="L15" s="277" t="str">
        <f>IF(AND('1.4 Analyse &amp; Synthese'!R16=1,'1.4 Analyse &amp; Synthese'!F16="Methode"),'1.4 Analyse &amp; Synthese'!I16&amp;CHAR(13)&amp;"("&amp;'(Codierung)'!$C$3&amp;" - "&amp;'1.4 Analyse &amp; Synthese'!C16&amp;")","")</f>
        <v/>
      </c>
      <c r="M15" s="277" t="str">
        <f t="array" ref="M15">_xlfn.IFNA(INDEX($L$6:$L$66,MATCH(0,COUNTIF($M$4:M14,$L$6:$L$66),0),1),"")</f>
        <v/>
      </c>
      <c r="N15" s="277" t="str">
        <f>IF(AND('1.4 Analyse &amp; Synthese'!R16=1,'1.4 Analyse &amp; Synthese'!F16="Werkzeug"),'1.4 Analyse &amp; Synthese'!I16&amp;CHAR(13)&amp;"("&amp;'(Codierung)'!$C$4&amp;" - "&amp;'1.4 Analyse &amp; Synthese'!C16&amp;")","")</f>
        <v/>
      </c>
      <c r="O15" s="277" t="str">
        <f t="array" ref="O15">_xlfn.IFNA(INDEX($N$6:$N$66,MATCH(0,COUNTIF($O$4:O14,$N$6:$N$66),0),1),"")</f>
        <v/>
      </c>
      <c r="Q15" s="277" t="str">
        <f>IF(AND('1.4 Analyse &amp; Synthese'!S16=1,'1.4 Analyse &amp; Synthese'!F16="Empfehlung"),'1.4 Analyse &amp; Synthese'!I16&amp;CHAR(13)&amp;"("&amp;'(Codierung)'!$C$2&amp;" - "&amp;'1.4 Analyse &amp; Synthese'!C16&amp;")","")</f>
        <v/>
      </c>
      <c r="R15" s="277" t="str">
        <f t="array" ref="R15">_xlfn.IFNA(INDEX($Q$6:$Q$66,MATCH(0,COUNTIF($R$4:R14,$Q$6:$Q$66),0),1),"")</f>
        <v>Open-Source Plattform_x000D_(Empfehlung - Nodehi)</v>
      </c>
      <c r="S15" s="277" t="str">
        <f>IF(AND('1.4 Analyse &amp; Synthese'!S16=1,'1.4 Analyse &amp; Synthese'!F16="Methode"),'1.4 Analyse &amp; Synthese'!I16&amp;CHAR(13)&amp;"("&amp;'(Codierung)'!$C$3&amp;" - "&amp;'1.4 Analyse &amp; Synthese'!C16&amp;")","")</f>
        <v/>
      </c>
      <c r="T15" s="277" t="str">
        <f t="array" ref="T15">_xlfn.IFNA(INDEX($S$6:$S$66,MATCH(0,COUNTIF($T$4:T14,$S$6:$S$66),0),1),"")</f>
        <v/>
      </c>
      <c r="U15" s="277" t="str">
        <f>IF(AND('1.4 Analyse &amp; Synthese'!S16=1,'1.4 Analyse &amp; Synthese'!F16="Werkzeug"),'1.4 Analyse &amp; Synthese'!I16&amp;CHAR(13)&amp;"("&amp;'(Codierung)'!$C$4&amp;" - "&amp;'1.4 Analyse &amp; Synthese'!C16&amp;")","")</f>
        <v/>
      </c>
      <c r="V15" s="277" t="str">
        <f t="array" ref="V15">_xlfn.IFNA(INDEX($U$6:$U$66,MATCH(0,COUNTIF($V$4:V14,$U$6:$U$66),0),1),"")</f>
        <v/>
      </c>
      <c r="X15" s="277" t="str">
        <f>IF(AND('1.4 Analyse &amp; Synthese'!T16=1,'1.4 Analyse &amp; Synthese'!F16="Empfehlung"),'1.4 Analyse &amp; Synthese'!I16&amp;CHAR(13)&amp;"("&amp;'(Codierung)'!$C$2&amp;" - "&amp;'1.4 Analyse &amp; Synthese'!C16&amp;")","")</f>
        <v/>
      </c>
      <c r="Y15" s="277" t="str">
        <f t="array" ref="Y15">_xlfn.IFNA(INDEX($X$6:$X$66,MATCH(0,COUNTIF($Y$4:Y14,$X$6:$X$66),0),1),"")</f>
        <v/>
      </c>
      <c r="Z15" s="277" t="str">
        <f>IF(AND('1.4 Analyse &amp; Synthese'!T16=1,'1.4 Analyse &amp; Synthese'!F16="Methode"),'1.4 Analyse &amp; Synthese'!I16&amp;CHAR(13)&amp;"("&amp;'(Codierung)'!$C$3&amp;" - "&amp;'1.4 Analyse &amp; Synthese'!C16&amp;")","")</f>
        <v/>
      </c>
      <c r="AA15" s="277" t="str">
        <f t="array" ref="AA15">_xlfn.IFNA(INDEX($Z$6:$Z$66,MATCH(0,COUNTIF($AA$4:AA14,$Z$6:$Z$66),0),1),"")</f>
        <v/>
      </c>
      <c r="AB15" s="277" t="str">
        <f>IF(AND('1.4 Analyse &amp; Synthese'!T16=1,'1.4 Analyse &amp; Synthese'!F16="Werkzeug"),'1.4 Analyse &amp; Synthese'!I16&amp;CHAR(13)&amp;"("&amp;'(Codierung)'!$C$4&amp;" - "&amp;'1.4 Analyse &amp; Synthese'!C16&amp;")","")</f>
        <v/>
      </c>
      <c r="AC15" s="277" t="str">
        <f t="array" ref="AC15">_xlfn.IFNA(INDEX($AB$6:$AB$66,MATCH(0,COUNTIF($AC$4:AC14,$AB$6:$AB$66),0),1),"")</f>
        <v/>
      </c>
      <c r="AE15" s="277" t="str">
        <f>IF(AND('1.4 Analyse &amp; Synthese'!U16=1,'1.4 Analyse &amp; Synthese'!F16="Empfehlung"),'1.4 Analyse &amp; Synthese'!I16&amp;CHAR(13)&amp;"("&amp;'(Codierung)'!$C$2&amp;" - "&amp;'1.4 Analyse &amp; Synthese'!C16&amp;")","")</f>
        <v/>
      </c>
      <c r="AF15" s="277" t="str">
        <f t="array" ref="AF15">_xlfn.IFNA(INDEX($AE$6:$AE$66,MATCH(0,COUNTIF($AF$4:AF14,$AE$6:$AE$66),0),1),"")</f>
        <v/>
      </c>
      <c r="AG15" s="277" t="str">
        <f>IF(AND('1.4 Analyse &amp; Synthese'!U16=1,'1.4 Analyse &amp; Synthese'!F16="Methode"),'1.4 Analyse &amp; Synthese'!I16&amp;CHAR(13)&amp;"("&amp;'(Codierung)'!$C$3&amp;" - "&amp;'1.4 Analyse &amp; Synthese'!C16&amp;")","")</f>
        <v/>
      </c>
      <c r="AH15" s="277" t="str">
        <f t="array" ref="AH15">_xlfn.IFNA(INDEX($AG$6:$AG$66,MATCH(0,COUNTIF($AH$4:AH14,$AG$6:$AG$66),0),1),"")</f>
        <v/>
      </c>
      <c r="AI15" s="277" t="str">
        <f>IF(AND('1.4 Analyse &amp; Synthese'!U16=1,'1.4 Analyse &amp; Synthese'!F16="Werkzeug"),'1.4 Analyse &amp; Synthese'!I16&amp;CHAR(13)&amp;"("&amp;'(Codierung)'!$C$4&amp;" - "&amp;'1.4 Analyse &amp; Synthese'!C16&amp;")","")</f>
        <v/>
      </c>
      <c r="AJ15" s="277" t="str">
        <f t="array" ref="AJ15">_xlfn.IFNA(INDEX($AI$6:$AI$66,MATCH(0,COUNTIF($AJ$4:AJ14,$AI$6:$AI$66),0),1),"")</f>
        <v/>
      </c>
      <c r="AL15" s="277" t="str">
        <f>IF(AND('1.4 Analyse &amp; Synthese'!V16=1,'1.4 Analyse &amp; Synthese'!F16="Empfehlung"),'1.4 Analyse &amp; Synthese'!I16&amp;CHAR(13)&amp;"("&amp;'(Codierung)'!$C$2&amp;" - "&amp;'1.4 Analyse &amp; Synthese'!C16&amp;")","")</f>
        <v/>
      </c>
      <c r="AM15" s="277" t="str">
        <f t="array" ref="AM15">_xlfn.IFNA(INDEX($AL$6:$AL$66,MATCH(0,COUNTIF($AM$4:AM14,$AL$6:$AL$66),0),1),"")</f>
        <v/>
      </c>
      <c r="AN15" s="277" t="str">
        <f>IF(AND('1.4 Analyse &amp; Synthese'!V16=1,'1.4 Analyse &amp; Synthese'!F16="Methode"),'1.4 Analyse &amp; Synthese'!I16&amp;CHAR(13)&amp;"("&amp;'(Codierung)'!$C$3&amp;" - "&amp;'1.4 Analyse &amp; Synthese'!C16&amp;")","")</f>
        <v/>
      </c>
      <c r="AO15" s="277" t="str">
        <f t="array" ref="AO15">_xlfn.IFNA(INDEX($AN$6:$AN$66,MATCH(0,COUNTIF($AO$4:AO14,$AN$6:$AN$66),0),1),"")</f>
        <v/>
      </c>
      <c r="AP15" s="277" t="str">
        <f>IF(AND('1.4 Analyse &amp; Synthese'!V16=1,'1.4 Analyse &amp; Synthese'!F16="Werkzeug"),'1.4 Analyse &amp; Synthese'!I16&amp;CHAR(13)&amp;"("&amp;'(Codierung)'!$C$4&amp;" - "&amp;'1.4 Analyse &amp; Synthese'!C16&amp;")","")</f>
        <v/>
      </c>
      <c r="AQ15" s="277" t="str">
        <f t="array" ref="AQ15">_xlfn.IFNA(INDEX($AP$6:$AP$66,MATCH(0,COUNTIF($AQ$4:AQ14,$AP$6:$AP$66),0),1),"")</f>
        <v/>
      </c>
      <c r="AS15" s="277" t="str">
        <f>IF(AND('1.4 Analyse &amp; Synthese'!W16=1,'1.4 Analyse &amp; Synthese'!F16="Empfehlung"),'1.4 Analyse &amp; Synthese'!I16&amp;CHAR(13)&amp;"("&amp;'(Codierung)'!$C$2&amp;" - "&amp;'1.4 Analyse &amp; Synthese'!C16&amp;")","")</f>
        <v/>
      </c>
      <c r="AT15" s="277" t="str">
        <f t="array" ref="AT15">_xlfn.IFNA(INDEX($AS$6:$AS$66,MATCH(0,COUNTIF($AT$4:AT14,$AS$6:$AS$66),0),1),"")</f>
        <v/>
      </c>
      <c r="AU15" s="277" t="str">
        <f>IF(AND('1.4 Analyse &amp; Synthese'!W16=1,'1.4 Analyse &amp; Synthese'!F16="Methode"),'1.4 Analyse &amp; Synthese'!I16&amp;CHAR(13)&amp;"("&amp;'(Codierung)'!$C$3&amp;" - "&amp;'1.4 Analyse &amp; Synthese'!C16&amp;")","")</f>
        <v/>
      </c>
      <c r="AV15" s="277" t="str">
        <f t="array" ref="AV15">_xlfn.IFNA(INDEX($AU$6:$AU$66,MATCH(0,COUNTIF($AV$4:AV14,$AU$6:$AU$66),0),1),"")</f>
        <v/>
      </c>
      <c r="AW15" s="277" t="str">
        <f>IF(AND('1.4 Analyse &amp; Synthese'!W16=1,'1.4 Analyse &amp; Synthese'!F16="Werkzeug"),'1.4 Analyse &amp; Synthese'!I16&amp;CHAR(13)&amp;"("&amp;'(Codierung)'!$C$4&amp;" - "&amp;'1.4 Analyse &amp; Synthese'!C16&amp;")","")</f>
        <v/>
      </c>
      <c r="AX15" s="277" t="str">
        <f t="array" ref="AX15">_xlfn.IFNA(INDEX($AW$6:$AW$66,MATCH(0,COUNTIF($AX$4:AX14,$AW$6:$AW$66),0),1),"")</f>
        <v/>
      </c>
      <c r="AZ15" s="277" t="str">
        <f>IF(AND('1.4 Analyse &amp; Synthese'!X16=1,'1.4 Analyse &amp; Synthese'!F16="Empfehlung"),'1.4 Analyse &amp; Synthese'!I16&amp;CHAR(13)&amp;"("&amp;'(Codierung)'!$C$2&amp;" - "&amp;'1.4 Analyse &amp; Synthese'!C16&amp;")","")</f>
        <v/>
      </c>
      <c r="BA15" s="277" t="str">
        <f t="array" ref="BA15">_xlfn.IFNA(INDEX($AZ$6:$AZ$66,MATCH(0,COUNTIF($BA$4:BA14,$AZ$6:$AZ$66),0),1),"")</f>
        <v/>
      </c>
      <c r="BB15" s="277" t="str">
        <f>IF(AND('1.4 Analyse &amp; Synthese'!X16=1,'1.4 Analyse &amp; Synthese'!F16="Methode"),'1.4 Analyse &amp; Synthese'!I16&amp;CHAR(13)&amp;"("&amp;'(Codierung)'!$C$3&amp;" - "&amp;'1.4 Analyse &amp; Synthese'!C16&amp;")","")</f>
        <v/>
      </c>
      <c r="BC15" s="277" t="str">
        <f t="array" ref="BC15">_xlfn.IFNA(INDEX($BB$6:$BB$66,MATCH(0,COUNTIF($BC$4:BC14,$BB$6:$BB$66),0),1),"")</f>
        <v/>
      </c>
      <c r="BD15" s="277" t="str">
        <f>IF(AND('1.4 Analyse &amp; Synthese'!X16=1,'1.4 Analyse &amp; Synthese'!F16="Werkzeug"),'1.4 Analyse &amp; Synthese'!I16&amp;CHAR(13)&amp;"("&amp;'(Codierung)'!$C$4&amp;" - "&amp;'1.4 Analyse &amp; Synthese'!C16&amp;")","")</f>
        <v/>
      </c>
      <c r="BE15" s="277" t="str">
        <f t="array" ref="BE15">_xlfn.IFNA(INDEX($BD$6:$BD$66,MATCH(0,COUNTIF($BE$4:BE14,$BD$6:$BD$66),0),1),"")</f>
        <v/>
      </c>
      <c r="BG15" s="277" t="str">
        <f>IF(AND('1.4 Analyse &amp; Synthese'!Y16=1,'1.4 Analyse &amp; Synthese'!F16="Empfehlung"),'1.4 Analyse &amp; Synthese'!I16&amp;CHAR(13)&amp;"("&amp;'(Codierung)'!$C$2&amp;" - "&amp;'1.4 Analyse &amp; Synthese'!C16&amp;")","")</f>
        <v/>
      </c>
      <c r="BH15" s="277" t="str">
        <f t="array" ref="BH15">_xlfn.IFNA(INDEX($BG$6:$BG$66,MATCH(0,COUNTIF($BH$4:BH14,$BG$6:$BG$66),0),1),"")</f>
        <v/>
      </c>
      <c r="BI15" s="277" t="str">
        <f>IF(AND('1.4 Analyse &amp; Synthese'!Y16=1,'1.4 Analyse &amp; Synthese'!F16="Methode"),'1.4 Analyse &amp; Synthese'!I16&amp;CHAR(13)&amp;"("&amp;'(Codierung)'!$C$3&amp;" - "&amp;'1.4 Analyse &amp; Synthese'!C16&amp;")","")</f>
        <v/>
      </c>
      <c r="BJ15" s="277" t="str">
        <f t="array" ref="BJ15">_xlfn.IFNA(INDEX($BI$6:$BI$66,MATCH(0,COUNTIF($BJ$4:BJ14,$BI$6:$BI$66),0),1),"")</f>
        <v/>
      </c>
      <c r="BK15" s="277" t="str">
        <f>IF(AND('1.4 Analyse &amp; Synthese'!Y16=1,'1.4 Analyse &amp; Synthese'!F16="Werkzeug"),'1.4 Analyse &amp; Synthese'!I16&amp;CHAR(13)&amp;"("&amp;'(Codierung)'!$C$4&amp;" - "&amp;'1.4 Analyse &amp; Synthese'!C16&amp;")","")</f>
        <v/>
      </c>
      <c r="BL15" s="277" t="str">
        <f t="array" ref="BL15">_xlfn.IFNA(INDEX($BK$6:$BK$66,MATCH(0,COUNTIF($BL$4:BL14,$BK$6:$BK$66),0),1),"")</f>
        <v/>
      </c>
      <c r="BN15" s="277" t="str">
        <f>IF(AND('1.4 Analyse &amp; Synthese'!Z16=1,'1.4 Analyse &amp; Synthese'!F16="Empfehlung"),'1.4 Analyse &amp; Synthese'!I16&amp;CHAR(13)&amp;"("&amp;'(Codierung)'!$C$2&amp;" - "&amp;'1.4 Analyse &amp; Synthese'!C16&amp;")","")</f>
        <v/>
      </c>
      <c r="BO15" s="277" t="str">
        <f t="array" ref="BO15">_xlfn.IFNA(INDEX($BN$6:$BN$66,MATCH(0,COUNTIF($BO$4:BO14,$BN$6:$BN$66),0),1),"")</f>
        <v/>
      </c>
      <c r="BP15" s="277" t="str">
        <f>IF(AND('1.4 Analyse &amp; Synthese'!Z16=1,'1.4 Analyse &amp; Synthese'!F16="Methode"),'1.4 Analyse &amp; Synthese'!I16&amp;CHAR(13)&amp;"("&amp;'(Codierung)'!$C$3&amp;" - "&amp;'1.4 Analyse &amp; Synthese'!C16&amp;")","")</f>
        <v/>
      </c>
      <c r="BQ15" s="277" t="str">
        <f t="array" ref="BQ15">_xlfn.IFNA(INDEX($BP$6:$BP$66,MATCH(0,COUNTIF($BQ$4:BQ14,$BP$6:$BP$66),0),1),"")</f>
        <v/>
      </c>
      <c r="BR15" s="277" t="str">
        <f>IF(AND('1.4 Analyse &amp; Synthese'!Z16=1,'1.4 Analyse &amp; Synthese'!F16="Werkzeug"),'1.4 Analyse &amp; Synthese'!I16&amp;CHAR(13)&amp;"("&amp;'(Codierung)'!$C$4&amp;" - "&amp;'1.4 Analyse &amp; Synthese'!C16&amp;")","")</f>
        <v>Atificial Intelligence_x000D_(Werkzeug - Chhetri)</v>
      </c>
      <c r="BS15" s="277" t="str">
        <f t="array" ref="BS15">_xlfn.IFNA(INDEX($BR$6:$BR$66,MATCH(0,COUNTIF($BS$4:BS14,$BR$6:$BR$66),0),1),"")</f>
        <v/>
      </c>
      <c r="BU15" s="277" t="str">
        <f>IF(AND('1.4 Analyse &amp; Synthese'!AA16=1,'1.4 Analyse &amp; Synthese'!F16="Empfehlung"),'1.4 Analyse &amp; Synthese'!I16&amp;CHAR(13)&amp;"("&amp;'(Codierung)'!$C$2&amp;" - "&amp;'1.4 Analyse &amp; Synthese'!C16&amp;")","")</f>
        <v/>
      </c>
      <c r="BV15" s="277" t="str">
        <f t="array" ref="BV15">_xlfn.IFNA(INDEX($BU$6:$BU$66,MATCH(0,COUNTIF($BV$4:BV14,$BU$6:$BU$66),0),1),"")</f>
        <v/>
      </c>
      <c r="BW15" s="277" t="str">
        <f>IF(AND('1.4 Analyse &amp; Synthese'!AA16=1,'1.4 Analyse &amp; Synthese'!F16="Methode"),'1.4 Analyse &amp; Synthese'!I16&amp;CHAR(13)&amp;"("&amp;'(Codierung)'!$C$3&amp;" - "&amp;'1.4 Analyse &amp; Synthese'!C16&amp;")","")</f>
        <v/>
      </c>
      <c r="BX15" s="277" t="str">
        <f t="array" ref="BX15">_xlfn.IFNA(INDEX($BW$6:$BW$66,MATCH(0,COUNTIF($BX$4:BX14,$BW$6:$BW$66),0),1),"")</f>
        <v/>
      </c>
      <c r="BY15" s="277" t="str">
        <f>IF(AND('1.4 Analyse &amp; Synthese'!AA16=1,'1.4 Analyse &amp; Synthese'!F16="Werkzeug"),'1.4 Analyse &amp; Synthese'!I16&amp;CHAR(13)&amp;"("&amp;'(Codierung)'!$C$4&amp;" - "&amp;'1.4 Analyse &amp; Synthese'!C16&amp;")","")</f>
        <v/>
      </c>
      <c r="BZ15" s="277" t="str">
        <f t="array" ref="BZ15">_xlfn.IFNA(INDEX($BY$6:$BY$66,MATCH(0,COUNTIF($BZ$4:BZ14,$BY$6:$BY$66),0),1),"")</f>
        <v/>
      </c>
      <c r="CB15" s="277" t="str">
        <f>IF(AND('1.4 Analyse &amp; Synthese'!AB16=1,'1.4 Analyse &amp; Synthese'!F16="Empfehlung"),'1.4 Analyse &amp; Synthese'!I16&amp;CHAR(13)&amp;"("&amp;'(Codierung)'!$C$2&amp;" - "&amp;'1.4 Analyse &amp; Synthese'!C16&amp;")","")</f>
        <v/>
      </c>
      <c r="CC15" s="277" t="str">
        <f t="array" ref="CC15">_xlfn.IFNA(INDEX($CB$6:$CB$66,MATCH(0,COUNTIF($CC$4:CC14,$CB$6:$CB$66),0),1),"")</f>
        <v/>
      </c>
      <c r="CD15" s="277" t="str">
        <f>IF(AND('1.4 Analyse &amp; Synthese'!AB16=1,'1.4 Analyse &amp; Synthese'!F16="Methode"),'1.4 Analyse &amp; Synthese'!I16&amp;CHAR(13)&amp;"("&amp;'(Codierung)'!$C$3&amp;" - "&amp;'1.4 Analyse &amp; Synthese'!C16&amp;")","")</f>
        <v/>
      </c>
      <c r="CE15" s="277" t="str">
        <f t="array" ref="CE15">_xlfn.IFNA(INDEX($CD$6:$CD$66,MATCH(0,COUNTIF($CE$4:CE14,$CD$6:$CD$66),0),1),"")</f>
        <v/>
      </c>
      <c r="CF15" s="277" t="str">
        <f>IF(AND('1.4 Analyse &amp; Synthese'!AB16=1,'1.4 Analyse &amp; Synthese'!F16="Werkzeug"),'1.4 Analyse &amp; Synthese'!I16&amp;CHAR(13)&amp;"("&amp;'(Codierung)'!$C$4&amp;" - "&amp;'1.4 Analyse &amp; Synthese'!C16&amp;")","")</f>
        <v/>
      </c>
      <c r="CG15" s="277" t="str">
        <f t="array" ref="CG15">_xlfn.IFNA(INDEX($CF$6:$CF$66,MATCH(0,COUNTIF($CG$4:CG14,$CF$6:$CF$66),0),1),"")</f>
        <v/>
      </c>
      <c r="CI15" s="277" t="str">
        <f>IF(AND('1.4 Analyse &amp; Synthese'!AC16=1,'1.4 Analyse &amp; Synthese'!F16="Empfehlung"),'1.4 Analyse &amp; Synthese'!I16&amp;CHAR(13)&amp;"("&amp;'(Codierung)'!$C$2&amp;" - "&amp;'1.4 Analyse &amp; Synthese'!C16&amp;")","")</f>
        <v/>
      </c>
      <c r="CJ15" s="277" t="str">
        <f t="array" ref="CJ15">_xlfn.IFNA(INDEX($CI$6:$CI$66,MATCH(0,COUNTIF($CJ$4:CJ14,$CI$6:$CI$66),0),1),"")</f>
        <v/>
      </c>
      <c r="CK15" s="277" t="str">
        <f>IF(AND('1.4 Analyse &amp; Synthese'!AC16=1,'1.4 Analyse &amp; Synthese'!F16="Methode"),'1.4 Analyse &amp; Synthese'!I16&amp;CHAR(13)&amp;"("&amp;'(Codierung)'!$C$3&amp;" - "&amp;'1.4 Analyse &amp; Synthese'!C16&amp;")","")</f>
        <v/>
      </c>
      <c r="CL15" s="277" t="str">
        <f t="array" ref="CL15">_xlfn.IFNA(INDEX($CK$6:$CK$66,MATCH(0,COUNTIF($CL$4:CL14,$CK$6:$CK$66),0),1),"")</f>
        <v/>
      </c>
      <c r="CM15" s="277" t="str">
        <f>IF(AND('1.4 Analyse &amp; Synthese'!AC16=1,'1.4 Analyse &amp; Synthese'!F16="Werkzeug"),'1.4 Analyse &amp; Synthese'!I16&amp;CHAR(13)&amp;"("&amp;'(Codierung)'!$C$4&amp;" - "&amp;'1.4 Analyse &amp; Synthese'!C16&amp;")","")</f>
        <v/>
      </c>
      <c r="CN15" s="277" t="str">
        <f t="array" ref="CN15">_xlfn.IFNA(INDEX($CM$6:$CM$66,MATCH(0,COUNTIF($CN$4:CN14,$CM$6:$CM$66),0),1),"")</f>
        <v/>
      </c>
      <c r="CP15" s="277" t="str">
        <f>IF(AND('1.4 Analyse &amp; Synthese'!AD16=1,'1.4 Analyse &amp; Synthese'!F16="Empfehlung"),'1.4 Analyse &amp; Synthese'!I16&amp;CHAR(13)&amp;"("&amp;'(Codierung)'!$C$2&amp;" - "&amp;'1.4 Analyse &amp; Synthese'!C16&amp;")","")</f>
        <v/>
      </c>
      <c r="CQ15" s="277" t="str">
        <f t="array" ref="CQ15">_xlfn.IFNA(INDEX($CP$6:$CP$66,MATCH(0,COUNTIF($CQ$4:CQ14,$CP$6:$CP$66),0),1),"")</f>
        <v/>
      </c>
      <c r="CR15" s="277" t="str">
        <f>IF(AND('1.4 Analyse &amp; Synthese'!AD16=1,'1.4 Analyse &amp; Synthese'!F16="Methode"),'1.4 Analyse &amp; Synthese'!I16&amp;CHAR(13)&amp;"("&amp;'(Codierung)'!$C$3&amp;" - "&amp;'1.4 Analyse &amp; Synthese'!C16&amp;")","")</f>
        <v/>
      </c>
      <c r="CS15" s="277" t="str">
        <f t="array" ref="CS15">_xlfn.IFNA(INDEX($CR$6:$CR$66,MATCH(0,COUNTIF($CS$4:CS14,$CR$6:$CR$66),0),1),"")</f>
        <v/>
      </c>
      <c r="CT15" s="277" t="str">
        <f>IF(AND('1.4 Analyse &amp; Synthese'!AD16=1,'1.4 Analyse &amp; Synthese'!F16="Werkzeug"),'1.4 Analyse &amp; Synthese'!I16&amp;CHAR(13)&amp;"("&amp;'(Codierung)'!$C$4&amp;" - "&amp;'1.4 Analyse &amp; Synthese'!C16&amp;")","")</f>
        <v/>
      </c>
      <c r="CU15" s="277" t="str">
        <f t="array" ref="CU15">_xlfn.IFNA(INDEX($CT$6:$CT$66,MATCH(0,COUNTIF($CU$4:CU14,$CT$6:$CT$66),0),1),"")</f>
        <v/>
      </c>
      <c r="CW15" s="277" t="str">
        <f>IF(AND('1.4 Analyse &amp; Synthese'!AE16=1,'1.4 Analyse &amp; Synthese'!F16="Empfehlung"),'1.4 Analyse &amp; Synthese'!I16&amp;CHAR(13)&amp;"("&amp;'(Codierung)'!$C$2&amp;" - "&amp;'1.4 Analyse &amp; Synthese'!C16&amp;")","")</f>
        <v/>
      </c>
      <c r="CX15" s="277" t="str">
        <f t="array" ref="CX15">_xlfn.IFNA(INDEX($CW$6:$CW$66,MATCH(0,COUNTIF($CX$4:CX14,$CW$6:$CW$66),0),1),"")</f>
        <v/>
      </c>
      <c r="CY15" s="277" t="str">
        <f>IF(AND('1.4 Analyse &amp; Synthese'!AE16=1,'1.4 Analyse &amp; Synthese'!F16="Methode"),'1.4 Analyse &amp; Synthese'!I16&amp;CHAR(13)&amp;"("&amp;'(Codierung)'!$C$3&amp;" - "&amp;'1.4 Analyse &amp; Synthese'!C16&amp;")","")</f>
        <v/>
      </c>
      <c r="CZ15" s="277" t="str">
        <f t="array" ref="CZ15">_xlfn.IFNA(INDEX($CY$6:$CY$66,MATCH(0,COUNTIF($CZ$4:CZ14,$CY$6:$CY$66),0),1),"")</f>
        <v/>
      </c>
      <c r="DA15" s="277" t="str">
        <f>IF(AND('1.4 Analyse &amp; Synthese'!AE16=1,'1.4 Analyse &amp; Synthese'!F16="Werkzeug"),'1.4 Analyse &amp; Synthese'!I16&amp;CHAR(13)&amp;"("&amp;'(Codierung)'!$C$4&amp;" - "&amp;'1.4 Analyse &amp; Synthese'!C16&amp;")","")</f>
        <v/>
      </c>
      <c r="DB15" s="277" t="str">
        <f t="array" ref="DB15">_xlfn.IFNA(INDEX($DA$6:$DA$66,MATCH(0,COUNTIF($DB$4:DB14,$DA$6:$DA$66),0),1),"")</f>
        <v/>
      </c>
      <c r="DD15" s="277" t="str">
        <f>IF(AND('1.4 Analyse &amp; Synthese'!AF16=1,'1.4 Analyse &amp; Synthese'!F16="Empfehlung"),'1.4 Analyse &amp; Synthese'!I16&amp;CHAR(13)&amp;"("&amp;'(Codierung)'!$C$2&amp;" - "&amp;'1.4 Analyse &amp; Synthese'!C16&amp;")","")</f>
        <v/>
      </c>
      <c r="DE15" s="277" t="str">
        <f t="array" ref="DE15">_xlfn.IFNA(INDEX($DD$6:$DD$66,MATCH(0,COUNTIF($DE$4:DE14,$DD$6:$DD$66),0),1),"")</f>
        <v/>
      </c>
      <c r="DF15" s="277" t="str">
        <f>IF(AND('1.4 Analyse &amp; Synthese'!AF16=1,'1.4 Analyse &amp; Synthese'!F16="Methode"),'1.4 Analyse &amp; Synthese'!I16&amp;CHAR(13)&amp;"("&amp;'(Codierung)'!$C$3&amp;" - "&amp;'1.4 Analyse &amp; Synthese'!C16&amp;")","")</f>
        <v/>
      </c>
      <c r="DG15" s="277" t="str">
        <f t="array" ref="DG15">_xlfn.IFNA(INDEX($DF$6:$DF$66,MATCH(0,COUNTIF($DG$4:DG14,$DF$6:$DF$66),0),1),"")</f>
        <v/>
      </c>
      <c r="DH15" s="277" t="str">
        <f>IF(AND('1.4 Analyse &amp; Synthese'!AF16=1,'1.4 Analyse &amp; Synthese'!F16="Werkzeug"),'1.4 Analyse &amp; Synthese'!I16&amp;CHAR(13)&amp;"("&amp;'(Codierung)'!$C$4&amp;" - "&amp;'1.4 Analyse &amp; Synthese'!C16&amp;")","")</f>
        <v/>
      </c>
      <c r="DI15" s="277" t="str">
        <f t="array" ref="DI15">_xlfn.IFNA(INDEX($DH$6:$DH$66,MATCH(0,COUNTIF($DI$4:DI14,$DH$6:$DH$66),0),1),"")</f>
        <v/>
      </c>
      <c r="DK15" s="277" t="str">
        <f>IF(AND('1.4 Analyse &amp; Synthese'!AG16=1,'1.4 Analyse &amp; Synthese'!F16="Empfehlung"),'1.4 Analyse &amp; Synthese'!I16&amp;CHAR(13)&amp;"("&amp;'(Codierung)'!$C$2&amp;" - "&amp;'1.4 Analyse &amp; Synthese'!C16&amp;")","")</f>
        <v/>
      </c>
      <c r="DL15" s="277" t="str">
        <f t="array" ref="DL15">_xlfn.IFNA(INDEX($DK$6:$DK$66,MATCH(0,COUNTIF($DL$4:DL14,$DK$6:$DK$66),0),1),"")</f>
        <v>Application Programming Interface_x000D_(Empfehlung - Oprescu)</v>
      </c>
      <c r="DM15" s="277" t="str">
        <f>IF(AND('1.4 Analyse &amp; Synthese'!AG16=1,'1.4 Analyse &amp; Synthese'!F16="Methode"),'1.4 Analyse &amp; Synthese'!I16&amp;CHAR(13)&amp;"("&amp;'(Codierung)'!$C$3&amp;" - "&amp;'1.4 Analyse &amp; Synthese'!C16&amp;")","")</f>
        <v/>
      </c>
      <c r="DN15" s="277" t="str">
        <f t="array" ref="DN15">_xlfn.IFNA(INDEX($DM$6:$DM$66,MATCH(0,COUNTIF($DN$4:DN14,$DM$6:$DM$66),0),1),"")</f>
        <v/>
      </c>
      <c r="DO15" s="277" t="str">
        <f>IF(AND('1.4 Analyse &amp; Synthese'!AG16=1,'1.4 Analyse &amp; Synthese'!F16="Werkzeug"),'1.4 Analyse &amp; Synthese'!I16&amp;CHAR(13)&amp;"("&amp;'(Codierung)'!$C$4&amp;" - "&amp;'1.4 Analyse &amp; Synthese'!C16&amp;")","")</f>
        <v/>
      </c>
      <c r="DP15" s="277" t="str">
        <f t="array" ref="DP15">_xlfn.IFNA(INDEX($DO$6:$DO$66,MATCH(0,COUNTIF($DP$4:DP14,$DO$6:$DO$66),0),1),"")</f>
        <v/>
      </c>
      <c r="DR15" s="277" t="str">
        <f>IF(AND('1.4 Analyse &amp; Synthese'!AH16=1,'1.4 Analyse &amp; Synthese'!F16="Empfehlung"),'1.4 Analyse &amp; Synthese'!I16&amp;CHAR(13)&amp;"("&amp;'(Codierung)'!$C$2&amp;" - "&amp;'1.4 Analyse &amp; Synthese'!C16&amp;")","")</f>
        <v/>
      </c>
      <c r="DS15" s="277" t="str">
        <f t="array" ref="DS15">_xlfn.IFNA(INDEX($DR$6:$DR$66,MATCH(0,COUNTIF($DS$4:DS14,$DR$6:$DR$66),0),1),"")</f>
        <v/>
      </c>
      <c r="DT15" s="277" t="str">
        <f>IF(AND('1.4 Analyse &amp; Synthese'!AH16=1,'1.4 Analyse &amp; Synthese'!F16="Methode"),'1.4 Analyse &amp; Synthese'!I16&amp;CHAR(13)&amp;"("&amp;'(Codierung)'!$C$3&amp;" - "&amp;'1.4 Analyse &amp; Synthese'!C16&amp;")","")</f>
        <v/>
      </c>
      <c r="DU15" s="277" t="str">
        <f t="array" ref="DU15">_xlfn.IFNA(INDEX($DT$6:$DT$66,MATCH(0,COUNTIF($DU$4:DU14,$DT$6:$DT$66),0),1),"")</f>
        <v/>
      </c>
      <c r="DV15" s="277" t="str">
        <f>IF(AND('1.4 Analyse &amp; Synthese'!AH16=1,'1.4 Analyse &amp; Synthese'!F16="Werkzeug"),'1.4 Analyse &amp; Synthese'!I16&amp;CHAR(13)&amp;"("&amp;'(Codierung)'!$C$4&amp;" - "&amp;'1.4 Analyse &amp; Synthese'!C16&amp;")","")</f>
        <v/>
      </c>
      <c r="DW15" s="277" t="str">
        <f t="array" ref="DW15">_xlfn.IFNA(INDEX($DV$6:$DV$66,MATCH(0,COUNTIF($DW$4:DW14,$DV$6:$DV$66),0),1),"")</f>
        <v/>
      </c>
      <c r="DY15" s="277" t="str">
        <f>IF(AND('1.4 Analyse &amp; Synthese'!AI16=1,'1.4 Analyse &amp; Synthese'!F16="Empfehlung"),'1.4 Analyse &amp; Synthese'!I16&amp;CHAR(13)&amp;"("&amp;'(Codierung)'!$C$2&amp;" - "&amp;'1.4 Analyse &amp; Synthese'!C16&amp;")","")</f>
        <v/>
      </c>
      <c r="DZ15" s="277" t="str">
        <f t="array" ref="DZ15">_xlfn.IFNA(INDEX($DY$6:$DY$66,MATCH(0,COUNTIF($DZ$4:DZ14,$DY$6:$DY$66),0),1),"")</f>
        <v>Application Programming Interface_x000D_(Empfehlung - Oprescu)</v>
      </c>
      <c r="EA15" s="277" t="str">
        <f>IF(AND('1.4 Analyse &amp; Synthese'!AI16=1,'1.4 Analyse &amp; Synthese'!F16="Methode"),'1.4 Analyse &amp; Synthese'!I16&amp;CHAR(13)&amp;"("&amp;'(Codierung)'!$C$3&amp;" - "&amp;'1.4 Analyse &amp; Synthese'!C16&amp;")","")</f>
        <v/>
      </c>
      <c r="EB15" s="277" t="str">
        <f t="array" ref="EB15">_xlfn.IFNA(INDEX($EA$6:$EA$66,MATCH(0,COUNTIF($EB$4:EB14,$EA$6:$EA$66),0),1),"")</f>
        <v/>
      </c>
      <c r="EC15" s="277" t="str">
        <f>IF(AND('1.4 Analyse &amp; Synthese'!AI16=1,'1.4 Analyse &amp; Synthese'!F16="Werkzeug"),'1.4 Analyse &amp; Synthese'!I16&amp;CHAR(13)&amp;"("&amp;'(Codierung)'!$C$4&amp;" - "&amp;'1.4 Analyse &amp; Synthese'!C16&amp;")","")</f>
        <v/>
      </c>
      <c r="ED15" s="277" t="str">
        <f t="array" ref="ED15">_xlfn.IFNA(INDEX($EC$6:$EC$66,MATCH(0,COUNTIF($ED$4:ED14,$EC$6:$EC$66),0),1),"")</f>
        <v/>
      </c>
      <c r="EF15" s="277" t="str">
        <f>IF(AND('1.4 Analyse &amp; Synthese'!AJ16=1,'1.4 Analyse &amp; Synthese'!F16="Empfehlung"),'1.4 Analyse &amp; Synthese'!I16&amp;CHAR(13)&amp;"("&amp;'(Codierung)'!$C$2&amp;" - "&amp;'1.4 Analyse &amp; Synthese'!C16&amp;")","")</f>
        <v/>
      </c>
      <c r="EG15" s="277" t="str">
        <f t="array" ref="EG15">_xlfn.IFNA(INDEX($EF$6:$EF$66,MATCH(0,COUNTIF($EG$4:EG14,$EF$6:$EF$66),0),1),"")</f>
        <v/>
      </c>
      <c r="EH15" s="277" t="str">
        <f>IF(AND('1.4 Analyse &amp; Synthese'!AJ16=1,'1.4 Analyse &amp; Synthese'!F16="Methode"),'1.4 Analyse &amp; Synthese'!I16&amp;CHAR(13)&amp;"("&amp;'(Codierung)'!$C$3&amp;" - "&amp;'1.4 Analyse &amp; Synthese'!C16&amp;")","")</f>
        <v/>
      </c>
      <c r="EI15" s="277" t="str">
        <f t="array" ref="EI15">_xlfn.IFNA(INDEX($EH$6:$EH$66,MATCH(0,COUNTIF($EI$4:EI14,$EH$6:$EH$66),0),1),"")</f>
        <v/>
      </c>
      <c r="EJ15" s="277" t="str">
        <f>IF(AND('1.4 Analyse &amp; Synthese'!AJ16=1,'1.4 Analyse &amp; Synthese'!F16="Werkzeug"),'1.4 Analyse &amp; Synthese'!I16&amp;CHAR(13)&amp;"("&amp;'(Codierung)'!$C$4&amp;" - "&amp;'1.4 Analyse &amp; Synthese'!C16&amp;")","")</f>
        <v/>
      </c>
      <c r="EK15" s="277" t="str">
        <f t="array" ref="EK15">_xlfn.IFNA(INDEX($EJ$6:$EJ$66,MATCH(0,COUNTIF($EK$4:EK14,$EJ$6:$EJ$66),0),1),"")</f>
        <v/>
      </c>
      <c r="EN15" s="222" t="str">
        <f t="shared" si="0"/>
        <v/>
      </c>
      <c r="EO15" s="277" t="str">
        <f t="shared" si="1"/>
        <v/>
      </c>
      <c r="EP15" s="277" t="str">
        <f t="shared" si="2"/>
        <v/>
      </c>
      <c r="EQ15" s="277" t="str">
        <f>ZahlenInBereich(Tabelle1[[Empfehlung]:[Werkzeug]],ROW()-5)</f>
        <v/>
      </c>
      <c r="ER15" s="277" t="str">
        <f t="shared" si="3"/>
        <v/>
      </c>
      <c r="ES15" s="277" t="str">
        <f t="shared" si="4"/>
        <v/>
      </c>
      <c r="ET15" s="277" t="str">
        <f t="shared" si="5"/>
        <v/>
      </c>
      <c r="EU15" s="277" t="str">
        <f>ZahlenInBereich(Tabelle1[[Empfehlung2]:[Werkzeug4]],ROW()-5)</f>
        <v/>
      </c>
      <c r="EV15" s="277" t="str">
        <f t="shared" si="6"/>
        <v>Open-Source Plattform_x000D_(Empfehlung - Nodehi)</v>
      </c>
      <c r="EW15" s="277" t="str">
        <f t="shared" si="7"/>
        <v/>
      </c>
      <c r="EX15" s="277" t="str">
        <f t="shared" si="8"/>
        <v/>
      </c>
      <c r="EY15" s="277" t="str">
        <f>ZahlenInBereich(Tabelle1[[Empfehlung6]:[Werkzeug8]],ROW()-5)</f>
        <v>Open-Source Plattform_x000D_(Empfehlung - Nodehi)</v>
      </c>
      <c r="EZ15" s="277" t="str">
        <f t="shared" si="9"/>
        <v/>
      </c>
      <c r="FA15" s="277" t="str">
        <f t="shared" si="10"/>
        <v/>
      </c>
      <c r="FB15" s="277" t="str">
        <f t="shared" si="11"/>
        <v/>
      </c>
      <c r="FC15" s="277" t="str">
        <f>ZahlenInBereich(Tabelle1[[Empfehlung10]:[Werkzeug12]],ROW()-5)</f>
        <v/>
      </c>
      <c r="FD15" s="277" t="str">
        <f t="shared" si="12"/>
        <v/>
      </c>
      <c r="FE15" s="277" t="str">
        <f t="shared" si="13"/>
        <v/>
      </c>
      <c r="FF15" s="277" t="str">
        <f t="shared" si="14"/>
        <v/>
      </c>
      <c r="FG15" s="277" t="str">
        <f>ZahlenInBereich(Tabelle1[[Empfehlung14]:[Werkzeug16]],ROW()-5)</f>
        <v/>
      </c>
      <c r="FH15" s="277" t="str">
        <f t="shared" si="15"/>
        <v/>
      </c>
      <c r="FI15" s="277" t="str">
        <f t="shared" si="16"/>
        <v/>
      </c>
      <c r="FJ15" s="277" t="str">
        <f t="shared" si="17"/>
        <v/>
      </c>
      <c r="FK15" s="277" t="str">
        <f>ZahlenInBereich(Tabelle1[[Empfehlung18]:[Werkzeug20]],ROW()-5)</f>
        <v/>
      </c>
      <c r="FL15" s="277" t="str">
        <f t="shared" si="18"/>
        <v/>
      </c>
      <c r="FM15" s="277" t="str">
        <f t="shared" si="19"/>
        <v/>
      </c>
      <c r="FN15" s="277" t="str">
        <f t="shared" si="20"/>
        <v/>
      </c>
      <c r="FO15" s="277" t="str">
        <f>ZahlenInBereich(Tabelle1[[Empfehlung22]:[Werkzeug24]],ROW()-5)</f>
        <v/>
      </c>
      <c r="FP15" s="277" t="str">
        <f t="shared" si="21"/>
        <v/>
      </c>
      <c r="FQ15" s="277" t="str">
        <f t="shared" si="22"/>
        <v/>
      </c>
      <c r="FR15" s="277" t="str">
        <f t="shared" si="23"/>
        <v/>
      </c>
      <c r="FS15" s="277" t="str">
        <f>ZahlenInBereich(Tabelle1[[Empfehlung26]:[Werkzeug28]],ROW()-5)</f>
        <v/>
      </c>
      <c r="FT15" s="277" t="str">
        <f t="shared" si="24"/>
        <v/>
      </c>
      <c r="FU15" s="277" t="str">
        <f t="shared" si="25"/>
        <v/>
      </c>
      <c r="FV15" s="277" t="str">
        <f t="shared" si="26"/>
        <v/>
      </c>
      <c r="FW15" s="277" t="str">
        <f>ZahlenInBereich(Tabelle1[[Empfehlung30]:[Werkzeug32]],ROW()-5)</f>
        <v/>
      </c>
      <c r="FX15" s="277" t="str">
        <f t="shared" si="27"/>
        <v/>
      </c>
      <c r="FY15" s="277" t="str">
        <f t="shared" si="28"/>
        <v/>
      </c>
      <c r="FZ15" s="277" t="str">
        <f t="shared" si="29"/>
        <v/>
      </c>
      <c r="GA15" s="277" t="str">
        <f>ZahlenInBereich(Tabelle1[[Empfehlung34]:[Werkzeug36]],ROW()-5)</f>
        <v>Einheitl. Servicebeschreibung_x000D_(Werkzeug - El-Awadi)</v>
      </c>
      <c r="GB15" s="277" t="str">
        <f t="shared" si="30"/>
        <v/>
      </c>
      <c r="GC15" s="277" t="str">
        <f t="shared" si="31"/>
        <v/>
      </c>
      <c r="GD15" s="277" t="str">
        <f t="shared" si="32"/>
        <v/>
      </c>
      <c r="GE15" s="277" t="str">
        <f>ZahlenInBereich(Tabelle1[[Empfehlung38]:[Werkzeug40]],ROW()-5)</f>
        <v/>
      </c>
      <c r="GF15" s="277" t="str">
        <f t="shared" si="33"/>
        <v/>
      </c>
      <c r="GG15" s="277" t="str">
        <f t="shared" si="34"/>
        <v/>
      </c>
      <c r="GH15" s="277" t="str">
        <f t="shared" si="35"/>
        <v/>
      </c>
      <c r="GI15" s="277" t="str">
        <f>ZahlenInBereich(Tabelle1[[Empfehlung42]:[Werkzeug44]],ROW()-5)</f>
        <v/>
      </c>
      <c r="GJ15" s="277" t="str">
        <f t="shared" si="36"/>
        <v/>
      </c>
      <c r="GK15" s="277" t="str">
        <f t="shared" si="37"/>
        <v/>
      </c>
      <c r="GL15" s="277" t="str">
        <f t="shared" si="38"/>
        <v/>
      </c>
      <c r="GM15" s="277" t="str">
        <f>ZahlenInBereich(Tabelle1[[Empfehlung46]:[Werkzeug48]],ROW()-5)</f>
        <v/>
      </c>
      <c r="GN15" s="277" t="str">
        <f t="shared" si="39"/>
        <v/>
      </c>
      <c r="GO15" s="277" t="str">
        <f t="shared" si="40"/>
        <v/>
      </c>
      <c r="GP15" s="277" t="str">
        <f t="shared" si="41"/>
        <v/>
      </c>
      <c r="GQ15" s="277" t="str">
        <f>ZahlenInBereich(Tabelle1[[Empfehlung50]:[Werkzeug52]],ROW()-5)</f>
        <v/>
      </c>
      <c r="GR15" s="277" t="str">
        <f t="shared" si="42"/>
        <v/>
      </c>
      <c r="GS15" s="277" t="str">
        <f t="shared" si="43"/>
        <v/>
      </c>
      <c r="GT15" s="277" t="str">
        <f t="shared" si="44"/>
        <v/>
      </c>
      <c r="GU15" s="277" t="str">
        <f>ZahlenInBereich(Tabelle1[[Empfehlung54]:[Werkzeug56]],ROW()-5)</f>
        <v>Monitoring System_x000D_(Methode - Ludwig )</v>
      </c>
      <c r="GV15" s="277" t="str">
        <f t="shared" si="45"/>
        <v/>
      </c>
      <c r="GW15" s="277" t="str">
        <f t="shared" si="46"/>
        <v/>
      </c>
      <c r="GX15" s="277" t="str">
        <f t="shared" si="47"/>
        <v/>
      </c>
      <c r="GY15" s="277" t="str">
        <f>ZahlenInBereich(Tabelle1[[Empfehlung58]:[Werkzeug60]],ROW()-5)</f>
        <v>Open-Source Plattform_x000D_(Werkzeug - Paraiso)</v>
      </c>
      <c r="GZ15" s="277" t="str">
        <f t="shared" si="48"/>
        <v>Application Programming Interface_x000D_(Empfehlung - Oprescu)</v>
      </c>
      <c r="HA15" s="277" t="str">
        <f t="shared" si="49"/>
        <v/>
      </c>
      <c r="HB15" s="277" t="str">
        <f t="shared" si="50"/>
        <v/>
      </c>
      <c r="HC15" s="277" t="str">
        <f>ZahlenInBereich(Tabelle1[[Empfehlung62]:[Werkzeug64]],ROW()-5)</f>
        <v>Application Programming Interface_x000D_(Empfehlung - Oprescu)</v>
      </c>
      <c r="HD15" s="277" t="str">
        <f t="shared" si="51"/>
        <v/>
      </c>
      <c r="HE15" s="277" t="str">
        <f t="shared" si="52"/>
        <v/>
      </c>
      <c r="HF15" s="277" t="str">
        <f t="shared" si="53"/>
        <v/>
      </c>
      <c r="HG15" s="277" t="str">
        <f>ZahlenInBereich(Tabelle1[[Empfehlung66]:[Werkzeug68]],ROW()-5)</f>
        <v/>
      </c>
      <c r="HH15" s="277" t="str">
        <f t="shared" si="54"/>
        <v>Application Programming Interface_x000D_(Empfehlung - Oprescu)</v>
      </c>
      <c r="HI15" s="277" t="str">
        <f t="shared" si="55"/>
        <v/>
      </c>
      <c r="HJ15" s="277" t="str">
        <f t="shared" si="56"/>
        <v/>
      </c>
      <c r="HK15" s="277" t="str">
        <f>ZahlenInBereich(Tabelle1[[Empfehlung70]:[Werkzeug72]],ROW()-5)</f>
        <v>Application Programming Interface_x000D_(Empfehlung - Oprescu)</v>
      </c>
      <c r="HL15" s="277" t="str">
        <f t="shared" si="57"/>
        <v/>
      </c>
      <c r="HM15" s="277" t="str">
        <f t="shared" si="58"/>
        <v/>
      </c>
      <c r="HN15" s="277" t="str">
        <f t="shared" si="59"/>
        <v/>
      </c>
      <c r="HO15" s="277" t="str">
        <f>ZahlenInBereich(Tabelle1[[Empfehlung74]:[Werkzeug76]],ROW()-5)</f>
        <v/>
      </c>
    </row>
    <row r="16" spans="2:223" ht="32" x14ac:dyDescent="0.2">
      <c r="B16" s="134">
        <f>'1.4 Analyse &amp; Synthese'!B17</f>
        <v>11</v>
      </c>
      <c r="C16" s="277" t="str">
        <f>IF(AND('1.4 Analyse &amp; Synthese'!Q17=1,'1.4 Analyse &amp; Synthese'!F17="Empfehlung"),'1.4 Analyse &amp; Synthese'!I17&amp;CHAR(13)&amp;"("&amp;'(Codierung)'!$C$2&amp;" - "&amp;'1.4 Analyse &amp; Synthese'!C17&amp;")","")</f>
        <v/>
      </c>
      <c r="D16" s="222" t="str">
        <f t="array" ref="D16">_xlfn.IFNA(INDEX($C$6:$C$66,MATCH(0,COUNTIF($D$4:D15,$C$6:$C$66),0),1),"")</f>
        <v/>
      </c>
      <c r="E16" s="277" t="str">
        <f>IF(AND('1.4 Analyse &amp; Synthese'!Q17=1,'1.4 Analyse &amp; Synthese'!F17="Methode"),'1.4 Analyse &amp; Synthese'!I17&amp;CHAR(13)&amp;"("&amp;'(Codierung)'!$C$3&amp;" - "&amp;'1.4 Analyse &amp; Synthese'!C17&amp;")","")</f>
        <v/>
      </c>
      <c r="F16" s="277" t="str">
        <f t="array" ref="F16">_xlfn.IFNA(INDEX($E$6:$E$66,MATCH(0,COUNTIF($F$4:F15,$E$6:$E$66),0),1),"")</f>
        <v/>
      </c>
      <c r="G16" s="277" t="str">
        <f>IF(AND('1.4 Analyse &amp; Synthese'!Q17=1,'1.4 Analyse &amp; Synthese'!F17="Werkzeug"),'1.4 Analyse &amp; Synthese'!I17&amp;CHAR(13)&amp;"("&amp;'(Codierung)'!$C$4&amp;" - "&amp;'1.4 Analyse &amp; Synthese'!C17&amp;")","")</f>
        <v/>
      </c>
      <c r="H16" s="277" t="str">
        <f t="array" ref="H16">_xlfn.IFNA(INDEX($G$6:$G$66,MATCH(0,COUNTIF($H$4:H15,$G$6:$G$66),0),1),"")</f>
        <v/>
      </c>
      <c r="J16" s="277" t="str">
        <f>IF(AND('1.4 Analyse &amp; Synthese'!R17=1,'1.4 Analyse &amp; Synthese'!F17="Empfehlung"),'1.4 Analyse &amp; Synthese'!I17&amp;CHAR(13)&amp;"("&amp;'(Codierung)'!$C$2&amp;" - "&amp;'1.4 Analyse &amp; Synthese'!C17&amp;")","")</f>
        <v/>
      </c>
      <c r="K16" s="277" t="str">
        <f t="array" ref="K16">_xlfn.IFNA(INDEX($J$6:$J$66,MATCH(0,COUNTIF($K$4:K15,$J$6:$J$66),0),1),"")</f>
        <v/>
      </c>
      <c r="L16" s="277" t="str">
        <f>IF(AND('1.4 Analyse &amp; Synthese'!R17=1,'1.4 Analyse &amp; Synthese'!F17="Methode"),'1.4 Analyse &amp; Synthese'!I17&amp;CHAR(13)&amp;"("&amp;'(Codierung)'!$C$3&amp;" - "&amp;'1.4 Analyse &amp; Synthese'!C17&amp;")","")</f>
        <v/>
      </c>
      <c r="M16" s="277" t="str">
        <f t="array" ref="M16">_xlfn.IFNA(INDEX($L$6:$L$66,MATCH(0,COUNTIF($M$4:M15,$L$6:$L$66),0),1),"")</f>
        <v/>
      </c>
      <c r="N16" s="277" t="str">
        <f>IF(AND('1.4 Analyse &amp; Synthese'!R17=1,'1.4 Analyse &amp; Synthese'!F17="Werkzeug"),'1.4 Analyse &amp; Synthese'!I17&amp;CHAR(13)&amp;"("&amp;'(Codierung)'!$C$4&amp;" - "&amp;'1.4 Analyse &amp; Synthese'!C17&amp;")","")</f>
        <v/>
      </c>
      <c r="O16" s="277" t="str">
        <f t="array" ref="O16">_xlfn.IFNA(INDEX($N$6:$N$66,MATCH(0,COUNTIF($O$4:O15,$N$6:$N$66),0),1),"")</f>
        <v/>
      </c>
      <c r="Q16" s="277" t="str">
        <f>IF(AND('1.4 Analyse &amp; Synthese'!S17=1,'1.4 Analyse &amp; Synthese'!F17="Empfehlung"),'1.4 Analyse &amp; Synthese'!I17&amp;CHAR(13)&amp;"("&amp;'(Codierung)'!$C$2&amp;" - "&amp;'1.4 Analyse &amp; Synthese'!C17&amp;")","")</f>
        <v/>
      </c>
      <c r="R16" s="277" t="str">
        <f t="array" ref="R16">_xlfn.IFNA(INDEX($Q$6:$Q$66,MATCH(0,COUNTIF($R$4:R15,$Q$6:$Q$66),0),1),"")</f>
        <v>Monitoring System_x000D_(Empfehlung - Stefano)</v>
      </c>
      <c r="S16" s="277" t="str">
        <f>IF(AND('1.4 Analyse &amp; Synthese'!S17=1,'1.4 Analyse &amp; Synthese'!F17="Methode"),'1.4 Analyse &amp; Synthese'!I17&amp;CHAR(13)&amp;"("&amp;'(Codierung)'!$C$3&amp;" - "&amp;'1.4 Analyse &amp; Synthese'!C17&amp;")","")</f>
        <v/>
      </c>
      <c r="T16" s="277" t="str">
        <f t="array" ref="T16">_xlfn.IFNA(INDEX($S$6:$S$66,MATCH(0,COUNTIF($T$4:T15,$S$6:$S$66),0),1),"")</f>
        <v/>
      </c>
      <c r="U16" s="277" t="str">
        <f>IF(AND('1.4 Analyse &amp; Synthese'!S17=1,'1.4 Analyse &amp; Synthese'!F17="Werkzeug"),'1.4 Analyse &amp; Synthese'!I17&amp;CHAR(13)&amp;"("&amp;'(Codierung)'!$C$4&amp;" - "&amp;'1.4 Analyse &amp; Synthese'!C17&amp;")","")</f>
        <v>Cloud Service Komposition_x000D_(Werkzeug - Dastjerdi )</v>
      </c>
      <c r="V16" s="277" t="str">
        <f t="array" ref="V16">_xlfn.IFNA(INDEX($U$6:$U$66,MATCH(0,COUNTIF($V$4:V15,$U$6:$U$66),0),1),"")</f>
        <v/>
      </c>
      <c r="X16" s="277" t="str">
        <f>IF(AND('1.4 Analyse &amp; Synthese'!T17=1,'1.4 Analyse &amp; Synthese'!F17="Empfehlung"),'1.4 Analyse &amp; Synthese'!I17&amp;CHAR(13)&amp;"("&amp;'(Codierung)'!$C$2&amp;" - "&amp;'1.4 Analyse &amp; Synthese'!C17&amp;")","")</f>
        <v/>
      </c>
      <c r="Y16" s="277" t="str">
        <f t="array" ref="Y16">_xlfn.IFNA(INDEX($X$6:$X$66,MATCH(0,COUNTIF($Y$4:Y15,$X$6:$X$66),0),1),"")</f>
        <v/>
      </c>
      <c r="Z16" s="277" t="str">
        <f>IF(AND('1.4 Analyse &amp; Synthese'!T17=1,'1.4 Analyse &amp; Synthese'!F17="Methode"),'1.4 Analyse &amp; Synthese'!I17&amp;CHAR(13)&amp;"("&amp;'(Codierung)'!$C$3&amp;" - "&amp;'1.4 Analyse &amp; Synthese'!C17&amp;")","")</f>
        <v/>
      </c>
      <c r="AA16" s="277" t="str">
        <f t="array" ref="AA16">_xlfn.IFNA(INDEX($Z$6:$Z$66,MATCH(0,COUNTIF($AA$4:AA15,$Z$6:$Z$66),0),1),"")</f>
        <v/>
      </c>
      <c r="AB16" s="277" t="str">
        <f>IF(AND('1.4 Analyse &amp; Synthese'!T17=1,'1.4 Analyse &amp; Synthese'!F17="Werkzeug"),'1.4 Analyse &amp; Synthese'!I17&amp;CHAR(13)&amp;"("&amp;'(Codierung)'!$C$4&amp;" - "&amp;'1.4 Analyse &amp; Synthese'!C17&amp;")","")</f>
        <v/>
      </c>
      <c r="AC16" s="277" t="str">
        <f t="array" ref="AC16">_xlfn.IFNA(INDEX($AB$6:$AB$66,MATCH(0,COUNTIF($AC$4:AC15,$AB$6:$AB$66),0),1),"")</f>
        <v/>
      </c>
      <c r="AE16" s="277" t="str">
        <f>IF(AND('1.4 Analyse &amp; Synthese'!U17=1,'1.4 Analyse &amp; Synthese'!F17="Empfehlung"),'1.4 Analyse &amp; Synthese'!I17&amp;CHAR(13)&amp;"("&amp;'(Codierung)'!$C$2&amp;" - "&amp;'1.4 Analyse &amp; Synthese'!C17&amp;")","")</f>
        <v/>
      </c>
      <c r="AF16" s="277" t="str">
        <f t="array" ref="AF16">_xlfn.IFNA(INDEX($AE$6:$AE$66,MATCH(0,COUNTIF($AF$4:AF15,$AE$6:$AE$66),0),1),"")</f>
        <v/>
      </c>
      <c r="AG16" s="277" t="str">
        <f>IF(AND('1.4 Analyse &amp; Synthese'!U17=1,'1.4 Analyse &amp; Synthese'!F17="Methode"),'1.4 Analyse &amp; Synthese'!I17&amp;CHAR(13)&amp;"("&amp;'(Codierung)'!$C$3&amp;" - "&amp;'1.4 Analyse &amp; Synthese'!C17&amp;")","")</f>
        <v/>
      </c>
      <c r="AH16" s="277" t="str">
        <f t="array" ref="AH16">_xlfn.IFNA(INDEX($AG$6:$AG$66,MATCH(0,COUNTIF($AH$4:AH15,$AG$6:$AG$66),0),1),"")</f>
        <v/>
      </c>
      <c r="AI16" s="277" t="str">
        <f>IF(AND('1.4 Analyse &amp; Synthese'!U17=1,'1.4 Analyse &amp; Synthese'!F17="Werkzeug"),'1.4 Analyse &amp; Synthese'!I17&amp;CHAR(13)&amp;"("&amp;'(Codierung)'!$C$4&amp;" - "&amp;'1.4 Analyse &amp; Synthese'!C17&amp;")","")</f>
        <v/>
      </c>
      <c r="AJ16" s="277" t="str">
        <f t="array" ref="AJ16">_xlfn.IFNA(INDEX($AI$6:$AI$66,MATCH(0,COUNTIF($AJ$4:AJ15,$AI$6:$AI$66),0),1),"")</f>
        <v/>
      </c>
      <c r="AL16" s="277" t="str">
        <f>IF(AND('1.4 Analyse &amp; Synthese'!V17=1,'1.4 Analyse &amp; Synthese'!F17="Empfehlung"),'1.4 Analyse &amp; Synthese'!I17&amp;CHAR(13)&amp;"("&amp;'(Codierung)'!$C$2&amp;" - "&amp;'1.4 Analyse &amp; Synthese'!C17&amp;")","")</f>
        <v/>
      </c>
      <c r="AM16" s="277" t="str">
        <f t="array" ref="AM16">_xlfn.IFNA(INDEX($AL$6:$AL$66,MATCH(0,COUNTIF($AM$4:AM15,$AL$6:$AL$66),0),1),"")</f>
        <v/>
      </c>
      <c r="AN16" s="277" t="str">
        <f>IF(AND('1.4 Analyse &amp; Synthese'!V17=1,'1.4 Analyse &amp; Synthese'!F17="Methode"),'1.4 Analyse &amp; Synthese'!I17&amp;CHAR(13)&amp;"("&amp;'(Codierung)'!$C$3&amp;" - "&amp;'1.4 Analyse &amp; Synthese'!C17&amp;")","")</f>
        <v/>
      </c>
      <c r="AO16" s="277" t="str">
        <f t="array" ref="AO16">_xlfn.IFNA(INDEX($AN$6:$AN$66,MATCH(0,COUNTIF($AO$4:AO15,$AN$6:$AN$66),0),1),"")</f>
        <v/>
      </c>
      <c r="AP16" s="277" t="str">
        <f>IF(AND('1.4 Analyse &amp; Synthese'!V17=1,'1.4 Analyse &amp; Synthese'!F17="Werkzeug"),'1.4 Analyse &amp; Synthese'!I17&amp;CHAR(13)&amp;"("&amp;'(Codierung)'!$C$4&amp;" - "&amp;'1.4 Analyse &amp; Synthese'!C17&amp;")","")</f>
        <v/>
      </c>
      <c r="AQ16" s="277" t="str">
        <f t="array" ref="AQ16">_xlfn.IFNA(INDEX($AP$6:$AP$66,MATCH(0,COUNTIF($AQ$4:AQ15,$AP$6:$AP$66),0),1),"")</f>
        <v/>
      </c>
      <c r="AS16" s="277" t="str">
        <f>IF(AND('1.4 Analyse &amp; Synthese'!W17=1,'1.4 Analyse &amp; Synthese'!F17="Empfehlung"),'1.4 Analyse &amp; Synthese'!I17&amp;CHAR(13)&amp;"("&amp;'(Codierung)'!$C$2&amp;" - "&amp;'1.4 Analyse &amp; Synthese'!C17&amp;")","")</f>
        <v/>
      </c>
      <c r="AT16" s="277" t="str">
        <f t="array" ref="AT16">_xlfn.IFNA(INDEX($AS$6:$AS$66,MATCH(0,COUNTIF($AT$4:AT15,$AS$6:$AS$66),0),1),"")</f>
        <v/>
      </c>
      <c r="AU16" s="277" t="str">
        <f>IF(AND('1.4 Analyse &amp; Synthese'!W17=1,'1.4 Analyse &amp; Synthese'!F17="Methode"),'1.4 Analyse &amp; Synthese'!I17&amp;CHAR(13)&amp;"("&amp;'(Codierung)'!$C$3&amp;" - "&amp;'1.4 Analyse &amp; Synthese'!C17&amp;")","")</f>
        <v/>
      </c>
      <c r="AV16" s="277" t="str">
        <f t="array" ref="AV16">_xlfn.IFNA(INDEX($AU$6:$AU$66,MATCH(0,COUNTIF($AV$4:AV15,$AU$6:$AU$66),0),1),"")</f>
        <v/>
      </c>
      <c r="AW16" s="277" t="str">
        <f>IF(AND('1.4 Analyse &amp; Synthese'!W17=1,'1.4 Analyse &amp; Synthese'!F17="Werkzeug"),'1.4 Analyse &amp; Synthese'!I17&amp;CHAR(13)&amp;"("&amp;'(Codierung)'!$C$4&amp;" - "&amp;'1.4 Analyse &amp; Synthese'!C17&amp;")","")</f>
        <v/>
      </c>
      <c r="AX16" s="277" t="str">
        <f t="array" ref="AX16">_xlfn.IFNA(INDEX($AW$6:$AW$66,MATCH(0,COUNTIF($AX$4:AX15,$AW$6:$AW$66),0),1),"")</f>
        <v/>
      </c>
      <c r="AZ16" s="277" t="str">
        <f>IF(AND('1.4 Analyse &amp; Synthese'!X17=1,'1.4 Analyse &amp; Synthese'!F17="Empfehlung"),'1.4 Analyse &amp; Synthese'!I17&amp;CHAR(13)&amp;"("&amp;'(Codierung)'!$C$2&amp;" - "&amp;'1.4 Analyse &amp; Synthese'!C17&amp;")","")</f>
        <v/>
      </c>
      <c r="BA16" s="277" t="str">
        <f t="array" ref="BA16">_xlfn.IFNA(INDEX($AZ$6:$AZ$66,MATCH(0,COUNTIF($BA$4:BA15,$AZ$6:$AZ$66),0),1),"")</f>
        <v/>
      </c>
      <c r="BB16" s="277" t="str">
        <f>IF(AND('1.4 Analyse &amp; Synthese'!X17=1,'1.4 Analyse &amp; Synthese'!F17="Methode"),'1.4 Analyse &amp; Synthese'!I17&amp;CHAR(13)&amp;"("&amp;'(Codierung)'!$C$3&amp;" - "&amp;'1.4 Analyse &amp; Synthese'!C17&amp;")","")</f>
        <v/>
      </c>
      <c r="BC16" s="277" t="str">
        <f t="array" ref="BC16">_xlfn.IFNA(INDEX($BB$6:$BB$66,MATCH(0,COUNTIF($BC$4:BC15,$BB$6:$BB$66),0),1),"")</f>
        <v/>
      </c>
      <c r="BD16" s="277" t="str">
        <f>IF(AND('1.4 Analyse &amp; Synthese'!X17=1,'1.4 Analyse &amp; Synthese'!F17="Werkzeug"),'1.4 Analyse &amp; Synthese'!I17&amp;CHAR(13)&amp;"("&amp;'(Codierung)'!$C$4&amp;" - "&amp;'1.4 Analyse &amp; Synthese'!C17&amp;")","")</f>
        <v/>
      </c>
      <c r="BE16" s="277" t="str">
        <f t="array" ref="BE16">_xlfn.IFNA(INDEX($BD$6:$BD$66,MATCH(0,COUNTIF($BE$4:BE15,$BD$6:$BD$66),0),1),"")</f>
        <v/>
      </c>
      <c r="BG16" s="277" t="str">
        <f>IF(AND('1.4 Analyse &amp; Synthese'!Y17=1,'1.4 Analyse &amp; Synthese'!F17="Empfehlung"),'1.4 Analyse &amp; Synthese'!I17&amp;CHAR(13)&amp;"("&amp;'(Codierung)'!$C$2&amp;" - "&amp;'1.4 Analyse &amp; Synthese'!C17&amp;")","")</f>
        <v/>
      </c>
      <c r="BH16" s="277" t="str">
        <f t="array" ref="BH16">_xlfn.IFNA(INDEX($BG$6:$BG$66,MATCH(0,COUNTIF($BH$4:BH15,$BG$6:$BG$66),0),1),"")</f>
        <v/>
      </c>
      <c r="BI16" s="277" t="str">
        <f>IF(AND('1.4 Analyse &amp; Synthese'!Y17=1,'1.4 Analyse &amp; Synthese'!F17="Methode"),'1.4 Analyse &amp; Synthese'!I17&amp;CHAR(13)&amp;"("&amp;'(Codierung)'!$C$3&amp;" - "&amp;'1.4 Analyse &amp; Synthese'!C17&amp;")","")</f>
        <v/>
      </c>
      <c r="BJ16" s="277" t="str">
        <f t="array" ref="BJ16">_xlfn.IFNA(INDEX($BI$6:$BI$66,MATCH(0,COUNTIF($BJ$4:BJ15,$BI$6:$BI$66),0),1),"")</f>
        <v/>
      </c>
      <c r="BK16" s="277" t="str">
        <f>IF(AND('1.4 Analyse &amp; Synthese'!Y17=1,'1.4 Analyse &amp; Synthese'!F17="Werkzeug"),'1.4 Analyse &amp; Synthese'!I17&amp;CHAR(13)&amp;"("&amp;'(Codierung)'!$C$4&amp;" - "&amp;'1.4 Analyse &amp; Synthese'!C17&amp;")","")</f>
        <v/>
      </c>
      <c r="BL16" s="277" t="str">
        <f t="array" ref="BL16">_xlfn.IFNA(INDEX($BK$6:$BK$66,MATCH(0,COUNTIF($BL$4:BL15,$BK$6:$BK$66),0),1),"")</f>
        <v/>
      </c>
      <c r="BN16" s="277" t="str">
        <f>IF(AND('1.4 Analyse &amp; Synthese'!Z17=1,'1.4 Analyse &amp; Synthese'!F17="Empfehlung"),'1.4 Analyse &amp; Synthese'!I17&amp;CHAR(13)&amp;"("&amp;'(Codierung)'!$C$2&amp;" - "&amp;'1.4 Analyse &amp; Synthese'!C17&amp;")","")</f>
        <v/>
      </c>
      <c r="BO16" s="277" t="str">
        <f t="array" ref="BO16">_xlfn.IFNA(INDEX($BN$6:$BN$66,MATCH(0,COUNTIF($BO$4:BO15,$BN$6:$BN$66),0),1),"")</f>
        <v/>
      </c>
      <c r="BP16" s="277" t="str">
        <f>IF(AND('1.4 Analyse &amp; Synthese'!Z17=1,'1.4 Analyse &amp; Synthese'!F17="Methode"),'1.4 Analyse &amp; Synthese'!I17&amp;CHAR(13)&amp;"("&amp;'(Codierung)'!$C$3&amp;" - "&amp;'1.4 Analyse &amp; Synthese'!C17&amp;")","")</f>
        <v/>
      </c>
      <c r="BQ16" s="277" t="str">
        <f t="array" ref="BQ16">_xlfn.IFNA(INDEX($BP$6:$BP$66,MATCH(0,COUNTIF($BQ$4:BQ15,$BP$6:$BP$66),0),1),"")</f>
        <v/>
      </c>
      <c r="BR16" s="277" t="str">
        <f>IF(AND('1.4 Analyse &amp; Synthese'!Z17=1,'1.4 Analyse &amp; Synthese'!F17="Werkzeug"),'1.4 Analyse &amp; Synthese'!I17&amp;CHAR(13)&amp;"("&amp;'(Codierung)'!$C$4&amp;" - "&amp;'1.4 Analyse &amp; Synthese'!C17&amp;")","")</f>
        <v>Cloud Service Komposition_x000D_(Werkzeug - Dastjerdi )</v>
      </c>
      <c r="BS16" s="277" t="str">
        <f t="array" ref="BS16">_xlfn.IFNA(INDEX($BR$6:$BR$66,MATCH(0,COUNTIF($BS$4:BS15,$BR$6:$BR$66),0),1),"")</f>
        <v/>
      </c>
      <c r="BU16" s="277" t="str">
        <f>IF(AND('1.4 Analyse &amp; Synthese'!AA17=1,'1.4 Analyse &amp; Synthese'!F17="Empfehlung"),'1.4 Analyse &amp; Synthese'!I17&amp;CHAR(13)&amp;"("&amp;'(Codierung)'!$C$2&amp;" - "&amp;'1.4 Analyse &amp; Synthese'!C17&amp;")","")</f>
        <v/>
      </c>
      <c r="BV16" s="277" t="str">
        <f t="array" ref="BV16">_xlfn.IFNA(INDEX($BU$6:$BU$66,MATCH(0,COUNTIF($BV$4:BV15,$BU$6:$BU$66),0),1),"")</f>
        <v/>
      </c>
      <c r="BW16" s="277" t="str">
        <f>IF(AND('1.4 Analyse &amp; Synthese'!AA17=1,'1.4 Analyse &amp; Synthese'!F17="Methode"),'1.4 Analyse &amp; Synthese'!I17&amp;CHAR(13)&amp;"("&amp;'(Codierung)'!$C$3&amp;" - "&amp;'1.4 Analyse &amp; Synthese'!C17&amp;")","")</f>
        <v/>
      </c>
      <c r="BX16" s="277" t="str">
        <f t="array" ref="BX16">_xlfn.IFNA(INDEX($BW$6:$BW$66,MATCH(0,COUNTIF($BX$4:BX15,$BW$6:$BW$66),0),1),"")</f>
        <v/>
      </c>
      <c r="BY16" s="277" t="str">
        <f>IF(AND('1.4 Analyse &amp; Synthese'!AA17=1,'1.4 Analyse &amp; Synthese'!F17="Werkzeug"),'1.4 Analyse &amp; Synthese'!I17&amp;CHAR(13)&amp;"("&amp;'(Codierung)'!$C$4&amp;" - "&amp;'1.4 Analyse &amp; Synthese'!C17&amp;")","")</f>
        <v>Cloud Service Komposition_x000D_(Werkzeug - Dastjerdi )</v>
      </c>
      <c r="BZ16" s="277" t="str">
        <f t="array" ref="BZ16">_xlfn.IFNA(INDEX($BY$6:$BY$66,MATCH(0,COUNTIF($BZ$4:BZ15,$BY$6:$BY$66),0),1),"")</f>
        <v/>
      </c>
      <c r="CB16" s="277" t="str">
        <f>IF(AND('1.4 Analyse &amp; Synthese'!AB17=1,'1.4 Analyse &amp; Synthese'!F17="Empfehlung"),'1.4 Analyse &amp; Synthese'!I17&amp;CHAR(13)&amp;"("&amp;'(Codierung)'!$C$2&amp;" - "&amp;'1.4 Analyse &amp; Synthese'!C17&amp;")","")</f>
        <v/>
      </c>
      <c r="CC16" s="277" t="str">
        <f t="array" ref="CC16">_xlfn.IFNA(INDEX($CB$6:$CB$66,MATCH(0,COUNTIF($CC$4:CC15,$CB$6:$CB$66),0),1),"")</f>
        <v/>
      </c>
      <c r="CD16" s="277" t="str">
        <f>IF(AND('1.4 Analyse &amp; Synthese'!AB17=1,'1.4 Analyse &amp; Synthese'!F17="Methode"),'1.4 Analyse &amp; Synthese'!I17&amp;CHAR(13)&amp;"("&amp;'(Codierung)'!$C$3&amp;" - "&amp;'1.4 Analyse &amp; Synthese'!C17&amp;")","")</f>
        <v/>
      </c>
      <c r="CE16" s="277" t="str">
        <f t="array" ref="CE16">_xlfn.IFNA(INDEX($CD$6:$CD$66,MATCH(0,COUNTIF($CE$4:CE15,$CD$6:$CD$66),0),1),"")</f>
        <v/>
      </c>
      <c r="CF16" s="277" t="str">
        <f>IF(AND('1.4 Analyse &amp; Synthese'!AB17=1,'1.4 Analyse &amp; Synthese'!F17="Werkzeug"),'1.4 Analyse &amp; Synthese'!I17&amp;CHAR(13)&amp;"("&amp;'(Codierung)'!$C$4&amp;" - "&amp;'1.4 Analyse &amp; Synthese'!C17&amp;")","")</f>
        <v/>
      </c>
      <c r="CG16" s="277" t="str">
        <f t="array" ref="CG16">_xlfn.IFNA(INDEX($CF$6:$CF$66,MATCH(0,COUNTIF($CG$4:CG15,$CF$6:$CF$66),0),1),"")</f>
        <v/>
      </c>
      <c r="CI16" s="277" t="str">
        <f>IF(AND('1.4 Analyse &amp; Synthese'!AC17=1,'1.4 Analyse &amp; Synthese'!F17="Empfehlung"),'1.4 Analyse &amp; Synthese'!I17&amp;CHAR(13)&amp;"("&amp;'(Codierung)'!$C$2&amp;" - "&amp;'1.4 Analyse &amp; Synthese'!C17&amp;")","")</f>
        <v/>
      </c>
      <c r="CJ16" s="277" t="str">
        <f t="array" ref="CJ16">_xlfn.IFNA(INDEX($CI$6:$CI$66,MATCH(0,COUNTIF($CJ$4:CJ15,$CI$6:$CI$66),0),1),"")</f>
        <v/>
      </c>
      <c r="CK16" s="277" t="str">
        <f>IF(AND('1.4 Analyse &amp; Synthese'!AC17=1,'1.4 Analyse &amp; Synthese'!F17="Methode"),'1.4 Analyse &amp; Synthese'!I17&amp;CHAR(13)&amp;"("&amp;'(Codierung)'!$C$3&amp;" - "&amp;'1.4 Analyse &amp; Synthese'!C17&amp;")","")</f>
        <v/>
      </c>
      <c r="CL16" s="277" t="str">
        <f t="array" ref="CL16">_xlfn.IFNA(INDEX($CK$6:$CK$66,MATCH(0,COUNTIF($CL$4:CL15,$CK$6:$CK$66),0),1),"")</f>
        <v/>
      </c>
      <c r="CM16" s="277" t="str">
        <f>IF(AND('1.4 Analyse &amp; Synthese'!AC17=1,'1.4 Analyse &amp; Synthese'!F17="Werkzeug"),'1.4 Analyse &amp; Synthese'!I17&amp;CHAR(13)&amp;"("&amp;'(Codierung)'!$C$4&amp;" - "&amp;'1.4 Analyse &amp; Synthese'!C17&amp;")","")</f>
        <v/>
      </c>
      <c r="CN16" s="277" t="str">
        <f t="array" ref="CN16">_xlfn.IFNA(INDEX($CM$6:$CM$66,MATCH(0,COUNTIF($CN$4:CN15,$CM$6:$CM$66),0),1),"")</f>
        <v/>
      </c>
      <c r="CP16" s="277" t="str">
        <f>IF(AND('1.4 Analyse &amp; Synthese'!AD17=1,'1.4 Analyse &amp; Synthese'!F17="Empfehlung"),'1.4 Analyse &amp; Synthese'!I17&amp;CHAR(13)&amp;"("&amp;'(Codierung)'!$C$2&amp;" - "&amp;'1.4 Analyse &amp; Synthese'!C17&amp;")","")</f>
        <v/>
      </c>
      <c r="CQ16" s="277" t="str">
        <f t="array" ref="CQ16">_xlfn.IFNA(INDEX($CP$6:$CP$66,MATCH(0,COUNTIF($CQ$4:CQ15,$CP$6:$CP$66),0),1),"")</f>
        <v/>
      </c>
      <c r="CR16" s="277" t="str">
        <f>IF(AND('1.4 Analyse &amp; Synthese'!AD17=1,'1.4 Analyse &amp; Synthese'!F17="Methode"),'1.4 Analyse &amp; Synthese'!I17&amp;CHAR(13)&amp;"("&amp;'(Codierung)'!$C$3&amp;" - "&amp;'1.4 Analyse &amp; Synthese'!C17&amp;")","")</f>
        <v/>
      </c>
      <c r="CS16" s="277" t="str">
        <f t="array" ref="CS16">_xlfn.IFNA(INDEX($CR$6:$CR$66,MATCH(0,COUNTIF($CS$4:CS15,$CR$6:$CR$66),0),1),"")</f>
        <v/>
      </c>
      <c r="CT16" s="277" t="str">
        <f>IF(AND('1.4 Analyse &amp; Synthese'!AD17=1,'1.4 Analyse &amp; Synthese'!F17="Werkzeug"),'1.4 Analyse &amp; Synthese'!I17&amp;CHAR(13)&amp;"("&amp;'(Codierung)'!$C$4&amp;" - "&amp;'1.4 Analyse &amp; Synthese'!C17&amp;")","")</f>
        <v/>
      </c>
      <c r="CU16" s="277" t="str">
        <f t="array" ref="CU16">_xlfn.IFNA(INDEX($CT$6:$CT$66,MATCH(0,COUNTIF($CU$4:CU15,$CT$6:$CT$66),0),1),"")</f>
        <v/>
      </c>
      <c r="CW16" s="277" t="str">
        <f>IF(AND('1.4 Analyse &amp; Synthese'!AE17=1,'1.4 Analyse &amp; Synthese'!F17="Empfehlung"),'1.4 Analyse &amp; Synthese'!I17&amp;CHAR(13)&amp;"("&amp;'(Codierung)'!$C$2&amp;" - "&amp;'1.4 Analyse &amp; Synthese'!C17&amp;")","")</f>
        <v/>
      </c>
      <c r="CX16" s="277" t="str">
        <f t="array" ref="CX16">_xlfn.IFNA(INDEX($CW$6:$CW$66,MATCH(0,COUNTIF($CX$4:CX15,$CW$6:$CW$66),0),1),"")</f>
        <v/>
      </c>
      <c r="CY16" s="277" t="str">
        <f>IF(AND('1.4 Analyse &amp; Synthese'!AE17=1,'1.4 Analyse &amp; Synthese'!F17="Methode"),'1.4 Analyse &amp; Synthese'!I17&amp;CHAR(13)&amp;"("&amp;'(Codierung)'!$C$3&amp;" - "&amp;'1.4 Analyse &amp; Synthese'!C17&amp;")","")</f>
        <v/>
      </c>
      <c r="CZ16" s="277" t="str">
        <f t="array" ref="CZ16">_xlfn.IFNA(INDEX($CY$6:$CY$66,MATCH(0,COUNTIF($CZ$4:CZ15,$CY$6:$CY$66),0),1),"")</f>
        <v/>
      </c>
      <c r="DA16" s="277" t="str">
        <f>IF(AND('1.4 Analyse &amp; Synthese'!AE17=1,'1.4 Analyse &amp; Synthese'!F17="Werkzeug"),'1.4 Analyse &amp; Synthese'!I17&amp;CHAR(13)&amp;"("&amp;'(Codierung)'!$C$4&amp;" - "&amp;'1.4 Analyse &amp; Synthese'!C17&amp;")","")</f>
        <v/>
      </c>
      <c r="DB16" s="277" t="str">
        <f t="array" ref="DB16">_xlfn.IFNA(INDEX($DA$6:$DA$66,MATCH(0,COUNTIF($DB$4:DB15,$DA$6:$DA$66),0),1),"")</f>
        <v/>
      </c>
      <c r="DD16" s="277" t="str">
        <f>IF(AND('1.4 Analyse &amp; Synthese'!AF17=1,'1.4 Analyse &amp; Synthese'!F17="Empfehlung"),'1.4 Analyse &amp; Synthese'!I17&amp;CHAR(13)&amp;"("&amp;'(Codierung)'!$C$2&amp;" - "&amp;'1.4 Analyse &amp; Synthese'!C17&amp;")","")</f>
        <v/>
      </c>
      <c r="DE16" s="277" t="str">
        <f t="array" ref="DE16">_xlfn.IFNA(INDEX($DD$6:$DD$66,MATCH(0,COUNTIF($DE$4:DE15,$DD$6:$DD$66),0),1),"")</f>
        <v/>
      </c>
      <c r="DF16" s="277" t="str">
        <f>IF(AND('1.4 Analyse &amp; Synthese'!AF17=1,'1.4 Analyse &amp; Synthese'!F17="Methode"),'1.4 Analyse &amp; Synthese'!I17&amp;CHAR(13)&amp;"("&amp;'(Codierung)'!$C$3&amp;" - "&amp;'1.4 Analyse &amp; Synthese'!C17&amp;")","")</f>
        <v/>
      </c>
      <c r="DG16" s="277" t="str">
        <f t="array" ref="DG16">_xlfn.IFNA(INDEX($DF$6:$DF$66,MATCH(0,COUNTIF($DG$4:DG15,$DF$6:$DF$66),0),1),"")</f>
        <v/>
      </c>
      <c r="DH16" s="277" t="str">
        <f>IF(AND('1.4 Analyse &amp; Synthese'!AF17=1,'1.4 Analyse &amp; Synthese'!F17="Werkzeug"),'1.4 Analyse &amp; Synthese'!I17&amp;CHAR(13)&amp;"("&amp;'(Codierung)'!$C$4&amp;" - "&amp;'1.4 Analyse &amp; Synthese'!C17&amp;")","")</f>
        <v/>
      </c>
      <c r="DI16" s="277" t="str">
        <f t="array" ref="DI16">_xlfn.IFNA(INDEX($DH$6:$DH$66,MATCH(0,COUNTIF($DI$4:DI15,$DH$6:$DH$66),0),1),"")</f>
        <v/>
      </c>
      <c r="DK16" s="277" t="str">
        <f>IF(AND('1.4 Analyse &amp; Synthese'!AG17=1,'1.4 Analyse &amp; Synthese'!F17="Empfehlung"),'1.4 Analyse &amp; Synthese'!I17&amp;CHAR(13)&amp;"("&amp;'(Codierung)'!$C$2&amp;" - "&amp;'1.4 Analyse &amp; Synthese'!C17&amp;")","")</f>
        <v/>
      </c>
      <c r="DL16" s="277" t="str">
        <f t="array" ref="DL16">_xlfn.IFNA(INDEX($DK$6:$DK$66,MATCH(0,COUNTIF($DL$4:DL15,$DK$6:$DK$66),0),1),"")</f>
        <v>Meta Cloud API_x000D_(Empfehlung - Satzger)</v>
      </c>
      <c r="DM16" s="277" t="str">
        <f>IF(AND('1.4 Analyse &amp; Synthese'!AG17=1,'1.4 Analyse &amp; Synthese'!F17="Methode"),'1.4 Analyse &amp; Synthese'!I17&amp;CHAR(13)&amp;"("&amp;'(Codierung)'!$C$3&amp;" - "&amp;'1.4 Analyse &amp; Synthese'!C17&amp;")","")</f>
        <v/>
      </c>
      <c r="DN16" s="277" t="str">
        <f t="array" ref="DN16">_xlfn.IFNA(INDEX($DM$6:$DM$66,MATCH(0,COUNTIF($DN$4:DN15,$DM$6:$DM$66),0),1),"")</f>
        <v/>
      </c>
      <c r="DO16" s="277" t="str">
        <f>IF(AND('1.4 Analyse &amp; Synthese'!AG17=1,'1.4 Analyse &amp; Synthese'!F17="Werkzeug"),'1.4 Analyse &amp; Synthese'!I17&amp;CHAR(13)&amp;"("&amp;'(Codierung)'!$C$4&amp;" - "&amp;'1.4 Analyse &amp; Synthese'!C17&amp;")","")</f>
        <v/>
      </c>
      <c r="DP16" s="277" t="str">
        <f t="array" ref="DP16">_xlfn.IFNA(INDEX($DO$6:$DO$66,MATCH(0,COUNTIF($DP$4:DP15,$DO$6:$DO$66),0),1),"")</f>
        <v/>
      </c>
      <c r="DR16" s="277" t="str">
        <f>IF(AND('1.4 Analyse &amp; Synthese'!AH17=1,'1.4 Analyse &amp; Synthese'!F17="Empfehlung"),'1.4 Analyse &amp; Synthese'!I17&amp;CHAR(13)&amp;"("&amp;'(Codierung)'!$C$2&amp;" - "&amp;'1.4 Analyse &amp; Synthese'!C17&amp;")","")</f>
        <v/>
      </c>
      <c r="DS16" s="277" t="str">
        <f t="array" ref="DS16">_xlfn.IFNA(INDEX($DR$6:$DR$66,MATCH(0,COUNTIF($DS$4:DS15,$DR$6:$DR$66),0),1),"")</f>
        <v/>
      </c>
      <c r="DT16" s="277" t="str">
        <f>IF(AND('1.4 Analyse &amp; Synthese'!AH17=1,'1.4 Analyse &amp; Synthese'!F17="Methode"),'1.4 Analyse &amp; Synthese'!I17&amp;CHAR(13)&amp;"("&amp;'(Codierung)'!$C$3&amp;" - "&amp;'1.4 Analyse &amp; Synthese'!C17&amp;")","")</f>
        <v/>
      </c>
      <c r="DU16" s="277" t="str">
        <f t="array" ref="DU16">_xlfn.IFNA(INDEX($DT$6:$DT$66,MATCH(0,COUNTIF($DU$4:DU15,$DT$6:$DT$66),0),1),"")</f>
        <v/>
      </c>
      <c r="DV16" s="277" t="str">
        <f>IF(AND('1.4 Analyse &amp; Synthese'!AH17=1,'1.4 Analyse &amp; Synthese'!F17="Werkzeug"),'1.4 Analyse &amp; Synthese'!I17&amp;CHAR(13)&amp;"("&amp;'(Codierung)'!$C$4&amp;" - "&amp;'1.4 Analyse &amp; Synthese'!C17&amp;")","")</f>
        <v/>
      </c>
      <c r="DW16" s="277" t="str">
        <f t="array" ref="DW16">_xlfn.IFNA(INDEX($DV$6:$DV$66,MATCH(0,COUNTIF($DW$4:DW15,$DV$6:$DV$66),0),1),"")</f>
        <v/>
      </c>
      <c r="DY16" s="277" t="str">
        <f>IF(AND('1.4 Analyse &amp; Synthese'!AI17=1,'1.4 Analyse &amp; Synthese'!F17="Empfehlung"),'1.4 Analyse &amp; Synthese'!I17&amp;CHAR(13)&amp;"("&amp;'(Codierung)'!$C$2&amp;" - "&amp;'1.4 Analyse &amp; Synthese'!C17&amp;")","")</f>
        <v/>
      </c>
      <c r="DZ16" s="277" t="str">
        <f t="array" ref="DZ16">_xlfn.IFNA(INDEX($DY$6:$DY$66,MATCH(0,COUNTIF($DZ$4:DZ15,$DY$6:$DY$66),0),1),"")</f>
        <v>Meta Cloud API_x000D_(Empfehlung - Satzger)</v>
      </c>
      <c r="EA16" s="277" t="str">
        <f>IF(AND('1.4 Analyse &amp; Synthese'!AI17=1,'1.4 Analyse &amp; Synthese'!F17="Methode"),'1.4 Analyse &amp; Synthese'!I17&amp;CHAR(13)&amp;"("&amp;'(Codierung)'!$C$3&amp;" - "&amp;'1.4 Analyse &amp; Synthese'!C17&amp;")","")</f>
        <v/>
      </c>
      <c r="EB16" s="277" t="str">
        <f t="array" ref="EB16">_xlfn.IFNA(INDEX($EA$6:$EA$66,MATCH(0,COUNTIF($EB$4:EB15,$EA$6:$EA$66),0),1),"")</f>
        <v/>
      </c>
      <c r="EC16" s="277" t="str">
        <f>IF(AND('1.4 Analyse &amp; Synthese'!AI17=1,'1.4 Analyse &amp; Synthese'!F17="Werkzeug"),'1.4 Analyse &amp; Synthese'!I17&amp;CHAR(13)&amp;"("&amp;'(Codierung)'!$C$4&amp;" - "&amp;'1.4 Analyse &amp; Synthese'!C17&amp;")","")</f>
        <v/>
      </c>
      <c r="ED16" s="277" t="str">
        <f t="array" ref="ED16">_xlfn.IFNA(INDEX($EC$6:$EC$66,MATCH(0,COUNTIF($ED$4:ED15,$EC$6:$EC$66),0),1),"")</f>
        <v/>
      </c>
      <c r="EF16" s="277" t="str">
        <f>IF(AND('1.4 Analyse &amp; Synthese'!AJ17=1,'1.4 Analyse &amp; Synthese'!F17="Empfehlung"),'1.4 Analyse &amp; Synthese'!I17&amp;CHAR(13)&amp;"("&amp;'(Codierung)'!$C$2&amp;" - "&amp;'1.4 Analyse &amp; Synthese'!C17&amp;")","")</f>
        <v/>
      </c>
      <c r="EG16" s="277" t="str">
        <f t="array" ref="EG16">_xlfn.IFNA(INDEX($EF$6:$EF$66,MATCH(0,COUNTIF($EG$4:EG15,$EF$6:$EF$66),0),1),"")</f>
        <v/>
      </c>
      <c r="EH16" s="277" t="str">
        <f>IF(AND('1.4 Analyse &amp; Synthese'!AJ17=1,'1.4 Analyse &amp; Synthese'!F17="Methode"),'1.4 Analyse &amp; Synthese'!I17&amp;CHAR(13)&amp;"("&amp;'(Codierung)'!$C$3&amp;" - "&amp;'1.4 Analyse &amp; Synthese'!C17&amp;")","")</f>
        <v/>
      </c>
      <c r="EI16" s="277" t="str">
        <f t="array" ref="EI16">_xlfn.IFNA(INDEX($EH$6:$EH$66,MATCH(0,COUNTIF($EI$4:EI15,$EH$6:$EH$66),0),1),"")</f>
        <v/>
      </c>
      <c r="EJ16" s="277" t="str">
        <f>IF(AND('1.4 Analyse &amp; Synthese'!AJ17=1,'1.4 Analyse &amp; Synthese'!F17="Werkzeug"),'1.4 Analyse &amp; Synthese'!I17&amp;CHAR(13)&amp;"("&amp;'(Codierung)'!$C$4&amp;" - "&amp;'1.4 Analyse &amp; Synthese'!C17&amp;")","")</f>
        <v/>
      </c>
      <c r="EK16" s="277" t="str">
        <f t="array" ref="EK16">_xlfn.IFNA(INDEX($EJ$6:$EJ$66,MATCH(0,COUNTIF($EK$4:EK15,$EJ$6:$EJ$66),0),1),"")</f>
        <v/>
      </c>
      <c r="EN16" s="222" t="str">
        <f t="shared" si="0"/>
        <v/>
      </c>
      <c r="EO16" s="277" t="str">
        <f t="shared" si="1"/>
        <v/>
      </c>
      <c r="EP16" s="277" t="str">
        <f t="shared" si="2"/>
        <v/>
      </c>
      <c r="EQ16" s="277" t="str">
        <f>ZahlenInBereich(Tabelle1[[Empfehlung]:[Werkzeug]],ROW()-5)</f>
        <v/>
      </c>
      <c r="ER16" s="277" t="str">
        <f t="shared" si="3"/>
        <v/>
      </c>
      <c r="ES16" s="277" t="str">
        <f t="shared" si="4"/>
        <v/>
      </c>
      <c r="ET16" s="277" t="str">
        <f t="shared" si="5"/>
        <v/>
      </c>
      <c r="EU16" s="277" t="str">
        <f>ZahlenInBereich(Tabelle1[[Empfehlung2]:[Werkzeug4]],ROW()-5)</f>
        <v/>
      </c>
      <c r="EV16" s="277" t="str">
        <f t="shared" si="6"/>
        <v>Monitoring System_x000D_(Empfehlung - Stefano)</v>
      </c>
      <c r="EW16" s="277" t="str">
        <f t="shared" si="7"/>
        <v/>
      </c>
      <c r="EX16" s="277" t="str">
        <f t="shared" si="8"/>
        <v/>
      </c>
      <c r="EY16" s="277" t="str">
        <f>ZahlenInBereich(Tabelle1[[Empfehlung6]:[Werkzeug8]],ROW()-5)</f>
        <v>Monitoring System_x000D_(Empfehlung - Stefano)</v>
      </c>
      <c r="EZ16" s="277" t="str">
        <f t="shared" si="9"/>
        <v/>
      </c>
      <c r="FA16" s="277" t="str">
        <f t="shared" si="10"/>
        <v/>
      </c>
      <c r="FB16" s="277" t="str">
        <f t="shared" si="11"/>
        <v/>
      </c>
      <c r="FC16" s="277" t="str">
        <f>ZahlenInBereich(Tabelle1[[Empfehlung10]:[Werkzeug12]],ROW()-5)</f>
        <v/>
      </c>
      <c r="FD16" s="277" t="str">
        <f t="shared" si="12"/>
        <v/>
      </c>
      <c r="FE16" s="277" t="str">
        <f t="shared" si="13"/>
        <v/>
      </c>
      <c r="FF16" s="277" t="str">
        <f t="shared" si="14"/>
        <v/>
      </c>
      <c r="FG16" s="277" t="str">
        <f>ZahlenInBereich(Tabelle1[[Empfehlung14]:[Werkzeug16]],ROW()-5)</f>
        <v/>
      </c>
      <c r="FH16" s="277" t="str">
        <f t="shared" si="15"/>
        <v/>
      </c>
      <c r="FI16" s="277" t="str">
        <f t="shared" si="16"/>
        <v/>
      </c>
      <c r="FJ16" s="277" t="str">
        <f t="shared" si="17"/>
        <v/>
      </c>
      <c r="FK16" s="277" t="str">
        <f>ZahlenInBereich(Tabelle1[[Empfehlung18]:[Werkzeug20]],ROW()-5)</f>
        <v/>
      </c>
      <c r="FL16" s="277" t="str">
        <f t="shared" si="18"/>
        <v/>
      </c>
      <c r="FM16" s="277" t="str">
        <f t="shared" si="19"/>
        <v/>
      </c>
      <c r="FN16" s="277" t="str">
        <f t="shared" si="20"/>
        <v/>
      </c>
      <c r="FO16" s="277" t="str">
        <f>ZahlenInBereich(Tabelle1[[Empfehlung22]:[Werkzeug24]],ROW()-5)</f>
        <v/>
      </c>
      <c r="FP16" s="277" t="str">
        <f t="shared" si="21"/>
        <v/>
      </c>
      <c r="FQ16" s="277" t="str">
        <f t="shared" si="22"/>
        <v/>
      </c>
      <c r="FR16" s="277" t="str">
        <f t="shared" si="23"/>
        <v/>
      </c>
      <c r="FS16" s="277" t="str">
        <f>ZahlenInBereich(Tabelle1[[Empfehlung26]:[Werkzeug28]],ROW()-5)</f>
        <v/>
      </c>
      <c r="FT16" s="277" t="str">
        <f t="shared" si="24"/>
        <v/>
      </c>
      <c r="FU16" s="277" t="str">
        <f t="shared" si="25"/>
        <v/>
      </c>
      <c r="FV16" s="277" t="str">
        <f t="shared" si="26"/>
        <v/>
      </c>
      <c r="FW16" s="277" t="str">
        <f>ZahlenInBereich(Tabelle1[[Empfehlung30]:[Werkzeug32]],ROW()-5)</f>
        <v/>
      </c>
      <c r="FX16" s="277" t="str">
        <f t="shared" si="27"/>
        <v/>
      </c>
      <c r="FY16" s="277" t="str">
        <f t="shared" si="28"/>
        <v/>
      </c>
      <c r="FZ16" s="277" t="str">
        <f t="shared" si="29"/>
        <v/>
      </c>
      <c r="GA16" s="277" t="str">
        <f>ZahlenInBereich(Tabelle1[[Empfehlung34]:[Werkzeug36]],ROW()-5)</f>
        <v>Open-Source Plattform_x000D_(Werkzeug - Zangara)</v>
      </c>
      <c r="GB16" s="277" t="str">
        <f t="shared" si="30"/>
        <v/>
      </c>
      <c r="GC16" s="277" t="str">
        <f t="shared" si="31"/>
        <v/>
      </c>
      <c r="GD16" s="277" t="str">
        <f t="shared" si="32"/>
        <v/>
      </c>
      <c r="GE16" s="277" t="str">
        <f>ZahlenInBereich(Tabelle1[[Empfehlung38]:[Werkzeug40]],ROW()-5)</f>
        <v/>
      </c>
      <c r="GF16" s="277" t="str">
        <f t="shared" si="33"/>
        <v/>
      </c>
      <c r="GG16" s="277" t="str">
        <f t="shared" si="34"/>
        <v/>
      </c>
      <c r="GH16" s="277" t="str">
        <f t="shared" si="35"/>
        <v/>
      </c>
      <c r="GI16" s="277" t="str">
        <f>ZahlenInBereich(Tabelle1[[Empfehlung42]:[Werkzeug44]],ROW()-5)</f>
        <v/>
      </c>
      <c r="GJ16" s="277" t="str">
        <f t="shared" si="36"/>
        <v/>
      </c>
      <c r="GK16" s="277" t="str">
        <f t="shared" si="37"/>
        <v/>
      </c>
      <c r="GL16" s="277" t="str">
        <f t="shared" si="38"/>
        <v/>
      </c>
      <c r="GM16" s="277" t="str">
        <f>ZahlenInBereich(Tabelle1[[Empfehlung46]:[Werkzeug48]],ROW()-5)</f>
        <v/>
      </c>
      <c r="GN16" s="277" t="str">
        <f t="shared" si="39"/>
        <v/>
      </c>
      <c r="GO16" s="277" t="str">
        <f t="shared" si="40"/>
        <v/>
      </c>
      <c r="GP16" s="277" t="str">
        <f t="shared" si="41"/>
        <v/>
      </c>
      <c r="GQ16" s="277" t="str">
        <f>ZahlenInBereich(Tabelle1[[Empfehlung50]:[Werkzeug52]],ROW()-5)</f>
        <v/>
      </c>
      <c r="GR16" s="277" t="str">
        <f t="shared" si="42"/>
        <v/>
      </c>
      <c r="GS16" s="277" t="str">
        <f t="shared" si="43"/>
        <v/>
      </c>
      <c r="GT16" s="277" t="str">
        <f t="shared" si="44"/>
        <v/>
      </c>
      <c r="GU16" s="277" t="str">
        <f>ZahlenInBereich(Tabelle1[[Empfehlung54]:[Werkzeug56]],ROW()-5)</f>
        <v>Monitoring System_x000D_(Methode - Tata)</v>
      </c>
      <c r="GV16" s="277" t="str">
        <f t="shared" si="45"/>
        <v/>
      </c>
      <c r="GW16" s="277" t="str">
        <f t="shared" si="46"/>
        <v/>
      </c>
      <c r="GX16" s="277" t="str">
        <f t="shared" si="47"/>
        <v/>
      </c>
      <c r="GY16" s="277" t="str">
        <f>ZahlenInBereich(Tabelle1[[Empfehlung58]:[Werkzeug60]],ROW()-5)</f>
        <v>Datenintegration_x000D_(Werkzeug - Vernik)</v>
      </c>
      <c r="GZ16" s="277" t="str">
        <f t="shared" si="48"/>
        <v>Meta Cloud API_x000D_(Empfehlung - Satzger)</v>
      </c>
      <c r="HA16" s="277" t="str">
        <f t="shared" si="49"/>
        <v/>
      </c>
      <c r="HB16" s="277" t="str">
        <f t="shared" si="50"/>
        <v/>
      </c>
      <c r="HC16" s="277" t="str">
        <f>ZahlenInBereich(Tabelle1[[Empfehlung62]:[Werkzeug64]],ROW()-5)</f>
        <v>Meta Cloud API_x000D_(Empfehlung - Satzger)</v>
      </c>
      <c r="HD16" s="277" t="str">
        <f t="shared" si="51"/>
        <v/>
      </c>
      <c r="HE16" s="277" t="str">
        <f t="shared" si="52"/>
        <v/>
      </c>
      <c r="HF16" s="277" t="str">
        <f t="shared" si="53"/>
        <v/>
      </c>
      <c r="HG16" s="277" t="str">
        <f>ZahlenInBereich(Tabelle1[[Empfehlung66]:[Werkzeug68]],ROW()-5)</f>
        <v/>
      </c>
      <c r="HH16" s="277" t="str">
        <f t="shared" si="54"/>
        <v>Meta Cloud API_x000D_(Empfehlung - Satzger)</v>
      </c>
      <c r="HI16" s="277" t="str">
        <f t="shared" si="55"/>
        <v/>
      </c>
      <c r="HJ16" s="277" t="str">
        <f t="shared" si="56"/>
        <v/>
      </c>
      <c r="HK16" s="277" t="str">
        <f>ZahlenInBereich(Tabelle1[[Empfehlung70]:[Werkzeug72]],ROW()-5)</f>
        <v>Meta Cloud API_x000D_(Empfehlung - Satzger)</v>
      </c>
      <c r="HL16" s="277" t="str">
        <f t="shared" si="57"/>
        <v/>
      </c>
      <c r="HM16" s="277" t="str">
        <f t="shared" si="58"/>
        <v/>
      </c>
      <c r="HN16" s="277" t="str">
        <f t="shared" si="59"/>
        <v/>
      </c>
      <c r="HO16" s="277" t="str">
        <f>ZahlenInBereich(Tabelle1[[Empfehlung74]:[Werkzeug76]],ROW()-5)</f>
        <v/>
      </c>
    </row>
    <row r="17" spans="2:223" ht="32" x14ac:dyDescent="0.2">
      <c r="B17" s="134">
        <f>'1.4 Analyse &amp; Synthese'!B18</f>
        <v>12</v>
      </c>
      <c r="C17" s="277" t="str">
        <f>IF(AND('1.4 Analyse &amp; Synthese'!Q18=1,'1.4 Analyse &amp; Synthese'!F18="Empfehlung"),'1.4 Analyse &amp; Synthese'!I18&amp;CHAR(13)&amp;"("&amp;'(Codierung)'!$C$2&amp;" - "&amp;'1.4 Analyse &amp; Synthese'!C18&amp;")","")</f>
        <v/>
      </c>
      <c r="D17" s="222" t="str">
        <f t="array" ref="D17">_xlfn.IFNA(INDEX($C$6:$C$66,MATCH(0,COUNTIF($D$4:D16,$C$6:$C$66),0),1),"")</f>
        <v/>
      </c>
      <c r="E17" s="277" t="str">
        <f>IF(AND('1.4 Analyse &amp; Synthese'!Q18=1,'1.4 Analyse &amp; Synthese'!F18="Methode"),'1.4 Analyse &amp; Synthese'!I18&amp;CHAR(13)&amp;"("&amp;'(Codierung)'!$C$3&amp;" - "&amp;'1.4 Analyse &amp; Synthese'!C18&amp;")","")</f>
        <v/>
      </c>
      <c r="F17" s="277" t="str">
        <f t="array" ref="F17">_xlfn.IFNA(INDEX($E$6:$E$66,MATCH(0,COUNTIF($F$4:F16,$E$6:$E$66),0),1),"")</f>
        <v/>
      </c>
      <c r="G17" s="277" t="str">
        <f>IF(AND('1.4 Analyse &amp; Synthese'!Q18=1,'1.4 Analyse &amp; Synthese'!F18="Werkzeug"),'1.4 Analyse &amp; Synthese'!I18&amp;CHAR(13)&amp;"("&amp;'(Codierung)'!$C$4&amp;" - "&amp;'1.4 Analyse &amp; Synthese'!C18&amp;")","")</f>
        <v/>
      </c>
      <c r="H17" s="277" t="str">
        <f t="array" ref="H17">_xlfn.IFNA(INDEX($G$6:$G$66,MATCH(0,COUNTIF($H$4:H16,$G$6:$G$66),0),1),"")</f>
        <v/>
      </c>
      <c r="J17" s="277" t="str">
        <f>IF(AND('1.4 Analyse &amp; Synthese'!R18=1,'1.4 Analyse &amp; Synthese'!F18="Empfehlung"),'1.4 Analyse &amp; Synthese'!I18&amp;CHAR(13)&amp;"("&amp;'(Codierung)'!$C$2&amp;" - "&amp;'1.4 Analyse &amp; Synthese'!C18&amp;")","")</f>
        <v/>
      </c>
      <c r="K17" s="277" t="str">
        <f t="array" ref="K17">_xlfn.IFNA(INDEX($J$6:$J$66,MATCH(0,COUNTIF($K$4:K16,$J$6:$J$66),0),1),"")</f>
        <v/>
      </c>
      <c r="L17" s="277" t="str">
        <f>IF(AND('1.4 Analyse &amp; Synthese'!R18=1,'1.4 Analyse &amp; Synthese'!F18="Methode"),'1.4 Analyse &amp; Synthese'!I18&amp;CHAR(13)&amp;"("&amp;'(Codierung)'!$C$3&amp;" - "&amp;'1.4 Analyse &amp; Synthese'!C18&amp;")","")</f>
        <v/>
      </c>
      <c r="M17" s="277" t="str">
        <f t="array" ref="M17">_xlfn.IFNA(INDEX($L$6:$L$66,MATCH(0,COUNTIF($M$4:M16,$L$6:$L$66),0),1),"")</f>
        <v/>
      </c>
      <c r="N17" s="277" t="str">
        <f>IF(AND('1.4 Analyse &amp; Synthese'!R18=1,'1.4 Analyse &amp; Synthese'!F18="Werkzeug"),'1.4 Analyse &amp; Synthese'!I18&amp;CHAR(13)&amp;"("&amp;'(Codierung)'!$C$4&amp;" - "&amp;'1.4 Analyse &amp; Synthese'!C18&amp;")","")</f>
        <v/>
      </c>
      <c r="O17" s="277" t="str">
        <f t="array" ref="O17">_xlfn.IFNA(INDEX($N$6:$N$66,MATCH(0,COUNTIF($O$4:O16,$N$6:$N$66),0),1),"")</f>
        <v/>
      </c>
      <c r="Q17" s="277" t="str">
        <f>IF(AND('1.4 Analyse &amp; Synthese'!S18=1,'1.4 Analyse &amp; Synthese'!F18="Empfehlung"),'1.4 Analyse &amp; Synthese'!I18&amp;CHAR(13)&amp;"("&amp;'(Codierung)'!$C$2&amp;" - "&amp;'1.4 Analyse &amp; Synthese'!C18&amp;")","")</f>
        <v/>
      </c>
      <c r="R17" s="277" t="str">
        <f t="array" ref="R17">_xlfn.IFNA(INDEX($Q$6:$Q$66,MATCH(0,COUNTIF($R$4:R16,$Q$6:$Q$66),0),1),"")</f>
        <v/>
      </c>
      <c r="S17" s="277" t="str">
        <f>IF(AND('1.4 Analyse &amp; Synthese'!S18=1,'1.4 Analyse &amp; Synthese'!F18="Methode"),'1.4 Analyse &amp; Synthese'!I18&amp;CHAR(13)&amp;"("&amp;'(Codierung)'!$C$3&amp;" - "&amp;'1.4 Analyse &amp; Synthese'!C18&amp;")","")</f>
        <v/>
      </c>
      <c r="T17" s="277" t="str">
        <f t="array" ref="T17">_xlfn.IFNA(INDEX($S$6:$S$66,MATCH(0,COUNTIF($T$4:T16,$S$6:$S$66),0),1),"")</f>
        <v/>
      </c>
      <c r="U17" s="277" t="str">
        <f>IF(AND('1.4 Analyse &amp; Synthese'!S18=1,'1.4 Analyse &amp; Synthese'!F18="Werkzeug"),'1.4 Analyse &amp; Synthese'!I18&amp;CHAR(13)&amp;"("&amp;'(Codierung)'!$C$4&amp;" - "&amp;'1.4 Analyse &amp; Synthese'!C18&amp;")","")</f>
        <v/>
      </c>
      <c r="V17" s="277" t="str">
        <f t="array" ref="V17">_xlfn.IFNA(INDEX($U$6:$U$66,MATCH(0,COUNTIF($V$4:V16,$U$6:$U$66),0),1),"")</f>
        <v/>
      </c>
      <c r="X17" s="277" t="str">
        <f>IF(AND('1.4 Analyse &amp; Synthese'!T18=1,'1.4 Analyse &amp; Synthese'!F18="Empfehlung"),'1.4 Analyse &amp; Synthese'!I18&amp;CHAR(13)&amp;"("&amp;'(Codierung)'!$C$2&amp;" - "&amp;'1.4 Analyse &amp; Synthese'!C18&amp;")","")</f>
        <v/>
      </c>
      <c r="Y17" s="277" t="str">
        <f t="array" ref="Y17">_xlfn.IFNA(INDEX($X$6:$X$66,MATCH(0,COUNTIF($Y$4:Y16,$X$6:$X$66),0),1),"")</f>
        <v/>
      </c>
      <c r="Z17" s="277" t="str">
        <f>IF(AND('1.4 Analyse &amp; Synthese'!T18=1,'1.4 Analyse &amp; Synthese'!F18="Methode"),'1.4 Analyse &amp; Synthese'!I18&amp;CHAR(13)&amp;"("&amp;'(Codierung)'!$C$3&amp;" - "&amp;'1.4 Analyse &amp; Synthese'!C18&amp;")","")</f>
        <v/>
      </c>
      <c r="AA17" s="277" t="str">
        <f t="array" ref="AA17">_xlfn.IFNA(INDEX($Z$6:$Z$66,MATCH(0,COUNTIF($AA$4:AA16,$Z$6:$Z$66),0),1),"")</f>
        <v/>
      </c>
      <c r="AB17" s="277" t="str">
        <f>IF(AND('1.4 Analyse &amp; Synthese'!T18=1,'1.4 Analyse &amp; Synthese'!F18="Werkzeug"),'1.4 Analyse &amp; Synthese'!I18&amp;CHAR(13)&amp;"("&amp;'(Codierung)'!$C$4&amp;" - "&amp;'1.4 Analyse &amp; Synthese'!C18&amp;")","")</f>
        <v/>
      </c>
      <c r="AC17" s="277" t="str">
        <f t="array" ref="AC17">_xlfn.IFNA(INDEX($AB$6:$AB$66,MATCH(0,COUNTIF($AC$4:AC16,$AB$6:$AB$66),0),1),"")</f>
        <v/>
      </c>
      <c r="AE17" s="277" t="str">
        <f>IF(AND('1.4 Analyse &amp; Synthese'!U18=1,'1.4 Analyse &amp; Synthese'!F18="Empfehlung"),'1.4 Analyse &amp; Synthese'!I18&amp;CHAR(13)&amp;"("&amp;'(Codierung)'!$C$2&amp;" - "&amp;'1.4 Analyse &amp; Synthese'!C18&amp;")","")</f>
        <v/>
      </c>
      <c r="AF17" s="277" t="str">
        <f t="array" ref="AF17">_xlfn.IFNA(INDEX($AE$6:$AE$66,MATCH(0,COUNTIF($AF$4:AF16,$AE$6:$AE$66),0),1),"")</f>
        <v/>
      </c>
      <c r="AG17" s="277" t="str">
        <f>IF(AND('1.4 Analyse &amp; Synthese'!U18=1,'1.4 Analyse &amp; Synthese'!F18="Methode"),'1.4 Analyse &amp; Synthese'!I18&amp;CHAR(13)&amp;"("&amp;'(Codierung)'!$C$3&amp;" - "&amp;'1.4 Analyse &amp; Synthese'!C18&amp;")","")</f>
        <v/>
      </c>
      <c r="AH17" s="277" t="str">
        <f t="array" ref="AH17">_xlfn.IFNA(INDEX($AG$6:$AG$66,MATCH(0,COUNTIF($AH$4:AH16,$AG$6:$AG$66),0),1),"")</f>
        <v/>
      </c>
      <c r="AI17" s="277" t="str">
        <f>IF(AND('1.4 Analyse &amp; Synthese'!U18=1,'1.4 Analyse &amp; Synthese'!F18="Werkzeug"),'1.4 Analyse &amp; Synthese'!I18&amp;CHAR(13)&amp;"("&amp;'(Codierung)'!$C$4&amp;" - "&amp;'1.4 Analyse &amp; Synthese'!C18&amp;")","")</f>
        <v/>
      </c>
      <c r="AJ17" s="277" t="str">
        <f t="array" ref="AJ17">_xlfn.IFNA(INDEX($AI$6:$AI$66,MATCH(0,COUNTIF($AJ$4:AJ16,$AI$6:$AI$66),0),1),"")</f>
        <v/>
      </c>
      <c r="AL17" s="277" t="str">
        <f>IF(AND('1.4 Analyse &amp; Synthese'!V18=1,'1.4 Analyse &amp; Synthese'!F18="Empfehlung"),'1.4 Analyse &amp; Synthese'!I18&amp;CHAR(13)&amp;"("&amp;'(Codierung)'!$C$2&amp;" - "&amp;'1.4 Analyse &amp; Synthese'!C18&amp;")","")</f>
        <v/>
      </c>
      <c r="AM17" s="277" t="str">
        <f t="array" ref="AM17">_xlfn.IFNA(INDEX($AL$6:$AL$66,MATCH(0,COUNTIF($AM$4:AM16,$AL$6:$AL$66),0),1),"")</f>
        <v/>
      </c>
      <c r="AN17" s="277" t="str">
        <f>IF(AND('1.4 Analyse &amp; Synthese'!V18=1,'1.4 Analyse &amp; Synthese'!F18="Methode"),'1.4 Analyse &amp; Synthese'!I18&amp;CHAR(13)&amp;"("&amp;'(Codierung)'!$C$3&amp;" - "&amp;'1.4 Analyse &amp; Synthese'!C18&amp;")","")</f>
        <v/>
      </c>
      <c r="AO17" s="277" t="str">
        <f t="array" ref="AO17">_xlfn.IFNA(INDEX($AN$6:$AN$66,MATCH(0,COUNTIF($AO$4:AO16,$AN$6:$AN$66),0),1),"")</f>
        <v/>
      </c>
      <c r="AP17" s="277" t="str">
        <f>IF(AND('1.4 Analyse &amp; Synthese'!V18=1,'1.4 Analyse &amp; Synthese'!F18="Werkzeug"),'1.4 Analyse &amp; Synthese'!I18&amp;CHAR(13)&amp;"("&amp;'(Codierung)'!$C$4&amp;" - "&amp;'1.4 Analyse &amp; Synthese'!C18&amp;")","")</f>
        <v/>
      </c>
      <c r="AQ17" s="277" t="str">
        <f t="array" ref="AQ17">_xlfn.IFNA(INDEX($AP$6:$AP$66,MATCH(0,COUNTIF($AQ$4:AQ16,$AP$6:$AP$66),0),1),"")</f>
        <v/>
      </c>
      <c r="AS17" s="277" t="str">
        <f>IF(AND('1.4 Analyse &amp; Synthese'!W18=1,'1.4 Analyse &amp; Synthese'!F18="Empfehlung"),'1.4 Analyse &amp; Synthese'!I18&amp;CHAR(13)&amp;"("&amp;'(Codierung)'!$C$2&amp;" - "&amp;'1.4 Analyse &amp; Synthese'!C18&amp;")","")</f>
        <v/>
      </c>
      <c r="AT17" s="277" t="str">
        <f t="array" ref="AT17">_xlfn.IFNA(INDEX($AS$6:$AS$66,MATCH(0,COUNTIF($AT$4:AT16,$AS$6:$AS$66),0),1),"")</f>
        <v/>
      </c>
      <c r="AU17" s="277" t="str">
        <f>IF(AND('1.4 Analyse &amp; Synthese'!W18=1,'1.4 Analyse &amp; Synthese'!F18="Methode"),'1.4 Analyse &amp; Synthese'!I18&amp;CHAR(13)&amp;"("&amp;'(Codierung)'!$C$3&amp;" - "&amp;'1.4 Analyse &amp; Synthese'!C18&amp;")","")</f>
        <v/>
      </c>
      <c r="AV17" s="277" t="str">
        <f t="array" ref="AV17">_xlfn.IFNA(INDEX($AU$6:$AU$66,MATCH(0,COUNTIF($AV$4:AV16,$AU$6:$AU$66),0),1),"")</f>
        <v/>
      </c>
      <c r="AW17" s="277" t="str">
        <f>IF(AND('1.4 Analyse &amp; Synthese'!W18=1,'1.4 Analyse &amp; Synthese'!F18="Werkzeug"),'1.4 Analyse &amp; Synthese'!I18&amp;CHAR(13)&amp;"("&amp;'(Codierung)'!$C$4&amp;" - "&amp;'1.4 Analyse &amp; Synthese'!C18&amp;")","")</f>
        <v/>
      </c>
      <c r="AX17" s="277" t="str">
        <f t="array" ref="AX17">_xlfn.IFNA(INDEX($AW$6:$AW$66,MATCH(0,COUNTIF($AX$4:AX16,$AW$6:$AW$66),0),1),"")</f>
        <v/>
      </c>
      <c r="AZ17" s="277" t="str">
        <f>IF(AND('1.4 Analyse &amp; Synthese'!X18=1,'1.4 Analyse &amp; Synthese'!F18="Empfehlung"),'1.4 Analyse &amp; Synthese'!I18&amp;CHAR(13)&amp;"("&amp;'(Codierung)'!$C$2&amp;" - "&amp;'1.4 Analyse &amp; Synthese'!C18&amp;")","")</f>
        <v/>
      </c>
      <c r="BA17" s="277" t="str">
        <f t="array" ref="BA17">_xlfn.IFNA(INDEX($AZ$6:$AZ$66,MATCH(0,COUNTIF($BA$4:BA16,$AZ$6:$AZ$66),0),1),"")</f>
        <v/>
      </c>
      <c r="BB17" s="277" t="str">
        <f>IF(AND('1.4 Analyse &amp; Synthese'!X18=1,'1.4 Analyse &amp; Synthese'!F18="Methode"),'1.4 Analyse &amp; Synthese'!I18&amp;CHAR(13)&amp;"("&amp;'(Codierung)'!$C$3&amp;" - "&amp;'1.4 Analyse &amp; Synthese'!C18&amp;")","")</f>
        <v/>
      </c>
      <c r="BC17" s="277" t="str">
        <f t="array" ref="BC17">_xlfn.IFNA(INDEX($BB$6:$BB$66,MATCH(0,COUNTIF($BC$4:BC16,$BB$6:$BB$66),0),1),"")</f>
        <v/>
      </c>
      <c r="BD17" s="277" t="str">
        <f>IF(AND('1.4 Analyse &amp; Synthese'!X18=1,'1.4 Analyse &amp; Synthese'!F18="Werkzeug"),'1.4 Analyse &amp; Synthese'!I18&amp;CHAR(13)&amp;"("&amp;'(Codierung)'!$C$4&amp;" - "&amp;'1.4 Analyse &amp; Synthese'!C18&amp;")","")</f>
        <v/>
      </c>
      <c r="BE17" s="277" t="str">
        <f t="array" ref="BE17">_xlfn.IFNA(INDEX($BD$6:$BD$66,MATCH(0,COUNTIF($BE$4:BE16,$BD$6:$BD$66),0),1),"")</f>
        <v/>
      </c>
      <c r="BG17" s="277" t="str">
        <f>IF(AND('1.4 Analyse &amp; Synthese'!Y18=1,'1.4 Analyse &amp; Synthese'!F18="Empfehlung"),'1.4 Analyse &amp; Synthese'!I18&amp;CHAR(13)&amp;"("&amp;'(Codierung)'!$C$2&amp;" - "&amp;'1.4 Analyse &amp; Synthese'!C18&amp;")","")</f>
        <v/>
      </c>
      <c r="BH17" s="277" t="str">
        <f t="array" ref="BH17">_xlfn.IFNA(INDEX($BG$6:$BG$66,MATCH(0,COUNTIF($BH$4:BH16,$BG$6:$BG$66),0),1),"")</f>
        <v/>
      </c>
      <c r="BI17" s="277" t="str">
        <f>IF(AND('1.4 Analyse &amp; Synthese'!Y18=1,'1.4 Analyse &amp; Synthese'!F18="Methode"),'1.4 Analyse &amp; Synthese'!I18&amp;CHAR(13)&amp;"("&amp;'(Codierung)'!$C$3&amp;" - "&amp;'1.4 Analyse &amp; Synthese'!C18&amp;")","")</f>
        <v/>
      </c>
      <c r="BJ17" s="277" t="str">
        <f t="array" ref="BJ17">_xlfn.IFNA(INDEX($BI$6:$BI$66,MATCH(0,COUNTIF($BJ$4:BJ16,$BI$6:$BI$66),0),1),"")</f>
        <v/>
      </c>
      <c r="BK17" s="277" t="str">
        <f>IF(AND('1.4 Analyse &amp; Synthese'!Y18=1,'1.4 Analyse &amp; Synthese'!F18="Werkzeug"),'1.4 Analyse &amp; Synthese'!I18&amp;CHAR(13)&amp;"("&amp;'(Codierung)'!$C$4&amp;" - "&amp;'1.4 Analyse &amp; Synthese'!C18&amp;")","")</f>
        <v/>
      </c>
      <c r="BL17" s="277" t="str">
        <f t="array" ref="BL17">_xlfn.IFNA(INDEX($BK$6:$BK$66,MATCH(0,COUNTIF($BL$4:BL16,$BK$6:$BK$66),0),1),"")</f>
        <v/>
      </c>
      <c r="BN17" s="277" t="str">
        <f>IF(AND('1.4 Analyse &amp; Synthese'!Z18=1,'1.4 Analyse &amp; Synthese'!F18="Empfehlung"),'1.4 Analyse &amp; Synthese'!I18&amp;CHAR(13)&amp;"("&amp;'(Codierung)'!$C$2&amp;" - "&amp;'1.4 Analyse &amp; Synthese'!C18&amp;")","")</f>
        <v/>
      </c>
      <c r="BO17" s="277" t="str">
        <f t="array" ref="BO17">_xlfn.IFNA(INDEX($BN$6:$BN$66,MATCH(0,COUNTIF($BO$4:BO16,$BN$6:$BN$66),0),1),"")</f>
        <v/>
      </c>
      <c r="BP17" s="277" t="str">
        <f>IF(AND('1.4 Analyse &amp; Synthese'!Z18=1,'1.4 Analyse &amp; Synthese'!F18="Methode"),'1.4 Analyse &amp; Synthese'!I18&amp;CHAR(13)&amp;"("&amp;'(Codierung)'!$C$3&amp;" - "&amp;'1.4 Analyse &amp; Synthese'!C18&amp;")","")</f>
        <v/>
      </c>
      <c r="BQ17" s="277" t="str">
        <f t="array" ref="BQ17">_xlfn.IFNA(INDEX($BP$6:$BP$66,MATCH(0,COUNTIF($BQ$4:BQ16,$BP$6:$BP$66),0),1),"")</f>
        <v/>
      </c>
      <c r="BR17" s="277" t="str">
        <f>IF(AND('1.4 Analyse &amp; Synthese'!Z18=1,'1.4 Analyse &amp; Synthese'!F18="Werkzeug"),'1.4 Analyse &amp; Synthese'!I18&amp;CHAR(13)&amp;"("&amp;'(Codierung)'!$C$4&amp;" - "&amp;'1.4 Analyse &amp; Synthese'!C18&amp;")","")</f>
        <v/>
      </c>
      <c r="BS17" s="277" t="str">
        <f t="array" ref="BS17">_xlfn.IFNA(INDEX($BR$6:$BR$66,MATCH(0,COUNTIF($BS$4:BS16,$BR$6:$BR$66),0),1),"")</f>
        <v/>
      </c>
      <c r="BU17" s="277" t="str">
        <f>IF(AND('1.4 Analyse &amp; Synthese'!AA18=1,'1.4 Analyse &amp; Synthese'!F18="Empfehlung"),'1.4 Analyse &amp; Synthese'!I18&amp;CHAR(13)&amp;"("&amp;'(Codierung)'!$C$2&amp;" - "&amp;'1.4 Analyse &amp; Synthese'!C18&amp;")","")</f>
        <v/>
      </c>
      <c r="BV17" s="277" t="str">
        <f t="array" ref="BV17">_xlfn.IFNA(INDEX($BU$6:$BU$66,MATCH(0,COUNTIF($BV$4:BV16,$BU$6:$BU$66),0),1),"")</f>
        <v/>
      </c>
      <c r="BW17" s="277" t="str">
        <f>IF(AND('1.4 Analyse &amp; Synthese'!AA18=1,'1.4 Analyse &amp; Synthese'!F18="Methode"),'1.4 Analyse &amp; Synthese'!I18&amp;CHAR(13)&amp;"("&amp;'(Codierung)'!$C$3&amp;" - "&amp;'1.4 Analyse &amp; Synthese'!C18&amp;")","")</f>
        <v/>
      </c>
      <c r="BX17" s="277" t="str">
        <f t="array" ref="BX17">_xlfn.IFNA(INDEX($BW$6:$BW$66,MATCH(0,COUNTIF($BX$4:BX16,$BW$6:$BW$66),0),1),"")</f>
        <v/>
      </c>
      <c r="BY17" s="277" t="str">
        <f>IF(AND('1.4 Analyse &amp; Synthese'!AA18=1,'1.4 Analyse &amp; Synthese'!F18="Werkzeug"),'1.4 Analyse &amp; Synthese'!I18&amp;CHAR(13)&amp;"("&amp;'(Codierung)'!$C$4&amp;" - "&amp;'1.4 Analyse &amp; Synthese'!C18&amp;")","")</f>
        <v/>
      </c>
      <c r="BZ17" s="277" t="str">
        <f t="array" ref="BZ17">_xlfn.IFNA(INDEX($BY$6:$BY$66,MATCH(0,COUNTIF($BZ$4:BZ16,$BY$6:$BY$66),0),1),"")</f>
        <v/>
      </c>
      <c r="CB17" s="277" t="str">
        <f>IF(AND('1.4 Analyse &amp; Synthese'!AB18=1,'1.4 Analyse &amp; Synthese'!F18="Empfehlung"),'1.4 Analyse &amp; Synthese'!I18&amp;CHAR(13)&amp;"("&amp;'(Codierung)'!$C$2&amp;" - "&amp;'1.4 Analyse &amp; Synthese'!C18&amp;")","")</f>
        <v/>
      </c>
      <c r="CC17" s="277" t="str">
        <f t="array" ref="CC17">_xlfn.IFNA(INDEX($CB$6:$CB$66,MATCH(0,COUNTIF($CC$4:CC16,$CB$6:$CB$66),0),1),"")</f>
        <v/>
      </c>
      <c r="CD17" s="277" t="str">
        <f>IF(AND('1.4 Analyse &amp; Synthese'!AB18=1,'1.4 Analyse &amp; Synthese'!F18="Methode"),'1.4 Analyse &amp; Synthese'!I18&amp;CHAR(13)&amp;"("&amp;'(Codierung)'!$C$3&amp;" - "&amp;'1.4 Analyse &amp; Synthese'!C18&amp;")","")</f>
        <v/>
      </c>
      <c r="CE17" s="277" t="str">
        <f t="array" ref="CE17">_xlfn.IFNA(INDEX($CD$6:$CD$66,MATCH(0,COUNTIF($CE$4:CE16,$CD$6:$CD$66),0),1),"")</f>
        <v/>
      </c>
      <c r="CF17" s="277" t="str">
        <f>IF(AND('1.4 Analyse &amp; Synthese'!AB18=1,'1.4 Analyse &amp; Synthese'!F18="Werkzeug"),'1.4 Analyse &amp; Synthese'!I18&amp;CHAR(13)&amp;"("&amp;'(Codierung)'!$C$4&amp;" - "&amp;'1.4 Analyse &amp; Synthese'!C18&amp;")","")</f>
        <v/>
      </c>
      <c r="CG17" s="277" t="str">
        <f t="array" ref="CG17">_xlfn.IFNA(INDEX($CF$6:$CF$66,MATCH(0,COUNTIF($CG$4:CG16,$CF$6:$CF$66),0),1),"")</f>
        <v/>
      </c>
      <c r="CI17" s="277" t="str">
        <f>IF(AND('1.4 Analyse &amp; Synthese'!AC18=1,'1.4 Analyse &amp; Synthese'!F18="Empfehlung"),'1.4 Analyse &amp; Synthese'!I18&amp;CHAR(13)&amp;"("&amp;'(Codierung)'!$C$2&amp;" - "&amp;'1.4 Analyse &amp; Synthese'!C18&amp;")","")</f>
        <v/>
      </c>
      <c r="CJ17" s="277" t="str">
        <f t="array" ref="CJ17">_xlfn.IFNA(INDEX($CI$6:$CI$66,MATCH(0,COUNTIF($CJ$4:CJ16,$CI$6:$CI$66),0),1),"")</f>
        <v/>
      </c>
      <c r="CK17" s="277" t="str">
        <f>IF(AND('1.4 Analyse &amp; Synthese'!AC18=1,'1.4 Analyse &amp; Synthese'!F18="Methode"),'1.4 Analyse &amp; Synthese'!I18&amp;CHAR(13)&amp;"("&amp;'(Codierung)'!$C$3&amp;" - "&amp;'1.4 Analyse &amp; Synthese'!C18&amp;")","")</f>
        <v/>
      </c>
      <c r="CL17" s="277" t="str">
        <f t="array" ref="CL17">_xlfn.IFNA(INDEX($CK$6:$CK$66,MATCH(0,COUNTIF($CL$4:CL16,$CK$6:$CK$66),0),1),"")</f>
        <v/>
      </c>
      <c r="CM17" s="277" t="str">
        <f>IF(AND('1.4 Analyse &amp; Synthese'!AC18=1,'1.4 Analyse &amp; Synthese'!F18="Werkzeug"),'1.4 Analyse &amp; Synthese'!I18&amp;CHAR(13)&amp;"("&amp;'(Codierung)'!$C$4&amp;" - "&amp;'1.4 Analyse &amp; Synthese'!C18&amp;")","")</f>
        <v/>
      </c>
      <c r="CN17" s="277" t="str">
        <f t="array" ref="CN17">_xlfn.IFNA(INDEX($CM$6:$CM$66,MATCH(0,COUNTIF($CN$4:CN16,$CM$6:$CM$66),0),1),"")</f>
        <v/>
      </c>
      <c r="CP17" s="277" t="str">
        <f>IF(AND('1.4 Analyse &amp; Synthese'!AD18=1,'1.4 Analyse &amp; Synthese'!F18="Empfehlung"),'1.4 Analyse &amp; Synthese'!I18&amp;CHAR(13)&amp;"("&amp;'(Codierung)'!$C$2&amp;" - "&amp;'1.4 Analyse &amp; Synthese'!C18&amp;")","")</f>
        <v>Application Programming Interface_x000D_(Empfehlung - Demchenko)</v>
      </c>
      <c r="CQ17" s="277" t="str">
        <f t="array" ref="CQ17">_xlfn.IFNA(INDEX($CP$6:$CP$66,MATCH(0,COUNTIF($CQ$4:CQ16,$CP$6:$CP$66),0),1),"")</f>
        <v/>
      </c>
      <c r="CR17" s="277" t="str">
        <f>IF(AND('1.4 Analyse &amp; Synthese'!AD18=1,'1.4 Analyse &amp; Synthese'!F18="Methode"),'1.4 Analyse &amp; Synthese'!I18&amp;CHAR(13)&amp;"("&amp;'(Codierung)'!$C$3&amp;" - "&amp;'1.4 Analyse &amp; Synthese'!C18&amp;")","")</f>
        <v/>
      </c>
      <c r="CS17" s="277" t="str">
        <f t="array" ref="CS17">_xlfn.IFNA(INDEX($CR$6:$CR$66,MATCH(0,COUNTIF($CS$4:CS16,$CR$6:$CR$66),0),1),"")</f>
        <v/>
      </c>
      <c r="CT17" s="277" t="str">
        <f>IF(AND('1.4 Analyse &amp; Synthese'!AD18=1,'1.4 Analyse &amp; Synthese'!F18="Werkzeug"),'1.4 Analyse &amp; Synthese'!I18&amp;CHAR(13)&amp;"("&amp;'(Codierung)'!$C$4&amp;" - "&amp;'1.4 Analyse &amp; Synthese'!C18&amp;")","")</f>
        <v/>
      </c>
      <c r="CU17" s="277" t="str">
        <f t="array" ref="CU17">_xlfn.IFNA(INDEX($CT$6:$CT$66,MATCH(0,COUNTIF($CU$4:CU16,$CT$6:$CT$66),0),1),"")</f>
        <v/>
      </c>
      <c r="CW17" s="277" t="str">
        <f>IF(AND('1.4 Analyse &amp; Synthese'!AE18=1,'1.4 Analyse &amp; Synthese'!F18="Empfehlung"),'1.4 Analyse &amp; Synthese'!I18&amp;CHAR(13)&amp;"("&amp;'(Codierung)'!$C$2&amp;" - "&amp;'1.4 Analyse &amp; Synthese'!C18&amp;")","")</f>
        <v>Application Programming Interface_x000D_(Empfehlung - Demchenko)</v>
      </c>
      <c r="CX17" s="277" t="str">
        <f t="array" ref="CX17">_xlfn.IFNA(INDEX($CW$6:$CW$66,MATCH(0,COUNTIF($CX$4:CX16,$CW$6:$CW$66),0),1),"")</f>
        <v/>
      </c>
      <c r="CY17" s="277" t="str">
        <f>IF(AND('1.4 Analyse &amp; Synthese'!AE18=1,'1.4 Analyse &amp; Synthese'!F18="Methode"),'1.4 Analyse &amp; Synthese'!I18&amp;CHAR(13)&amp;"("&amp;'(Codierung)'!$C$3&amp;" - "&amp;'1.4 Analyse &amp; Synthese'!C18&amp;")","")</f>
        <v/>
      </c>
      <c r="CZ17" s="277" t="str">
        <f t="array" ref="CZ17">_xlfn.IFNA(INDEX($CY$6:$CY$66,MATCH(0,COUNTIF($CZ$4:CZ16,$CY$6:$CY$66),0),1),"")</f>
        <v/>
      </c>
      <c r="DA17" s="277" t="str">
        <f>IF(AND('1.4 Analyse &amp; Synthese'!AE18=1,'1.4 Analyse &amp; Synthese'!F18="Werkzeug"),'1.4 Analyse &amp; Synthese'!I18&amp;CHAR(13)&amp;"("&amp;'(Codierung)'!$C$4&amp;" - "&amp;'1.4 Analyse &amp; Synthese'!C18&amp;")","")</f>
        <v/>
      </c>
      <c r="DB17" s="277" t="str">
        <f t="array" ref="DB17">_xlfn.IFNA(INDEX($DA$6:$DA$66,MATCH(0,COUNTIF($DB$4:DB16,$DA$6:$DA$66),0),1),"")</f>
        <v/>
      </c>
      <c r="DD17" s="277" t="str">
        <f>IF(AND('1.4 Analyse &amp; Synthese'!AF18=1,'1.4 Analyse &amp; Synthese'!F18="Empfehlung"),'1.4 Analyse &amp; Synthese'!I18&amp;CHAR(13)&amp;"("&amp;'(Codierung)'!$C$2&amp;" - "&amp;'1.4 Analyse &amp; Synthese'!C18&amp;")","")</f>
        <v/>
      </c>
      <c r="DE17" s="277" t="str">
        <f t="array" ref="DE17">_xlfn.IFNA(INDEX($DD$6:$DD$66,MATCH(0,COUNTIF($DE$4:DE16,$DD$6:$DD$66),0),1),"")</f>
        <v/>
      </c>
      <c r="DF17" s="277" t="str">
        <f>IF(AND('1.4 Analyse &amp; Synthese'!AF18=1,'1.4 Analyse &amp; Synthese'!F18="Methode"),'1.4 Analyse &amp; Synthese'!I18&amp;CHAR(13)&amp;"("&amp;'(Codierung)'!$C$3&amp;" - "&amp;'1.4 Analyse &amp; Synthese'!C18&amp;")","")</f>
        <v/>
      </c>
      <c r="DG17" s="277" t="str">
        <f t="array" ref="DG17">_xlfn.IFNA(INDEX($DF$6:$DF$66,MATCH(0,COUNTIF($DG$4:DG16,$DF$6:$DF$66),0),1),"")</f>
        <v/>
      </c>
      <c r="DH17" s="277" t="str">
        <f>IF(AND('1.4 Analyse &amp; Synthese'!AF18=1,'1.4 Analyse &amp; Synthese'!F18="Werkzeug"),'1.4 Analyse &amp; Synthese'!I18&amp;CHAR(13)&amp;"("&amp;'(Codierung)'!$C$4&amp;" - "&amp;'1.4 Analyse &amp; Synthese'!C18&amp;")","")</f>
        <v/>
      </c>
      <c r="DI17" s="277" t="str">
        <f t="array" ref="DI17">_xlfn.IFNA(INDEX($DH$6:$DH$66,MATCH(0,COUNTIF($DI$4:DI16,$DH$6:$DH$66),0),1),"")</f>
        <v/>
      </c>
      <c r="DK17" s="277" t="str">
        <f>IF(AND('1.4 Analyse &amp; Synthese'!AG18=1,'1.4 Analyse &amp; Synthese'!F18="Empfehlung"),'1.4 Analyse &amp; Synthese'!I18&amp;CHAR(13)&amp;"("&amp;'(Codierung)'!$C$2&amp;" - "&amp;'1.4 Analyse &amp; Synthese'!C18&amp;")","")</f>
        <v>Application Programming Interface_x000D_(Empfehlung - Demchenko)</v>
      </c>
      <c r="DL17" s="277" t="str">
        <f t="array" ref="DL17">_xlfn.IFNA(INDEX($DK$6:$DK$66,MATCH(0,COUNTIF($DL$4:DL16,$DK$6:$DK$66),0),1),"")</f>
        <v>Monitoring System_x000D_(Empfehlung - Stefano)</v>
      </c>
      <c r="DM17" s="277" t="str">
        <f>IF(AND('1.4 Analyse &amp; Synthese'!AG18=1,'1.4 Analyse &amp; Synthese'!F18="Methode"),'1.4 Analyse &amp; Synthese'!I18&amp;CHAR(13)&amp;"("&amp;'(Codierung)'!$C$3&amp;" - "&amp;'1.4 Analyse &amp; Synthese'!C18&amp;")","")</f>
        <v/>
      </c>
      <c r="DN17" s="277" t="str">
        <f t="array" ref="DN17">_xlfn.IFNA(INDEX($DM$6:$DM$66,MATCH(0,COUNTIF($DN$4:DN16,$DM$6:$DM$66),0),1),"")</f>
        <v/>
      </c>
      <c r="DO17" s="277" t="str">
        <f>IF(AND('1.4 Analyse &amp; Synthese'!AG18=1,'1.4 Analyse &amp; Synthese'!F18="Werkzeug"),'1.4 Analyse &amp; Synthese'!I18&amp;CHAR(13)&amp;"("&amp;'(Codierung)'!$C$4&amp;" - "&amp;'1.4 Analyse &amp; Synthese'!C18&amp;")","")</f>
        <v/>
      </c>
      <c r="DP17" s="277" t="str">
        <f t="array" ref="DP17">_xlfn.IFNA(INDEX($DO$6:$DO$66,MATCH(0,COUNTIF($DP$4:DP16,$DO$6:$DO$66),0),1),"")</f>
        <v/>
      </c>
      <c r="DR17" s="277" t="str">
        <f>IF(AND('1.4 Analyse &amp; Synthese'!AH18=1,'1.4 Analyse &amp; Synthese'!F18="Empfehlung"),'1.4 Analyse &amp; Synthese'!I18&amp;CHAR(13)&amp;"("&amp;'(Codierung)'!$C$2&amp;" - "&amp;'1.4 Analyse &amp; Synthese'!C18&amp;")","")</f>
        <v/>
      </c>
      <c r="DS17" s="277" t="str">
        <f t="array" ref="DS17">_xlfn.IFNA(INDEX($DR$6:$DR$66,MATCH(0,COUNTIF($DS$4:DS16,$DR$6:$DR$66),0),1),"")</f>
        <v/>
      </c>
      <c r="DT17" s="277" t="str">
        <f>IF(AND('1.4 Analyse &amp; Synthese'!AH18=1,'1.4 Analyse &amp; Synthese'!F18="Methode"),'1.4 Analyse &amp; Synthese'!I18&amp;CHAR(13)&amp;"("&amp;'(Codierung)'!$C$3&amp;" - "&amp;'1.4 Analyse &amp; Synthese'!C18&amp;")","")</f>
        <v/>
      </c>
      <c r="DU17" s="277" t="str">
        <f t="array" ref="DU17">_xlfn.IFNA(INDEX($DT$6:$DT$66,MATCH(0,COUNTIF($DU$4:DU16,$DT$6:$DT$66),0),1),"")</f>
        <v/>
      </c>
      <c r="DV17" s="277" t="str">
        <f>IF(AND('1.4 Analyse &amp; Synthese'!AH18=1,'1.4 Analyse &amp; Synthese'!F18="Werkzeug"),'1.4 Analyse &amp; Synthese'!I18&amp;CHAR(13)&amp;"("&amp;'(Codierung)'!$C$4&amp;" - "&amp;'1.4 Analyse &amp; Synthese'!C18&amp;")","")</f>
        <v/>
      </c>
      <c r="DW17" s="277" t="str">
        <f t="array" ref="DW17">_xlfn.IFNA(INDEX($DV$6:$DV$66,MATCH(0,COUNTIF($DW$4:DW16,$DV$6:$DV$66),0),1),"")</f>
        <v/>
      </c>
      <c r="DY17" s="277" t="str">
        <f>IF(AND('1.4 Analyse &amp; Synthese'!AI18=1,'1.4 Analyse &amp; Synthese'!F18="Empfehlung"),'1.4 Analyse &amp; Synthese'!I18&amp;CHAR(13)&amp;"("&amp;'(Codierung)'!$C$2&amp;" - "&amp;'1.4 Analyse &amp; Synthese'!C18&amp;")","")</f>
        <v>Application Programming Interface_x000D_(Empfehlung - Demchenko)</v>
      </c>
      <c r="DZ17" s="277" t="str">
        <f t="array" ref="DZ17">_xlfn.IFNA(INDEX($DY$6:$DY$66,MATCH(0,COUNTIF($DZ$4:DZ16,$DY$6:$DY$66),0),1),"")</f>
        <v>Monitoring System_x000D_(Empfehlung - Stefano)</v>
      </c>
      <c r="EA17" s="277" t="str">
        <f>IF(AND('1.4 Analyse &amp; Synthese'!AI18=1,'1.4 Analyse &amp; Synthese'!F18="Methode"),'1.4 Analyse &amp; Synthese'!I18&amp;CHAR(13)&amp;"("&amp;'(Codierung)'!$C$3&amp;" - "&amp;'1.4 Analyse &amp; Synthese'!C18&amp;")","")</f>
        <v/>
      </c>
      <c r="EB17" s="277" t="str">
        <f t="array" ref="EB17">_xlfn.IFNA(INDEX($EA$6:$EA$66,MATCH(0,COUNTIF($EB$4:EB16,$EA$6:$EA$66),0),1),"")</f>
        <v/>
      </c>
      <c r="EC17" s="277" t="str">
        <f>IF(AND('1.4 Analyse &amp; Synthese'!AI18=1,'1.4 Analyse &amp; Synthese'!F18="Werkzeug"),'1.4 Analyse &amp; Synthese'!I18&amp;CHAR(13)&amp;"("&amp;'(Codierung)'!$C$4&amp;" - "&amp;'1.4 Analyse &amp; Synthese'!C18&amp;")","")</f>
        <v/>
      </c>
      <c r="ED17" s="277" t="str">
        <f t="array" ref="ED17">_xlfn.IFNA(INDEX($EC$6:$EC$66,MATCH(0,COUNTIF($ED$4:ED16,$EC$6:$EC$66),0),1),"")</f>
        <v/>
      </c>
      <c r="EF17" s="277" t="str">
        <f>IF(AND('1.4 Analyse &amp; Synthese'!AJ18=1,'1.4 Analyse &amp; Synthese'!F18="Empfehlung"),'1.4 Analyse &amp; Synthese'!I18&amp;CHAR(13)&amp;"("&amp;'(Codierung)'!$C$2&amp;" - "&amp;'1.4 Analyse &amp; Synthese'!C18&amp;")","")</f>
        <v/>
      </c>
      <c r="EG17" s="277" t="str">
        <f t="array" ref="EG17">_xlfn.IFNA(INDEX($EF$6:$EF$66,MATCH(0,COUNTIF($EG$4:EG16,$EF$6:$EF$66),0),1),"")</f>
        <v/>
      </c>
      <c r="EH17" s="277" t="str">
        <f>IF(AND('1.4 Analyse &amp; Synthese'!AJ18=1,'1.4 Analyse &amp; Synthese'!F18="Methode"),'1.4 Analyse &amp; Synthese'!I18&amp;CHAR(13)&amp;"("&amp;'(Codierung)'!$C$3&amp;" - "&amp;'1.4 Analyse &amp; Synthese'!C18&amp;")","")</f>
        <v/>
      </c>
      <c r="EI17" s="277" t="str">
        <f t="array" ref="EI17">_xlfn.IFNA(INDEX($EH$6:$EH$66,MATCH(0,COUNTIF($EI$4:EI16,$EH$6:$EH$66),0),1),"")</f>
        <v/>
      </c>
      <c r="EJ17" s="277" t="str">
        <f>IF(AND('1.4 Analyse &amp; Synthese'!AJ18=1,'1.4 Analyse &amp; Synthese'!F18="Werkzeug"),'1.4 Analyse &amp; Synthese'!I18&amp;CHAR(13)&amp;"("&amp;'(Codierung)'!$C$4&amp;" - "&amp;'1.4 Analyse &amp; Synthese'!C18&amp;")","")</f>
        <v/>
      </c>
      <c r="EK17" s="277" t="str">
        <f t="array" ref="EK17">_xlfn.IFNA(INDEX($EJ$6:$EJ$66,MATCH(0,COUNTIF($EK$4:EK16,$EJ$6:$EJ$66),0),1),"")</f>
        <v/>
      </c>
      <c r="EN17" s="222" t="str">
        <f t="shared" si="0"/>
        <v/>
      </c>
      <c r="EO17" s="277" t="str">
        <f t="shared" si="1"/>
        <v/>
      </c>
      <c r="EP17" s="277" t="str">
        <f t="shared" si="2"/>
        <v/>
      </c>
      <c r="EQ17" s="277" t="str">
        <f>ZahlenInBereich(Tabelle1[[Empfehlung]:[Werkzeug]],ROW()-5)</f>
        <v/>
      </c>
      <c r="ER17" s="277" t="str">
        <f t="shared" si="3"/>
        <v/>
      </c>
      <c r="ES17" s="277" t="str">
        <f t="shared" si="4"/>
        <v/>
      </c>
      <c r="ET17" s="277" t="str">
        <f t="shared" si="5"/>
        <v/>
      </c>
      <c r="EU17" s="277" t="str">
        <f>ZahlenInBereich(Tabelle1[[Empfehlung2]:[Werkzeug4]],ROW()-5)</f>
        <v/>
      </c>
      <c r="EV17" s="277" t="str">
        <f t="shared" si="6"/>
        <v/>
      </c>
      <c r="EW17" s="277" t="str">
        <f t="shared" si="7"/>
        <v/>
      </c>
      <c r="EX17" s="277" t="str">
        <f t="shared" si="8"/>
        <v/>
      </c>
      <c r="EY17" s="277" t="str">
        <f>ZahlenInBereich(Tabelle1[[Empfehlung6]:[Werkzeug8]],ROW()-5)</f>
        <v>Monitoring System_x000D_(Methode - Al-Hazmi )</v>
      </c>
      <c r="EZ17" s="277" t="str">
        <f t="shared" si="9"/>
        <v/>
      </c>
      <c r="FA17" s="277" t="str">
        <f t="shared" si="10"/>
        <v/>
      </c>
      <c r="FB17" s="277" t="str">
        <f t="shared" si="11"/>
        <v/>
      </c>
      <c r="FC17" s="277" t="str">
        <f>ZahlenInBereich(Tabelle1[[Empfehlung10]:[Werkzeug12]],ROW()-5)</f>
        <v/>
      </c>
      <c r="FD17" s="277" t="str">
        <f t="shared" si="12"/>
        <v/>
      </c>
      <c r="FE17" s="277" t="str">
        <f t="shared" si="13"/>
        <v/>
      </c>
      <c r="FF17" s="277" t="str">
        <f t="shared" si="14"/>
        <v/>
      </c>
      <c r="FG17" s="277" t="str">
        <f>ZahlenInBereich(Tabelle1[[Empfehlung14]:[Werkzeug16]],ROW()-5)</f>
        <v/>
      </c>
      <c r="FH17" s="277" t="str">
        <f t="shared" si="15"/>
        <v/>
      </c>
      <c r="FI17" s="277" t="str">
        <f t="shared" si="16"/>
        <v/>
      </c>
      <c r="FJ17" s="277" t="str">
        <f t="shared" si="17"/>
        <v/>
      </c>
      <c r="FK17" s="277" t="str">
        <f>ZahlenInBereich(Tabelle1[[Empfehlung18]:[Werkzeug20]],ROW()-5)</f>
        <v/>
      </c>
      <c r="FL17" s="277" t="str">
        <f t="shared" si="18"/>
        <v/>
      </c>
      <c r="FM17" s="277" t="str">
        <f t="shared" si="19"/>
        <v/>
      </c>
      <c r="FN17" s="277" t="str">
        <f t="shared" si="20"/>
        <v/>
      </c>
      <c r="FO17" s="277" t="str">
        <f>ZahlenInBereich(Tabelle1[[Empfehlung22]:[Werkzeug24]],ROW()-5)</f>
        <v/>
      </c>
      <c r="FP17" s="277" t="str">
        <f t="shared" si="21"/>
        <v/>
      </c>
      <c r="FQ17" s="277" t="str">
        <f t="shared" si="22"/>
        <v/>
      </c>
      <c r="FR17" s="277" t="str">
        <f t="shared" si="23"/>
        <v/>
      </c>
      <c r="FS17" s="277" t="str">
        <f>ZahlenInBereich(Tabelle1[[Empfehlung26]:[Werkzeug28]],ROW()-5)</f>
        <v/>
      </c>
      <c r="FT17" s="277" t="str">
        <f t="shared" si="24"/>
        <v/>
      </c>
      <c r="FU17" s="277" t="str">
        <f t="shared" si="25"/>
        <v/>
      </c>
      <c r="FV17" s="277" t="str">
        <f t="shared" si="26"/>
        <v/>
      </c>
      <c r="FW17" s="277" t="str">
        <f>ZahlenInBereich(Tabelle1[[Empfehlung30]:[Werkzeug32]],ROW()-5)</f>
        <v/>
      </c>
      <c r="FX17" s="277" t="str">
        <f t="shared" si="27"/>
        <v/>
      </c>
      <c r="FY17" s="277" t="str">
        <f t="shared" si="28"/>
        <v/>
      </c>
      <c r="FZ17" s="277" t="str">
        <f t="shared" si="29"/>
        <v/>
      </c>
      <c r="GA17" s="277" t="str">
        <f>ZahlenInBereich(Tabelle1[[Empfehlung34]:[Werkzeug36]],ROW()-5)</f>
        <v/>
      </c>
      <c r="GB17" s="277" t="str">
        <f t="shared" si="30"/>
        <v/>
      </c>
      <c r="GC17" s="277" t="str">
        <f t="shared" si="31"/>
        <v/>
      </c>
      <c r="GD17" s="277" t="str">
        <f t="shared" si="32"/>
        <v/>
      </c>
      <c r="GE17" s="277" t="str">
        <f>ZahlenInBereich(Tabelle1[[Empfehlung38]:[Werkzeug40]],ROW()-5)</f>
        <v/>
      </c>
      <c r="GF17" s="277" t="str">
        <f t="shared" si="33"/>
        <v/>
      </c>
      <c r="GG17" s="277" t="str">
        <f t="shared" si="34"/>
        <v/>
      </c>
      <c r="GH17" s="277" t="str">
        <f t="shared" si="35"/>
        <v/>
      </c>
      <c r="GI17" s="277" t="str">
        <f>ZahlenInBereich(Tabelle1[[Empfehlung42]:[Werkzeug44]],ROW()-5)</f>
        <v/>
      </c>
      <c r="GJ17" s="277" t="str">
        <f t="shared" si="36"/>
        <v/>
      </c>
      <c r="GK17" s="277" t="str">
        <f t="shared" si="37"/>
        <v/>
      </c>
      <c r="GL17" s="277" t="str">
        <f t="shared" si="38"/>
        <v/>
      </c>
      <c r="GM17" s="277" t="str">
        <f>ZahlenInBereich(Tabelle1[[Empfehlung46]:[Werkzeug48]],ROW()-5)</f>
        <v/>
      </c>
      <c r="GN17" s="277" t="str">
        <f t="shared" si="39"/>
        <v/>
      </c>
      <c r="GO17" s="277" t="str">
        <f t="shared" si="40"/>
        <v/>
      </c>
      <c r="GP17" s="277" t="str">
        <f t="shared" si="41"/>
        <v/>
      </c>
      <c r="GQ17" s="277" t="str">
        <f>ZahlenInBereich(Tabelle1[[Empfehlung50]:[Werkzeug52]],ROW()-5)</f>
        <v/>
      </c>
      <c r="GR17" s="277" t="str">
        <f t="shared" si="42"/>
        <v/>
      </c>
      <c r="GS17" s="277" t="str">
        <f t="shared" si="43"/>
        <v/>
      </c>
      <c r="GT17" s="277" t="str">
        <f t="shared" si="44"/>
        <v/>
      </c>
      <c r="GU17" s="277" t="str">
        <f>ZahlenInBereich(Tabelle1[[Empfehlung54]:[Werkzeug56]],ROW()-5)</f>
        <v>Open-Source Plattform_x000D_(Werkzeug - Paraiso)</v>
      </c>
      <c r="GV17" s="277" t="str">
        <f t="shared" si="45"/>
        <v/>
      </c>
      <c r="GW17" s="277" t="str">
        <f t="shared" si="46"/>
        <v/>
      </c>
      <c r="GX17" s="277" t="str">
        <f t="shared" si="47"/>
        <v/>
      </c>
      <c r="GY17" s="277" t="str">
        <f>ZahlenInBereich(Tabelle1[[Empfehlung58]:[Werkzeug60]],ROW()-5)</f>
        <v>Collaboration SaaS_x000D_(Werkzeug - Xia)</v>
      </c>
      <c r="GZ17" s="277" t="str">
        <f t="shared" si="48"/>
        <v>Monitoring System_x000D_(Empfehlung - Stefano)</v>
      </c>
      <c r="HA17" s="277" t="str">
        <f t="shared" si="49"/>
        <v/>
      </c>
      <c r="HB17" s="277" t="str">
        <f t="shared" si="50"/>
        <v/>
      </c>
      <c r="HC17" s="277" t="str">
        <f>ZahlenInBereich(Tabelle1[[Empfehlung62]:[Werkzeug64]],ROW()-5)</f>
        <v>Monitoring System_x000D_(Empfehlung - Stefano)</v>
      </c>
      <c r="HD17" s="277" t="str">
        <f t="shared" si="51"/>
        <v/>
      </c>
      <c r="HE17" s="277" t="str">
        <f t="shared" si="52"/>
        <v/>
      </c>
      <c r="HF17" s="277" t="str">
        <f t="shared" si="53"/>
        <v/>
      </c>
      <c r="HG17" s="277" t="str">
        <f>ZahlenInBereich(Tabelle1[[Empfehlung66]:[Werkzeug68]],ROW()-5)</f>
        <v/>
      </c>
      <c r="HH17" s="277" t="str">
        <f t="shared" si="54"/>
        <v>Monitoring System_x000D_(Empfehlung - Stefano)</v>
      </c>
      <c r="HI17" s="277" t="str">
        <f t="shared" si="55"/>
        <v/>
      </c>
      <c r="HJ17" s="277" t="str">
        <f t="shared" si="56"/>
        <v/>
      </c>
      <c r="HK17" s="277" t="str">
        <f>ZahlenInBereich(Tabelle1[[Empfehlung70]:[Werkzeug72]],ROW()-5)</f>
        <v>Monitoring System_x000D_(Empfehlung - Stefano)</v>
      </c>
      <c r="HL17" s="277" t="str">
        <f t="shared" si="57"/>
        <v/>
      </c>
      <c r="HM17" s="277" t="str">
        <f t="shared" si="58"/>
        <v/>
      </c>
      <c r="HN17" s="277" t="str">
        <f t="shared" si="59"/>
        <v/>
      </c>
      <c r="HO17" s="277" t="str">
        <f>ZahlenInBereich(Tabelle1[[Empfehlung74]:[Werkzeug76]],ROW()-5)</f>
        <v/>
      </c>
    </row>
    <row r="18" spans="2:223" ht="32" x14ac:dyDescent="0.2">
      <c r="B18" s="134">
        <f>'1.4 Analyse &amp; Synthese'!B19</f>
        <v>13</v>
      </c>
      <c r="C18" s="277" t="str">
        <f>IF(AND('1.4 Analyse &amp; Synthese'!Q19=1,'1.4 Analyse &amp; Synthese'!F19="Empfehlung"),'1.4 Analyse &amp; Synthese'!I19&amp;CHAR(13)&amp;"("&amp;'(Codierung)'!$C$2&amp;" - "&amp;'1.4 Analyse &amp; Synthese'!C19&amp;")","")</f>
        <v/>
      </c>
      <c r="D18" s="222" t="str">
        <f t="array" ref="D18">_xlfn.IFNA(INDEX($C$6:$C$66,MATCH(0,COUNTIF($D$4:D17,$C$6:$C$66),0),1),"")</f>
        <v/>
      </c>
      <c r="E18" s="277" t="str">
        <f>IF(AND('1.4 Analyse &amp; Synthese'!Q19=1,'1.4 Analyse &amp; Synthese'!F19="Methode"),'1.4 Analyse &amp; Synthese'!I19&amp;CHAR(13)&amp;"("&amp;'(Codierung)'!$C$3&amp;" - "&amp;'1.4 Analyse &amp; Synthese'!C19&amp;")","")</f>
        <v/>
      </c>
      <c r="F18" s="277" t="str">
        <f t="array" ref="F18">_xlfn.IFNA(INDEX($E$6:$E$66,MATCH(0,COUNTIF($F$4:F17,$E$6:$E$66),0),1),"")</f>
        <v/>
      </c>
      <c r="G18" s="277" t="str">
        <f>IF(AND('1.4 Analyse &amp; Synthese'!Q19=1,'1.4 Analyse &amp; Synthese'!F19="Werkzeug"),'1.4 Analyse &amp; Synthese'!I19&amp;CHAR(13)&amp;"("&amp;'(Codierung)'!$C$4&amp;" - "&amp;'1.4 Analyse &amp; Synthese'!C19&amp;")","")</f>
        <v/>
      </c>
      <c r="H18" s="277" t="str">
        <f t="array" ref="H18">_xlfn.IFNA(INDEX($G$6:$G$66,MATCH(0,COUNTIF($H$4:H17,$G$6:$G$66),0),1),"")</f>
        <v/>
      </c>
      <c r="J18" s="277" t="str">
        <f>IF(AND('1.4 Analyse &amp; Synthese'!R19=1,'1.4 Analyse &amp; Synthese'!F19="Empfehlung"),'1.4 Analyse &amp; Synthese'!I19&amp;CHAR(13)&amp;"("&amp;'(Codierung)'!$C$2&amp;" - "&amp;'1.4 Analyse &amp; Synthese'!C19&amp;")","")</f>
        <v/>
      </c>
      <c r="K18" s="277" t="str">
        <f t="array" ref="K18">_xlfn.IFNA(INDEX($J$6:$J$66,MATCH(0,COUNTIF($K$4:K17,$J$6:$J$66),0),1),"")</f>
        <v/>
      </c>
      <c r="L18" s="277" t="str">
        <f>IF(AND('1.4 Analyse &amp; Synthese'!R19=1,'1.4 Analyse &amp; Synthese'!F19="Methode"),'1.4 Analyse &amp; Synthese'!I19&amp;CHAR(13)&amp;"("&amp;'(Codierung)'!$C$3&amp;" - "&amp;'1.4 Analyse &amp; Synthese'!C19&amp;")","")</f>
        <v/>
      </c>
      <c r="M18" s="277" t="str">
        <f t="array" ref="M18">_xlfn.IFNA(INDEX($L$6:$L$66,MATCH(0,COUNTIF($M$4:M17,$L$6:$L$66),0),1),"")</f>
        <v/>
      </c>
      <c r="N18" s="277" t="str">
        <f>IF(AND('1.4 Analyse &amp; Synthese'!R19=1,'1.4 Analyse &amp; Synthese'!F19="Werkzeug"),'1.4 Analyse &amp; Synthese'!I19&amp;CHAR(13)&amp;"("&amp;'(Codierung)'!$C$4&amp;" - "&amp;'1.4 Analyse &amp; Synthese'!C19&amp;")","")</f>
        <v/>
      </c>
      <c r="O18" s="277" t="str">
        <f t="array" ref="O18">_xlfn.IFNA(INDEX($N$6:$N$66,MATCH(0,COUNTIF($O$4:O17,$N$6:$N$66),0),1),"")</f>
        <v/>
      </c>
      <c r="Q18" s="277" t="str">
        <f>IF(AND('1.4 Analyse &amp; Synthese'!S19=1,'1.4 Analyse &amp; Synthese'!F19="Empfehlung"),'1.4 Analyse &amp; Synthese'!I19&amp;CHAR(13)&amp;"("&amp;'(Codierung)'!$C$2&amp;" - "&amp;'1.4 Analyse &amp; Synthese'!C19&amp;")","")</f>
        <v/>
      </c>
      <c r="R18" s="277" t="str">
        <f t="array" ref="R18">_xlfn.IFNA(INDEX($Q$6:$Q$66,MATCH(0,COUNTIF($R$4:R17,$Q$6:$Q$66),0),1),"")</f>
        <v/>
      </c>
      <c r="S18" s="277" t="str">
        <f>IF(AND('1.4 Analyse &amp; Synthese'!S19=1,'1.4 Analyse &amp; Synthese'!F19="Methode"),'1.4 Analyse &amp; Synthese'!I19&amp;CHAR(13)&amp;"("&amp;'(Codierung)'!$C$3&amp;" - "&amp;'1.4 Analyse &amp; Synthese'!C19&amp;")","")</f>
        <v/>
      </c>
      <c r="T18" s="277" t="str">
        <f t="array" ref="T18">_xlfn.IFNA(INDEX($S$6:$S$66,MATCH(0,COUNTIF($T$4:T17,$S$6:$S$66),0),1),"")</f>
        <v/>
      </c>
      <c r="U18" s="277" t="str">
        <f>IF(AND('1.4 Analyse &amp; Synthese'!S19=1,'1.4 Analyse &amp; Synthese'!F19="Werkzeug"),'1.4 Analyse &amp; Synthese'!I19&amp;CHAR(13)&amp;"("&amp;'(Codierung)'!$C$4&amp;" - "&amp;'1.4 Analyse &amp; Synthese'!C19&amp;")","")</f>
        <v/>
      </c>
      <c r="V18" s="277" t="str">
        <f t="array" ref="V18">_xlfn.IFNA(INDEX($U$6:$U$66,MATCH(0,COUNTIF($V$4:V17,$U$6:$U$66),0),1),"")</f>
        <v/>
      </c>
      <c r="X18" s="277" t="str">
        <f>IF(AND('1.4 Analyse &amp; Synthese'!T19=1,'1.4 Analyse &amp; Synthese'!F19="Empfehlung"),'1.4 Analyse &amp; Synthese'!I19&amp;CHAR(13)&amp;"("&amp;'(Codierung)'!$C$2&amp;" - "&amp;'1.4 Analyse &amp; Synthese'!C19&amp;")","")</f>
        <v/>
      </c>
      <c r="Y18" s="277" t="str">
        <f t="array" ref="Y18">_xlfn.IFNA(INDEX($X$6:$X$66,MATCH(0,COUNTIF($Y$4:Y17,$X$6:$X$66),0),1),"")</f>
        <v/>
      </c>
      <c r="Z18" s="277" t="str">
        <f>IF(AND('1.4 Analyse &amp; Synthese'!T19=1,'1.4 Analyse &amp; Synthese'!F19="Methode"),'1.4 Analyse &amp; Synthese'!I19&amp;CHAR(13)&amp;"("&amp;'(Codierung)'!$C$3&amp;" - "&amp;'1.4 Analyse &amp; Synthese'!C19&amp;")","")</f>
        <v/>
      </c>
      <c r="AA18" s="277" t="str">
        <f t="array" ref="AA18">_xlfn.IFNA(INDEX($Z$6:$Z$66,MATCH(0,COUNTIF($AA$4:AA17,$Z$6:$Z$66),0),1),"")</f>
        <v/>
      </c>
      <c r="AB18" s="277" t="str">
        <f>IF(AND('1.4 Analyse &amp; Synthese'!T19=1,'1.4 Analyse &amp; Synthese'!F19="Werkzeug"),'1.4 Analyse &amp; Synthese'!I19&amp;CHAR(13)&amp;"("&amp;'(Codierung)'!$C$4&amp;" - "&amp;'1.4 Analyse &amp; Synthese'!C19&amp;")","")</f>
        <v/>
      </c>
      <c r="AC18" s="277" t="str">
        <f t="array" ref="AC18">_xlfn.IFNA(INDEX($AB$6:$AB$66,MATCH(0,COUNTIF($AC$4:AC17,$AB$6:$AB$66),0),1),"")</f>
        <v/>
      </c>
      <c r="AE18" s="277" t="str">
        <f>IF(AND('1.4 Analyse &amp; Synthese'!U19=1,'1.4 Analyse &amp; Synthese'!F19="Empfehlung"),'1.4 Analyse &amp; Synthese'!I19&amp;CHAR(13)&amp;"("&amp;'(Codierung)'!$C$2&amp;" - "&amp;'1.4 Analyse &amp; Synthese'!C19&amp;")","")</f>
        <v/>
      </c>
      <c r="AF18" s="277" t="str">
        <f t="array" ref="AF18">_xlfn.IFNA(INDEX($AE$6:$AE$66,MATCH(0,COUNTIF($AF$4:AF17,$AE$6:$AE$66),0),1),"")</f>
        <v/>
      </c>
      <c r="AG18" s="277" t="str">
        <f>IF(AND('1.4 Analyse &amp; Synthese'!U19=1,'1.4 Analyse &amp; Synthese'!F19="Methode"),'1.4 Analyse &amp; Synthese'!I19&amp;CHAR(13)&amp;"("&amp;'(Codierung)'!$C$3&amp;" - "&amp;'1.4 Analyse &amp; Synthese'!C19&amp;")","")</f>
        <v/>
      </c>
      <c r="AH18" s="277" t="str">
        <f t="array" ref="AH18">_xlfn.IFNA(INDEX($AG$6:$AG$66,MATCH(0,COUNTIF($AH$4:AH17,$AG$6:$AG$66),0),1),"")</f>
        <v/>
      </c>
      <c r="AI18" s="277" t="str">
        <f>IF(AND('1.4 Analyse &amp; Synthese'!U19=1,'1.4 Analyse &amp; Synthese'!F19="Werkzeug"),'1.4 Analyse &amp; Synthese'!I19&amp;CHAR(13)&amp;"("&amp;'(Codierung)'!$C$4&amp;" - "&amp;'1.4 Analyse &amp; Synthese'!C19&amp;")","")</f>
        <v/>
      </c>
      <c r="AJ18" s="277" t="str">
        <f t="array" ref="AJ18">_xlfn.IFNA(INDEX($AI$6:$AI$66,MATCH(0,COUNTIF($AJ$4:AJ17,$AI$6:$AI$66),0),1),"")</f>
        <v/>
      </c>
      <c r="AL18" s="277" t="str">
        <f>IF(AND('1.4 Analyse &amp; Synthese'!V19=1,'1.4 Analyse &amp; Synthese'!F19="Empfehlung"),'1.4 Analyse &amp; Synthese'!I19&amp;CHAR(13)&amp;"("&amp;'(Codierung)'!$C$2&amp;" - "&amp;'1.4 Analyse &amp; Synthese'!C19&amp;")","")</f>
        <v/>
      </c>
      <c r="AM18" s="277" t="str">
        <f t="array" ref="AM18">_xlfn.IFNA(INDEX($AL$6:$AL$66,MATCH(0,COUNTIF($AM$4:AM17,$AL$6:$AL$66),0),1),"")</f>
        <v/>
      </c>
      <c r="AN18" s="277" t="str">
        <f>IF(AND('1.4 Analyse &amp; Synthese'!V19=1,'1.4 Analyse &amp; Synthese'!F19="Methode"),'1.4 Analyse &amp; Synthese'!I19&amp;CHAR(13)&amp;"("&amp;'(Codierung)'!$C$3&amp;" - "&amp;'1.4 Analyse &amp; Synthese'!C19&amp;")","")</f>
        <v/>
      </c>
      <c r="AO18" s="277" t="str">
        <f t="array" ref="AO18">_xlfn.IFNA(INDEX($AN$6:$AN$66,MATCH(0,COUNTIF($AO$4:AO17,$AN$6:$AN$66),0),1),"")</f>
        <v/>
      </c>
      <c r="AP18" s="277" t="str">
        <f>IF(AND('1.4 Analyse &amp; Synthese'!V19=1,'1.4 Analyse &amp; Synthese'!F19="Werkzeug"),'1.4 Analyse &amp; Synthese'!I19&amp;CHAR(13)&amp;"("&amp;'(Codierung)'!$C$4&amp;" - "&amp;'1.4 Analyse &amp; Synthese'!C19&amp;")","")</f>
        <v/>
      </c>
      <c r="AQ18" s="277" t="str">
        <f t="array" ref="AQ18">_xlfn.IFNA(INDEX($AP$6:$AP$66,MATCH(0,COUNTIF($AQ$4:AQ17,$AP$6:$AP$66),0),1),"")</f>
        <v/>
      </c>
      <c r="AS18" s="277" t="str">
        <f>IF(AND('1.4 Analyse &amp; Synthese'!W19=1,'1.4 Analyse &amp; Synthese'!F19="Empfehlung"),'1.4 Analyse &amp; Synthese'!I19&amp;CHAR(13)&amp;"("&amp;'(Codierung)'!$C$2&amp;" - "&amp;'1.4 Analyse &amp; Synthese'!C19&amp;")","")</f>
        <v/>
      </c>
      <c r="AT18" s="277" t="str">
        <f t="array" ref="AT18">_xlfn.IFNA(INDEX($AS$6:$AS$66,MATCH(0,COUNTIF($AT$4:AT17,$AS$6:$AS$66),0),1),"")</f>
        <v/>
      </c>
      <c r="AU18" s="277" t="str">
        <f>IF(AND('1.4 Analyse &amp; Synthese'!W19=1,'1.4 Analyse &amp; Synthese'!F19="Methode"),'1.4 Analyse &amp; Synthese'!I19&amp;CHAR(13)&amp;"("&amp;'(Codierung)'!$C$3&amp;" - "&amp;'1.4 Analyse &amp; Synthese'!C19&amp;")","")</f>
        <v/>
      </c>
      <c r="AV18" s="277" t="str">
        <f t="array" ref="AV18">_xlfn.IFNA(INDEX($AU$6:$AU$66,MATCH(0,COUNTIF($AV$4:AV17,$AU$6:$AU$66),0),1),"")</f>
        <v/>
      </c>
      <c r="AW18" s="277" t="str">
        <f>IF(AND('1.4 Analyse &amp; Synthese'!W19=1,'1.4 Analyse &amp; Synthese'!F19="Werkzeug"),'1.4 Analyse &amp; Synthese'!I19&amp;CHAR(13)&amp;"("&amp;'(Codierung)'!$C$4&amp;" - "&amp;'1.4 Analyse &amp; Synthese'!C19&amp;")","")</f>
        <v/>
      </c>
      <c r="AX18" s="277" t="str">
        <f t="array" ref="AX18">_xlfn.IFNA(INDEX($AW$6:$AW$66,MATCH(0,COUNTIF($AX$4:AX17,$AW$6:$AW$66),0),1),"")</f>
        <v/>
      </c>
      <c r="AZ18" s="277" t="str">
        <f>IF(AND('1.4 Analyse &amp; Synthese'!X19=1,'1.4 Analyse &amp; Synthese'!F19="Empfehlung"),'1.4 Analyse &amp; Synthese'!I19&amp;CHAR(13)&amp;"("&amp;'(Codierung)'!$C$2&amp;" - "&amp;'1.4 Analyse &amp; Synthese'!C19&amp;")","")</f>
        <v/>
      </c>
      <c r="BA18" s="277" t="str">
        <f t="array" ref="BA18">_xlfn.IFNA(INDEX($AZ$6:$AZ$66,MATCH(0,COUNTIF($BA$4:BA17,$AZ$6:$AZ$66),0),1),"")</f>
        <v/>
      </c>
      <c r="BB18" s="277" t="str">
        <f>IF(AND('1.4 Analyse &amp; Synthese'!X19=1,'1.4 Analyse &amp; Synthese'!F19="Methode"),'1.4 Analyse &amp; Synthese'!I19&amp;CHAR(13)&amp;"("&amp;'(Codierung)'!$C$3&amp;" - "&amp;'1.4 Analyse &amp; Synthese'!C19&amp;")","")</f>
        <v/>
      </c>
      <c r="BC18" s="277" t="str">
        <f t="array" ref="BC18">_xlfn.IFNA(INDEX($BB$6:$BB$66,MATCH(0,COUNTIF($BC$4:BC17,$BB$6:$BB$66),0),1),"")</f>
        <v/>
      </c>
      <c r="BD18" s="277" t="str">
        <f>IF(AND('1.4 Analyse &amp; Synthese'!X19=1,'1.4 Analyse &amp; Synthese'!F19="Werkzeug"),'1.4 Analyse &amp; Synthese'!I19&amp;CHAR(13)&amp;"("&amp;'(Codierung)'!$C$4&amp;" - "&amp;'1.4 Analyse &amp; Synthese'!C19&amp;")","")</f>
        <v/>
      </c>
      <c r="BE18" s="277" t="str">
        <f t="array" ref="BE18">_xlfn.IFNA(INDEX($BD$6:$BD$66,MATCH(0,COUNTIF($BE$4:BE17,$BD$6:$BD$66),0),1),"")</f>
        <v/>
      </c>
      <c r="BG18" s="277" t="str">
        <f>IF(AND('1.4 Analyse &amp; Synthese'!Y19=1,'1.4 Analyse &amp; Synthese'!F19="Empfehlung"),'1.4 Analyse &amp; Synthese'!I19&amp;CHAR(13)&amp;"("&amp;'(Codierung)'!$C$2&amp;" - "&amp;'1.4 Analyse &amp; Synthese'!C19&amp;")","")</f>
        <v/>
      </c>
      <c r="BH18" s="277" t="str">
        <f t="array" ref="BH18">_xlfn.IFNA(INDEX($BG$6:$BG$66,MATCH(0,COUNTIF($BH$4:BH17,$BG$6:$BG$66),0),1),"")</f>
        <v/>
      </c>
      <c r="BI18" s="277" t="str">
        <f>IF(AND('1.4 Analyse &amp; Synthese'!Y19=1,'1.4 Analyse &amp; Synthese'!F19="Methode"),'1.4 Analyse &amp; Synthese'!I19&amp;CHAR(13)&amp;"("&amp;'(Codierung)'!$C$3&amp;" - "&amp;'1.4 Analyse &amp; Synthese'!C19&amp;")","")</f>
        <v/>
      </c>
      <c r="BJ18" s="277" t="str">
        <f t="array" ref="BJ18">_xlfn.IFNA(INDEX($BI$6:$BI$66,MATCH(0,COUNTIF($BJ$4:BJ17,$BI$6:$BI$66),0),1),"")</f>
        <v/>
      </c>
      <c r="BK18" s="277" t="str">
        <f>IF(AND('1.4 Analyse &amp; Synthese'!Y19=1,'1.4 Analyse &amp; Synthese'!F19="Werkzeug"),'1.4 Analyse &amp; Synthese'!I19&amp;CHAR(13)&amp;"("&amp;'(Codierung)'!$C$4&amp;" - "&amp;'1.4 Analyse &amp; Synthese'!C19&amp;")","")</f>
        <v/>
      </c>
      <c r="BL18" s="277" t="str">
        <f t="array" ref="BL18">_xlfn.IFNA(INDEX($BK$6:$BK$66,MATCH(0,COUNTIF($BL$4:BL17,$BK$6:$BK$66),0),1),"")</f>
        <v/>
      </c>
      <c r="BN18" s="277" t="str">
        <f>IF(AND('1.4 Analyse &amp; Synthese'!Z19=1,'1.4 Analyse &amp; Synthese'!F19="Empfehlung"),'1.4 Analyse &amp; Synthese'!I19&amp;CHAR(13)&amp;"("&amp;'(Codierung)'!$C$2&amp;" - "&amp;'1.4 Analyse &amp; Synthese'!C19&amp;")","")</f>
        <v/>
      </c>
      <c r="BO18" s="277" t="str">
        <f t="array" ref="BO18">_xlfn.IFNA(INDEX($BN$6:$BN$66,MATCH(0,COUNTIF($BO$4:BO17,$BN$6:$BN$66),0),1),"")</f>
        <v/>
      </c>
      <c r="BP18" s="277" t="str">
        <f>IF(AND('1.4 Analyse &amp; Synthese'!Z19=1,'1.4 Analyse &amp; Synthese'!F19="Methode"),'1.4 Analyse &amp; Synthese'!I19&amp;CHAR(13)&amp;"("&amp;'(Codierung)'!$C$3&amp;" - "&amp;'1.4 Analyse &amp; Synthese'!C19&amp;")","")</f>
        <v/>
      </c>
      <c r="BQ18" s="277" t="str">
        <f t="array" ref="BQ18">_xlfn.IFNA(INDEX($BP$6:$BP$66,MATCH(0,COUNTIF($BQ$4:BQ17,$BP$6:$BP$66),0),1),"")</f>
        <v/>
      </c>
      <c r="BR18" s="277" t="str">
        <f>IF(AND('1.4 Analyse &amp; Synthese'!Z19=1,'1.4 Analyse &amp; Synthese'!F19="Werkzeug"),'1.4 Analyse &amp; Synthese'!I19&amp;CHAR(13)&amp;"("&amp;'(Codierung)'!$C$4&amp;" - "&amp;'1.4 Analyse &amp; Synthese'!C19&amp;")","")</f>
        <v/>
      </c>
      <c r="BS18" s="277" t="str">
        <f t="array" ref="BS18">_xlfn.IFNA(INDEX($BR$6:$BR$66,MATCH(0,COUNTIF($BS$4:BS17,$BR$6:$BR$66),0),1),"")</f>
        <v/>
      </c>
      <c r="BU18" s="277" t="str">
        <f>IF(AND('1.4 Analyse &amp; Synthese'!AA19=1,'1.4 Analyse &amp; Synthese'!F19="Empfehlung"),'1.4 Analyse &amp; Synthese'!I19&amp;CHAR(13)&amp;"("&amp;'(Codierung)'!$C$2&amp;" - "&amp;'1.4 Analyse &amp; Synthese'!C19&amp;")","")</f>
        <v/>
      </c>
      <c r="BV18" s="277" t="str">
        <f t="array" ref="BV18">_xlfn.IFNA(INDEX($BU$6:$BU$66,MATCH(0,COUNTIF($BV$4:BV17,$BU$6:$BU$66),0),1),"")</f>
        <v/>
      </c>
      <c r="BW18" s="277" t="str">
        <f>IF(AND('1.4 Analyse &amp; Synthese'!AA19=1,'1.4 Analyse &amp; Synthese'!F19="Methode"),'1.4 Analyse &amp; Synthese'!I19&amp;CHAR(13)&amp;"("&amp;'(Codierung)'!$C$3&amp;" - "&amp;'1.4 Analyse &amp; Synthese'!C19&amp;")","")</f>
        <v/>
      </c>
      <c r="BX18" s="277" t="str">
        <f t="array" ref="BX18">_xlfn.IFNA(INDEX($BW$6:$BW$66,MATCH(0,COUNTIF($BX$4:BX17,$BW$6:$BW$66),0),1),"")</f>
        <v/>
      </c>
      <c r="BY18" s="277" t="str">
        <f>IF(AND('1.4 Analyse &amp; Synthese'!AA19=1,'1.4 Analyse &amp; Synthese'!F19="Werkzeug"),'1.4 Analyse &amp; Synthese'!I19&amp;CHAR(13)&amp;"("&amp;'(Codierung)'!$C$4&amp;" - "&amp;'1.4 Analyse &amp; Synthese'!C19&amp;")","")</f>
        <v/>
      </c>
      <c r="BZ18" s="277" t="str">
        <f t="array" ref="BZ18">_xlfn.IFNA(INDEX($BY$6:$BY$66,MATCH(0,COUNTIF($BZ$4:BZ17,$BY$6:$BY$66),0),1),"")</f>
        <v/>
      </c>
      <c r="CB18" s="277" t="str">
        <f>IF(AND('1.4 Analyse &amp; Synthese'!AB19=1,'1.4 Analyse &amp; Synthese'!F19="Empfehlung"),'1.4 Analyse &amp; Synthese'!I19&amp;CHAR(13)&amp;"("&amp;'(Codierung)'!$C$2&amp;" - "&amp;'1.4 Analyse &amp; Synthese'!C19&amp;")","")</f>
        <v/>
      </c>
      <c r="CC18" s="277" t="str">
        <f t="array" ref="CC18">_xlfn.IFNA(INDEX($CB$6:$CB$66,MATCH(0,COUNTIF($CC$4:CC17,$CB$6:$CB$66),0),1),"")</f>
        <v/>
      </c>
      <c r="CD18" s="277" t="str">
        <f>IF(AND('1.4 Analyse &amp; Synthese'!AB19=1,'1.4 Analyse &amp; Synthese'!F19="Methode"),'1.4 Analyse &amp; Synthese'!I19&amp;CHAR(13)&amp;"("&amp;'(Codierung)'!$C$3&amp;" - "&amp;'1.4 Analyse &amp; Synthese'!C19&amp;")","")</f>
        <v/>
      </c>
      <c r="CE18" s="277" t="str">
        <f t="array" ref="CE18">_xlfn.IFNA(INDEX($CD$6:$CD$66,MATCH(0,COUNTIF($CE$4:CE17,$CD$6:$CD$66),0),1),"")</f>
        <v/>
      </c>
      <c r="CF18" s="277" t="str">
        <f>IF(AND('1.4 Analyse &amp; Synthese'!AB19=1,'1.4 Analyse &amp; Synthese'!F19="Werkzeug"),'1.4 Analyse &amp; Synthese'!I19&amp;CHAR(13)&amp;"("&amp;'(Codierung)'!$C$4&amp;" - "&amp;'1.4 Analyse &amp; Synthese'!C19&amp;")","")</f>
        <v/>
      </c>
      <c r="CG18" s="277" t="str">
        <f t="array" ref="CG18">_xlfn.IFNA(INDEX($CF$6:$CF$66,MATCH(0,COUNTIF($CG$4:CG17,$CF$6:$CF$66),0),1),"")</f>
        <v/>
      </c>
      <c r="CI18" s="277" t="str">
        <f>IF(AND('1.4 Analyse &amp; Synthese'!AC19=1,'1.4 Analyse &amp; Synthese'!F19="Empfehlung"),'1.4 Analyse &amp; Synthese'!I19&amp;CHAR(13)&amp;"("&amp;'(Codierung)'!$C$2&amp;" - "&amp;'1.4 Analyse &amp; Synthese'!C19&amp;")","")</f>
        <v/>
      </c>
      <c r="CJ18" s="277" t="str">
        <f t="array" ref="CJ18">_xlfn.IFNA(INDEX($CI$6:$CI$66,MATCH(0,COUNTIF($CJ$4:CJ17,$CI$6:$CI$66),0),1),"")</f>
        <v/>
      </c>
      <c r="CK18" s="277" t="str">
        <f>IF(AND('1.4 Analyse &amp; Synthese'!AC19=1,'1.4 Analyse &amp; Synthese'!F19="Methode"),'1.4 Analyse &amp; Synthese'!I19&amp;CHAR(13)&amp;"("&amp;'(Codierung)'!$C$3&amp;" - "&amp;'1.4 Analyse &amp; Synthese'!C19&amp;")","")</f>
        <v/>
      </c>
      <c r="CL18" s="277" t="str">
        <f t="array" ref="CL18">_xlfn.IFNA(INDEX($CK$6:$CK$66,MATCH(0,COUNTIF($CL$4:CL17,$CK$6:$CK$66),0),1),"")</f>
        <v/>
      </c>
      <c r="CM18" s="277" t="str">
        <f>IF(AND('1.4 Analyse &amp; Synthese'!AC19=1,'1.4 Analyse &amp; Synthese'!F19="Werkzeug"),'1.4 Analyse &amp; Synthese'!I19&amp;CHAR(13)&amp;"("&amp;'(Codierung)'!$C$4&amp;" - "&amp;'1.4 Analyse &amp; Synthese'!C19&amp;")","")</f>
        <v/>
      </c>
      <c r="CN18" s="277" t="str">
        <f t="array" ref="CN18">_xlfn.IFNA(INDEX($CM$6:$CM$66,MATCH(0,COUNTIF($CN$4:CN17,$CM$6:$CM$66),0),1),"")</f>
        <v/>
      </c>
      <c r="CP18" s="277" t="str">
        <f>IF(AND('1.4 Analyse &amp; Synthese'!AD19=1,'1.4 Analyse &amp; Synthese'!F19="Empfehlung"),'1.4 Analyse &amp; Synthese'!I19&amp;CHAR(13)&amp;"("&amp;'(Codierung)'!$C$2&amp;" - "&amp;'1.4 Analyse &amp; Synthese'!C19&amp;")","")</f>
        <v>Application Programming Interface_x000D_(Empfehlung - Demchenko)</v>
      </c>
      <c r="CQ18" s="277" t="str">
        <f t="array" ref="CQ18">_xlfn.IFNA(INDEX($CP$6:$CP$66,MATCH(0,COUNTIF($CQ$4:CQ17,$CP$6:$CP$66),0),1),"")</f>
        <v/>
      </c>
      <c r="CR18" s="277" t="str">
        <f>IF(AND('1.4 Analyse &amp; Synthese'!AD19=1,'1.4 Analyse &amp; Synthese'!F19="Methode"),'1.4 Analyse &amp; Synthese'!I19&amp;CHAR(13)&amp;"("&amp;'(Codierung)'!$C$3&amp;" - "&amp;'1.4 Analyse &amp; Synthese'!C19&amp;")","")</f>
        <v/>
      </c>
      <c r="CS18" s="277" t="str">
        <f t="array" ref="CS18">_xlfn.IFNA(INDEX($CR$6:$CR$66,MATCH(0,COUNTIF($CS$4:CS17,$CR$6:$CR$66),0),1),"")</f>
        <v/>
      </c>
      <c r="CT18" s="277" t="str">
        <f>IF(AND('1.4 Analyse &amp; Synthese'!AD19=1,'1.4 Analyse &amp; Synthese'!F19="Werkzeug"),'1.4 Analyse &amp; Synthese'!I19&amp;CHAR(13)&amp;"("&amp;'(Codierung)'!$C$4&amp;" - "&amp;'1.4 Analyse &amp; Synthese'!C19&amp;")","")</f>
        <v/>
      </c>
      <c r="CU18" s="277" t="str">
        <f t="array" ref="CU18">_xlfn.IFNA(INDEX($CT$6:$CT$66,MATCH(0,COUNTIF($CU$4:CU17,$CT$6:$CT$66),0),1),"")</f>
        <v/>
      </c>
      <c r="CW18" s="277" t="str">
        <f>IF(AND('1.4 Analyse &amp; Synthese'!AE19=1,'1.4 Analyse &amp; Synthese'!F19="Empfehlung"),'1.4 Analyse &amp; Synthese'!I19&amp;CHAR(13)&amp;"("&amp;'(Codierung)'!$C$2&amp;" - "&amp;'1.4 Analyse &amp; Synthese'!C19&amp;")","")</f>
        <v>Application Programming Interface_x000D_(Empfehlung - Demchenko)</v>
      </c>
      <c r="CX18" s="277" t="str">
        <f t="array" ref="CX18">_xlfn.IFNA(INDEX($CW$6:$CW$66,MATCH(0,COUNTIF($CX$4:CX17,$CW$6:$CW$66),0),1),"")</f>
        <v/>
      </c>
      <c r="CY18" s="277" t="str">
        <f>IF(AND('1.4 Analyse &amp; Synthese'!AE19=1,'1.4 Analyse &amp; Synthese'!F19="Methode"),'1.4 Analyse &amp; Synthese'!I19&amp;CHAR(13)&amp;"("&amp;'(Codierung)'!$C$3&amp;" - "&amp;'1.4 Analyse &amp; Synthese'!C19&amp;")","")</f>
        <v/>
      </c>
      <c r="CZ18" s="277" t="str">
        <f t="array" ref="CZ18">_xlfn.IFNA(INDEX($CY$6:$CY$66,MATCH(0,COUNTIF($CZ$4:CZ17,$CY$6:$CY$66),0),1),"")</f>
        <v/>
      </c>
      <c r="DA18" s="277" t="str">
        <f>IF(AND('1.4 Analyse &amp; Synthese'!AE19=1,'1.4 Analyse &amp; Synthese'!F19="Werkzeug"),'1.4 Analyse &amp; Synthese'!I19&amp;CHAR(13)&amp;"("&amp;'(Codierung)'!$C$4&amp;" - "&amp;'1.4 Analyse &amp; Synthese'!C19&amp;")","")</f>
        <v/>
      </c>
      <c r="DB18" s="277" t="str">
        <f t="array" ref="DB18">_xlfn.IFNA(INDEX($DA$6:$DA$66,MATCH(0,COUNTIF($DB$4:DB17,$DA$6:$DA$66),0),1),"")</f>
        <v/>
      </c>
      <c r="DD18" s="277" t="str">
        <f>IF(AND('1.4 Analyse &amp; Synthese'!AF19=1,'1.4 Analyse &amp; Synthese'!F19="Empfehlung"),'1.4 Analyse &amp; Synthese'!I19&amp;CHAR(13)&amp;"("&amp;'(Codierung)'!$C$2&amp;" - "&amp;'1.4 Analyse &amp; Synthese'!C19&amp;")","")</f>
        <v/>
      </c>
      <c r="DE18" s="277" t="str">
        <f t="array" ref="DE18">_xlfn.IFNA(INDEX($DD$6:$DD$66,MATCH(0,COUNTIF($DE$4:DE17,$DD$6:$DD$66),0),1),"")</f>
        <v/>
      </c>
      <c r="DF18" s="277" t="str">
        <f>IF(AND('1.4 Analyse &amp; Synthese'!AF19=1,'1.4 Analyse &amp; Synthese'!F19="Methode"),'1.4 Analyse &amp; Synthese'!I19&amp;CHAR(13)&amp;"("&amp;'(Codierung)'!$C$3&amp;" - "&amp;'1.4 Analyse &amp; Synthese'!C19&amp;")","")</f>
        <v/>
      </c>
      <c r="DG18" s="277" t="str">
        <f t="array" ref="DG18">_xlfn.IFNA(INDEX($DF$6:$DF$66,MATCH(0,COUNTIF($DG$4:DG17,$DF$6:$DF$66),0),1),"")</f>
        <v/>
      </c>
      <c r="DH18" s="277" t="str">
        <f>IF(AND('1.4 Analyse &amp; Synthese'!AF19=1,'1.4 Analyse &amp; Synthese'!F19="Werkzeug"),'1.4 Analyse &amp; Synthese'!I19&amp;CHAR(13)&amp;"("&amp;'(Codierung)'!$C$4&amp;" - "&amp;'1.4 Analyse &amp; Synthese'!C19&amp;")","")</f>
        <v/>
      </c>
      <c r="DI18" s="277" t="str">
        <f t="array" ref="DI18">_xlfn.IFNA(INDEX($DH$6:$DH$66,MATCH(0,COUNTIF($DI$4:DI17,$DH$6:$DH$66),0),1),"")</f>
        <v/>
      </c>
      <c r="DK18" s="277" t="str">
        <f>IF(AND('1.4 Analyse &amp; Synthese'!AG19=1,'1.4 Analyse &amp; Synthese'!F19="Empfehlung"),'1.4 Analyse &amp; Synthese'!I19&amp;CHAR(13)&amp;"("&amp;'(Codierung)'!$C$2&amp;" - "&amp;'1.4 Analyse &amp; Synthese'!C19&amp;")","")</f>
        <v>Application Programming Interface_x000D_(Empfehlung - Demchenko)</v>
      </c>
      <c r="DL18" s="277" t="str">
        <f t="array" ref="DL18">_xlfn.IFNA(INDEX($DK$6:$DK$66,MATCH(0,COUNTIF($DL$4:DL17,$DK$6:$DK$66),0),1),"")</f>
        <v/>
      </c>
      <c r="DM18" s="277" t="str">
        <f>IF(AND('1.4 Analyse &amp; Synthese'!AG19=1,'1.4 Analyse &amp; Synthese'!F19="Methode"),'1.4 Analyse &amp; Synthese'!I19&amp;CHAR(13)&amp;"("&amp;'(Codierung)'!$C$3&amp;" - "&amp;'1.4 Analyse &amp; Synthese'!C19&amp;")","")</f>
        <v/>
      </c>
      <c r="DN18" s="277" t="str">
        <f t="array" ref="DN18">_xlfn.IFNA(INDEX($DM$6:$DM$66,MATCH(0,COUNTIF($DN$4:DN17,$DM$6:$DM$66),0),1),"")</f>
        <v/>
      </c>
      <c r="DO18" s="277" t="str">
        <f>IF(AND('1.4 Analyse &amp; Synthese'!AG19=1,'1.4 Analyse &amp; Synthese'!F19="Werkzeug"),'1.4 Analyse &amp; Synthese'!I19&amp;CHAR(13)&amp;"("&amp;'(Codierung)'!$C$4&amp;" - "&amp;'1.4 Analyse &amp; Synthese'!C19&amp;")","")</f>
        <v/>
      </c>
      <c r="DP18" s="277" t="str">
        <f t="array" ref="DP18">_xlfn.IFNA(INDEX($DO$6:$DO$66,MATCH(0,COUNTIF($DP$4:DP17,$DO$6:$DO$66),0),1),"")</f>
        <v/>
      </c>
      <c r="DR18" s="277" t="str">
        <f>IF(AND('1.4 Analyse &amp; Synthese'!AH19=1,'1.4 Analyse &amp; Synthese'!F19="Empfehlung"),'1.4 Analyse &amp; Synthese'!I19&amp;CHAR(13)&amp;"("&amp;'(Codierung)'!$C$2&amp;" - "&amp;'1.4 Analyse &amp; Synthese'!C19&amp;")","")</f>
        <v/>
      </c>
      <c r="DS18" s="277" t="str">
        <f t="array" ref="DS18">_xlfn.IFNA(INDEX($DR$6:$DR$66,MATCH(0,COUNTIF($DS$4:DS17,$DR$6:$DR$66),0),1),"")</f>
        <v/>
      </c>
      <c r="DT18" s="277" t="str">
        <f>IF(AND('1.4 Analyse &amp; Synthese'!AH19=1,'1.4 Analyse &amp; Synthese'!F19="Methode"),'1.4 Analyse &amp; Synthese'!I19&amp;CHAR(13)&amp;"("&amp;'(Codierung)'!$C$3&amp;" - "&amp;'1.4 Analyse &amp; Synthese'!C19&amp;")","")</f>
        <v/>
      </c>
      <c r="DU18" s="277" t="str">
        <f t="array" ref="DU18">_xlfn.IFNA(INDEX($DT$6:$DT$66,MATCH(0,COUNTIF($DU$4:DU17,$DT$6:$DT$66),0),1),"")</f>
        <v/>
      </c>
      <c r="DV18" s="277" t="str">
        <f>IF(AND('1.4 Analyse &amp; Synthese'!AH19=1,'1.4 Analyse &amp; Synthese'!F19="Werkzeug"),'1.4 Analyse &amp; Synthese'!I19&amp;CHAR(13)&amp;"("&amp;'(Codierung)'!$C$4&amp;" - "&amp;'1.4 Analyse &amp; Synthese'!C19&amp;")","")</f>
        <v/>
      </c>
      <c r="DW18" s="277" t="str">
        <f t="array" ref="DW18">_xlfn.IFNA(INDEX($DV$6:$DV$66,MATCH(0,COUNTIF($DW$4:DW17,$DV$6:$DV$66),0),1),"")</f>
        <v/>
      </c>
      <c r="DY18" s="277" t="str">
        <f>IF(AND('1.4 Analyse &amp; Synthese'!AI19=1,'1.4 Analyse &amp; Synthese'!F19="Empfehlung"),'1.4 Analyse &amp; Synthese'!I19&amp;CHAR(13)&amp;"("&amp;'(Codierung)'!$C$2&amp;" - "&amp;'1.4 Analyse &amp; Synthese'!C19&amp;")","")</f>
        <v>Application Programming Interface_x000D_(Empfehlung - Demchenko)</v>
      </c>
      <c r="DZ18" s="277" t="str">
        <f t="array" ref="DZ18">_xlfn.IFNA(INDEX($DY$6:$DY$66,MATCH(0,COUNTIF($DZ$4:DZ17,$DY$6:$DY$66),0),1),"")</f>
        <v/>
      </c>
      <c r="EA18" s="277" t="str">
        <f>IF(AND('1.4 Analyse &amp; Synthese'!AI19=1,'1.4 Analyse &amp; Synthese'!F19="Methode"),'1.4 Analyse &amp; Synthese'!I19&amp;CHAR(13)&amp;"("&amp;'(Codierung)'!$C$3&amp;" - "&amp;'1.4 Analyse &amp; Synthese'!C19&amp;")","")</f>
        <v/>
      </c>
      <c r="EB18" s="277" t="str">
        <f t="array" ref="EB18">_xlfn.IFNA(INDEX($EA$6:$EA$66,MATCH(0,COUNTIF($EB$4:EB17,$EA$6:$EA$66),0),1),"")</f>
        <v/>
      </c>
      <c r="EC18" s="277" t="str">
        <f>IF(AND('1.4 Analyse &amp; Synthese'!AI19=1,'1.4 Analyse &amp; Synthese'!F19="Werkzeug"),'1.4 Analyse &amp; Synthese'!I19&amp;CHAR(13)&amp;"("&amp;'(Codierung)'!$C$4&amp;" - "&amp;'1.4 Analyse &amp; Synthese'!C19&amp;")","")</f>
        <v/>
      </c>
      <c r="ED18" s="277" t="str">
        <f t="array" ref="ED18">_xlfn.IFNA(INDEX($EC$6:$EC$66,MATCH(0,COUNTIF($ED$4:ED17,$EC$6:$EC$66),0),1),"")</f>
        <v/>
      </c>
      <c r="EF18" s="277" t="str">
        <f>IF(AND('1.4 Analyse &amp; Synthese'!AJ19=1,'1.4 Analyse &amp; Synthese'!F19="Empfehlung"),'1.4 Analyse &amp; Synthese'!I19&amp;CHAR(13)&amp;"("&amp;'(Codierung)'!$C$2&amp;" - "&amp;'1.4 Analyse &amp; Synthese'!C19&amp;")","")</f>
        <v/>
      </c>
      <c r="EG18" s="277" t="str">
        <f t="array" ref="EG18">_xlfn.IFNA(INDEX($EF$6:$EF$66,MATCH(0,COUNTIF($EG$4:EG17,$EF$6:$EF$66),0),1),"")</f>
        <v/>
      </c>
      <c r="EH18" s="277" t="str">
        <f>IF(AND('1.4 Analyse &amp; Synthese'!AJ19=1,'1.4 Analyse &amp; Synthese'!F19="Methode"),'1.4 Analyse &amp; Synthese'!I19&amp;CHAR(13)&amp;"("&amp;'(Codierung)'!$C$3&amp;" - "&amp;'1.4 Analyse &amp; Synthese'!C19&amp;")","")</f>
        <v/>
      </c>
      <c r="EI18" s="277" t="str">
        <f t="array" ref="EI18">_xlfn.IFNA(INDEX($EH$6:$EH$66,MATCH(0,COUNTIF($EI$4:EI17,$EH$6:$EH$66),0),1),"")</f>
        <v/>
      </c>
      <c r="EJ18" s="277" t="str">
        <f>IF(AND('1.4 Analyse &amp; Synthese'!AJ19=1,'1.4 Analyse &amp; Synthese'!F19="Werkzeug"),'1.4 Analyse &amp; Synthese'!I19&amp;CHAR(13)&amp;"("&amp;'(Codierung)'!$C$4&amp;" - "&amp;'1.4 Analyse &amp; Synthese'!C19&amp;")","")</f>
        <v/>
      </c>
      <c r="EK18" s="277" t="str">
        <f t="array" ref="EK18">_xlfn.IFNA(INDEX($EJ$6:$EJ$66,MATCH(0,COUNTIF($EK$4:EK17,$EJ$6:$EJ$66),0),1),"")</f>
        <v/>
      </c>
      <c r="EN18" s="222" t="str">
        <f t="shared" si="0"/>
        <v/>
      </c>
      <c r="EO18" s="277" t="str">
        <f t="shared" si="1"/>
        <v/>
      </c>
      <c r="EP18" s="277" t="str">
        <f t="shared" si="2"/>
        <v/>
      </c>
      <c r="EQ18" s="277" t="str">
        <f>ZahlenInBereich(Tabelle1[[Empfehlung]:[Werkzeug]],ROW()-5)</f>
        <v/>
      </c>
      <c r="ER18" s="277" t="str">
        <f t="shared" si="3"/>
        <v/>
      </c>
      <c r="ES18" s="277" t="str">
        <f t="shared" si="4"/>
        <v/>
      </c>
      <c r="ET18" s="277" t="str">
        <f t="shared" si="5"/>
        <v/>
      </c>
      <c r="EU18" s="277" t="str">
        <f>ZahlenInBereich(Tabelle1[[Empfehlung2]:[Werkzeug4]],ROW()-5)</f>
        <v/>
      </c>
      <c r="EV18" s="277" t="str">
        <f t="shared" si="6"/>
        <v/>
      </c>
      <c r="EW18" s="277" t="str">
        <f t="shared" si="7"/>
        <v/>
      </c>
      <c r="EX18" s="277" t="str">
        <f t="shared" si="8"/>
        <v/>
      </c>
      <c r="EY18" s="277" t="str">
        <f>ZahlenInBereich(Tabelle1[[Empfehlung6]:[Werkzeug8]],ROW()-5)</f>
        <v>Monitoring System_x000D_(Methode - Ludwig )</v>
      </c>
      <c r="EZ18" s="277" t="str">
        <f t="shared" si="9"/>
        <v/>
      </c>
      <c r="FA18" s="277" t="str">
        <f t="shared" si="10"/>
        <v/>
      </c>
      <c r="FB18" s="277" t="str">
        <f t="shared" si="11"/>
        <v/>
      </c>
      <c r="FC18" s="277" t="str">
        <f>ZahlenInBereich(Tabelle1[[Empfehlung10]:[Werkzeug12]],ROW()-5)</f>
        <v/>
      </c>
      <c r="FD18" s="277" t="str">
        <f t="shared" si="12"/>
        <v/>
      </c>
      <c r="FE18" s="277" t="str">
        <f t="shared" si="13"/>
        <v/>
      </c>
      <c r="FF18" s="277" t="str">
        <f t="shared" si="14"/>
        <v/>
      </c>
      <c r="FG18" s="277" t="str">
        <f>ZahlenInBereich(Tabelle1[[Empfehlung14]:[Werkzeug16]],ROW()-5)</f>
        <v/>
      </c>
      <c r="FH18" s="277" t="str">
        <f t="shared" si="15"/>
        <v/>
      </c>
      <c r="FI18" s="277" t="str">
        <f t="shared" si="16"/>
        <v/>
      </c>
      <c r="FJ18" s="277" t="str">
        <f t="shared" si="17"/>
        <v/>
      </c>
      <c r="FK18" s="277" t="str">
        <f>ZahlenInBereich(Tabelle1[[Empfehlung18]:[Werkzeug20]],ROW()-5)</f>
        <v/>
      </c>
      <c r="FL18" s="277" t="str">
        <f t="shared" si="18"/>
        <v/>
      </c>
      <c r="FM18" s="277" t="str">
        <f t="shared" si="19"/>
        <v/>
      </c>
      <c r="FN18" s="277" t="str">
        <f t="shared" si="20"/>
        <v/>
      </c>
      <c r="FO18" s="277" t="str">
        <f>ZahlenInBereich(Tabelle1[[Empfehlung22]:[Werkzeug24]],ROW()-5)</f>
        <v/>
      </c>
      <c r="FP18" s="277" t="str">
        <f t="shared" si="21"/>
        <v/>
      </c>
      <c r="FQ18" s="277" t="str">
        <f t="shared" si="22"/>
        <v/>
      </c>
      <c r="FR18" s="277" t="str">
        <f t="shared" si="23"/>
        <v/>
      </c>
      <c r="FS18" s="277" t="str">
        <f>ZahlenInBereich(Tabelle1[[Empfehlung26]:[Werkzeug28]],ROW()-5)</f>
        <v/>
      </c>
      <c r="FT18" s="277" t="str">
        <f t="shared" si="24"/>
        <v/>
      </c>
      <c r="FU18" s="277" t="str">
        <f t="shared" si="25"/>
        <v/>
      </c>
      <c r="FV18" s="277" t="str">
        <f t="shared" si="26"/>
        <v/>
      </c>
      <c r="FW18" s="277" t="str">
        <f>ZahlenInBereich(Tabelle1[[Empfehlung30]:[Werkzeug32]],ROW()-5)</f>
        <v/>
      </c>
      <c r="FX18" s="277" t="str">
        <f t="shared" si="27"/>
        <v/>
      </c>
      <c r="FY18" s="277" t="str">
        <f t="shared" si="28"/>
        <v/>
      </c>
      <c r="FZ18" s="277" t="str">
        <f t="shared" si="29"/>
        <v/>
      </c>
      <c r="GA18" s="277" t="str">
        <f>ZahlenInBereich(Tabelle1[[Empfehlung34]:[Werkzeug36]],ROW()-5)</f>
        <v/>
      </c>
      <c r="GB18" s="277" t="str">
        <f t="shared" si="30"/>
        <v/>
      </c>
      <c r="GC18" s="277" t="str">
        <f t="shared" si="31"/>
        <v/>
      </c>
      <c r="GD18" s="277" t="str">
        <f t="shared" si="32"/>
        <v/>
      </c>
      <c r="GE18" s="277" t="str">
        <f>ZahlenInBereich(Tabelle1[[Empfehlung38]:[Werkzeug40]],ROW()-5)</f>
        <v/>
      </c>
      <c r="GF18" s="277" t="str">
        <f t="shared" si="33"/>
        <v/>
      </c>
      <c r="GG18" s="277" t="str">
        <f t="shared" si="34"/>
        <v/>
      </c>
      <c r="GH18" s="277" t="str">
        <f t="shared" si="35"/>
        <v/>
      </c>
      <c r="GI18" s="277" t="str">
        <f>ZahlenInBereich(Tabelle1[[Empfehlung42]:[Werkzeug44]],ROW()-5)</f>
        <v/>
      </c>
      <c r="GJ18" s="277" t="str">
        <f t="shared" si="36"/>
        <v/>
      </c>
      <c r="GK18" s="277" t="str">
        <f t="shared" si="37"/>
        <v/>
      </c>
      <c r="GL18" s="277" t="str">
        <f t="shared" si="38"/>
        <v/>
      </c>
      <c r="GM18" s="277" t="str">
        <f>ZahlenInBereich(Tabelle1[[Empfehlung46]:[Werkzeug48]],ROW()-5)</f>
        <v/>
      </c>
      <c r="GN18" s="277" t="str">
        <f t="shared" si="39"/>
        <v/>
      </c>
      <c r="GO18" s="277" t="str">
        <f t="shared" si="40"/>
        <v/>
      </c>
      <c r="GP18" s="277" t="str">
        <f t="shared" si="41"/>
        <v/>
      </c>
      <c r="GQ18" s="277" t="str">
        <f>ZahlenInBereich(Tabelle1[[Empfehlung50]:[Werkzeug52]],ROW()-5)</f>
        <v/>
      </c>
      <c r="GR18" s="277" t="str">
        <f t="shared" si="42"/>
        <v/>
      </c>
      <c r="GS18" s="277" t="str">
        <f t="shared" si="43"/>
        <v/>
      </c>
      <c r="GT18" s="277" t="str">
        <f t="shared" si="44"/>
        <v/>
      </c>
      <c r="GU18" s="277" t="str">
        <f>ZahlenInBereich(Tabelle1[[Empfehlung54]:[Werkzeug56]],ROW()-5)</f>
        <v>Atificial Intelligence_x000D_(Werkzeug - Vukovic )</v>
      </c>
      <c r="GV18" s="277" t="str">
        <f t="shared" si="45"/>
        <v/>
      </c>
      <c r="GW18" s="277" t="str">
        <f t="shared" si="46"/>
        <v/>
      </c>
      <c r="GX18" s="277" t="str">
        <f t="shared" si="47"/>
        <v/>
      </c>
      <c r="GY18" s="277" t="str">
        <f>ZahlenInBereich(Tabelle1[[Empfehlung58]:[Werkzeug60]],ROW()-5)</f>
        <v>Open-Source Plattform_x000D_(Werkzeug - Yangui)</v>
      </c>
      <c r="GZ18" s="277" t="str">
        <f t="shared" si="48"/>
        <v/>
      </c>
      <c r="HA18" s="277" t="str">
        <f t="shared" si="49"/>
        <v/>
      </c>
      <c r="HB18" s="277" t="str">
        <f t="shared" si="50"/>
        <v/>
      </c>
      <c r="HC18" s="277" t="str">
        <f>ZahlenInBereich(Tabelle1[[Empfehlung62]:[Werkzeug64]],ROW()-5)</f>
        <v>Monitoring System_x000D_(Methode - Al-Hazmi )</v>
      </c>
      <c r="HD18" s="277" t="str">
        <f t="shared" si="51"/>
        <v/>
      </c>
      <c r="HE18" s="277" t="str">
        <f t="shared" si="52"/>
        <v/>
      </c>
      <c r="HF18" s="277" t="str">
        <f t="shared" si="53"/>
        <v/>
      </c>
      <c r="HG18" s="277" t="str">
        <f>ZahlenInBereich(Tabelle1[[Empfehlung66]:[Werkzeug68]],ROW()-5)</f>
        <v/>
      </c>
      <c r="HH18" s="277" t="str">
        <f t="shared" si="54"/>
        <v/>
      </c>
      <c r="HI18" s="277" t="str">
        <f t="shared" si="55"/>
        <v/>
      </c>
      <c r="HJ18" s="277" t="str">
        <f t="shared" si="56"/>
        <v/>
      </c>
      <c r="HK18" s="277" t="str">
        <f>ZahlenInBereich(Tabelle1[[Empfehlung70]:[Werkzeug72]],ROW()-5)</f>
        <v>Monitoring System_x000D_(Methode - Al-Hazmi )</v>
      </c>
      <c r="HL18" s="277" t="str">
        <f t="shared" si="57"/>
        <v/>
      </c>
      <c r="HM18" s="277" t="str">
        <f t="shared" si="58"/>
        <v/>
      </c>
      <c r="HN18" s="277" t="str">
        <f t="shared" si="59"/>
        <v/>
      </c>
      <c r="HO18" s="277" t="str">
        <f>ZahlenInBereich(Tabelle1[[Empfehlung74]:[Werkzeug76]],ROW()-5)</f>
        <v/>
      </c>
    </row>
    <row r="19" spans="2:223" ht="32" x14ac:dyDescent="0.2">
      <c r="B19" s="134">
        <f>'1.4 Analyse &amp; Synthese'!B20</f>
        <v>14</v>
      </c>
      <c r="C19" s="277" t="str">
        <f>IF(AND('1.4 Analyse &amp; Synthese'!Q20=1,'1.4 Analyse &amp; Synthese'!F20="Empfehlung"),'1.4 Analyse &amp; Synthese'!I20&amp;CHAR(13)&amp;"("&amp;'(Codierung)'!$C$2&amp;" - "&amp;'1.4 Analyse &amp; Synthese'!C20&amp;")","")</f>
        <v/>
      </c>
      <c r="D19" s="222" t="str">
        <f t="array" ref="D19">_xlfn.IFNA(INDEX($C$6:$C$66,MATCH(0,COUNTIF($D$4:D18,$C$6:$C$66),0),1),"")</f>
        <v/>
      </c>
      <c r="E19" s="277" t="str">
        <f>IF(AND('1.4 Analyse &amp; Synthese'!Q20=1,'1.4 Analyse &amp; Synthese'!F20="Methode"),'1.4 Analyse &amp; Synthese'!I20&amp;CHAR(13)&amp;"("&amp;'(Codierung)'!$C$3&amp;" - "&amp;'1.4 Analyse &amp; Synthese'!C20&amp;")","")</f>
        <v/>
      </c>
      <c r="F19" s="277" t="str">
        <f t="array" ref="F19">_xlfn.IFNA(INDEX($E$6:$E$66,MATCH(0,COUNTIF($F$4:F18,$E$6:$E$66),0),1),"")</f>
        <v/>
      </c>
      <c r="G19" s="277" t="str">
        <f>IF(AND('1.4 Analyse &amp; Synthese'!Q20=1,'1.4 Analyse &amp; Synthese'!F20="Werkzeug"),'1.4 Analyse &amp; Synthese'!I20&amp;CHAR(13)&amp;"("&amp;'(Codierung)'!$C$4&amp;" - "&amp;'1.4 Analyse &amp; Synthese'!C20&amp;")","")</f>
        <v>Einheitl. Servicebeschreibung_x000D_(Werkzeug - El-Awadi)</v>
      </c>
      <c r="H19" s="277" t="str">
        <f t="array" ref="H19">_xlfn.IFNA(INDEX($G$6:$G$66,MATCH(0,COUNTIF($H$4:H18,$G$6:$G$66),0),1),"")</f>
        <v/>
      </c>
      <c r="J19" s="277" t="str">
        <f>IF(AND('1.4 Analyse &amp; Synthese'!R20=1,'1.4 Analyse &amp; Synthese'!F20="Empfehlung"),'1.4 Analyse &amp; Synthese'!I20&amp;CHAR(13)&amp;"("&amp;'(Codierung)'!$C$2&amp;" - "&amp;'1.4 Analyse &amp; Synthese'!C20&amp;")","")</f>
        <v/>
      </c>
      <c r="K19" s="277" t="str">
        <f t="array" ref="K19">_xlfn.IFNA(INDEX($J$6:$J$66,MATCH(0,COUNTIF($K$4:K18,$J$6:$J$66),0),1),"")</f>
        <v/>
      </c>
      <c r="L19" s="277" t="str">
        <f>IF(AND('1.4 Analyse &amp; Synthese'!R20=1,'1.4 Analyse &amp; Synthese'!F20="Methode"),'1.4 Analyse &amp; Synthese'!I20&amp;CHAR(13)&amp;"("&amp;'(Codierung)'!$C$3&amp;" - "&amp;'1.4 Analyse &amp; Synthese'!C20&amp;")","")</f>
        <v/>
      </c>
      <c r="M19" s="277" t="str">
        <f t="array" ref="M19">_xlfn.IFNA(INDEX($L$6:$L$66,MATCH(0,COUNTIF($M$4:M18,$L$6:$L$66),0),1),"")</f>
        <v/>
      </c>
      <c r="N19" s="277" t="str">
        <f>IF(AND('1.4 Analyse &amp; Synthese'!R20=1,'1.4 Analyse &amp; Synthese'!F20="Werkzeug"),'1.4 Analyse &amp; Synthese'!I20&amp;CHAR(13)&amp;"("&amp;'(Codierung)'!$C$4&amp;" - "&amp;'1.4 Analyse &amp; Synthese'!C20&amp;")","")</f>
        <v/>
      </c>
      <c r="O19" s="277" t="str">
        <f t="array" ref="O19">_xlfn.IFNA(INDEX($N$6:$N$66,MATCH(0,COUNTIF($O$4:O18,$N$6:$N$66),0),1),"")</f>
        <v/>
      </c>
      <c r="Q19" s="277" t="str">
        <f>IF(AND('1.4 Analyse &amp; Synthese'!S20=1,'1.4 Analyse &amp; Synthese'!F20="Empfehlung"),'1.4 Analyse &amp; Synthese'!I20&amp;CHAR(13)&amp;"("&amp;'(Codierung)'!$C$2&amp;" - "&amp;'1.4 Analyse &amp; Synthese'!C20&amp;")","")</f>
        <v/>
      </c>
      <c r="R19" s="277" t="str">
        <f t="array" ref="R19">_xlfn.IFNA(INDEX($Q$6:$Q$66,MATCH(0,COUNTIF($R$4:R18,$Q$6:$Q$66),0),1),"")</f>
        <v/>
      </c>
      <c r="S19" s="277" t="str">
        <f>IF(AND('1.4 Analyse &amp; Synthese'!S20=1,'1.4 Analyse &amp; Synthese'!F20="Methode"),'1.4 Analyse &amp; Synthese'!I20&amp;CHAR(13)&amp;"("&amp;'(Codierung)'!$C$3&amp;" - "&amp;'1.4 Analyse &amp; Synthese'!C20&amp;")","")</f>
        <v/>
      </c>
      <c r="T19" s="277" t="str">
        <f t="array" ref="T19">_xlfn.IFNA(INDEX($S$6:$S$66,MATCH(0,COUNTIF($T$4:T18,$S$6:$S$66),0),1),"")</f>
        <v/>
      </c>
      <c r="U19" s="277" t="str">
        <f>IF(AND('1.4 Analyse &amp; Synthese'!S20=1,'1.4 Analyse &amp; Synthese'!F20="Werkzeug"),'1.4 Analyse &amp; Synthese'!I20&amp;CHAR(13)&amp;"("&amp;'(Codierung)'!$C$4&amp;" - "&amp;'1.4 Analyse &amp; Synthese'!C20&amp;")","")</f>
        <v>Einheitl. Servicebeschreibung_x000D_(Werkzeug - El-Awadi)</v>
      </c>
      <c r="V19" s="277" t="str">
        <f t="array" ref="V19">_xlfn.IFNA(INDEX($U$6:$U$66,MATCH(0,COUNTIF($V$4:V18,$U$6:$U$66),0),1),"")</f>
        <v/>
      </c>
      <c r="X19" s="277" t="str">
        <f>IF(AND('1.4 Analyse &amp; Synthese'!T20=1,'1.4 Analyse &amp; Synthese'!F20="Empfehlung"),'1.4 Analyse &amp; Synthese'!I20&amp;CHAR(13)&amp;"("&amp;'(Codierung)'!$C$2&amp;" - "&amp;'1.4 Analyse &amp; Synthese'!C20&amp;")","")</f>
        <v/>
      </c>
      <c r="Y19" s="277" t="str">
        <f t="array" ref="Y19">_xlfn.IFNA(INDEX($X$6:$X$66,MATCH(0,COUNTIF($Y$4:Y18,$X$6:$X$66),0),1),"")</f>
        <v/>
      </c>
      <c r="Z19" s="277" t="str">
        <f>IF(AND('1.4 Analyse &amp; Synthese'!T20=1,'1.4 Analyse &amp; Synthese'!F20="Methode"),'1.4 Analyse &amp; Synthese'!I20&amp;CHAR(13)&amp;"("&amp;'(Codierung)'!$C$3&amp;" - "&amp;'1.4 Analyse &amp; Synthese'!C20&amp;")","")</f>
        <v/>
      </c>
      <c r="AA19" s="277" t="str">
        <f t="array" ref="AA19">_xlfn.IFNA(INDEX($Z$6:$Z$66,MATCH(0,COUNTIF($AA$4:AA18,$Z$6:$Z$66),0),1),"")</f>
        <v/>
      </c>
      <c r="AB19" s="277" t="str">
        <f>IF(AND('1.4 Analyse &amp; Synthese'!T20=1,'1.4 Analyse &amp; Synthese'!F20="Werkzeug"),'1.4 Analyse &amp; Synthese'!I20&amp;CHAR(13)&amp;"("&amp;'(Codierung)'!$C$4&amp;" - "&amp;'1.4 Analyse &amp; Synthese'!C20&amp;")","")</f>
        <v/>
      </c>
      <c r="AC19" s="277" t="str">
        <f t="array" ref="AC19">_xlfn.IFNA(INDEX($AB$6:$AB$66,MATCH(0,COUNTIF($AC$4:AC18,$AB$6:$AB$66),0),1),"")</f>
        <v/>
      </c>
      <c r="AE19" s="277" t="str">
        <f>IF(AND('1.4 Analyse &amp; Synthese'!U20=1,'1.4 Analyse &amp; Synthese'!F20="Empfehlung"),'1.4 Analyse &amp; Synthese'!I20&amp;CHAR(13)&amp;"("&amp;'(Codierung)'!$C$2&amp;" - "&amp;'1.4 Analyse &amp; Synthese'!C20&amp;")","")</f>
        <v/>
      </c>
      <c r="AF19" s="277" t="str">
        <f t="array" ref="AF19">_xlfn.IFNA(INDEX($AE$6:$AE$66,MATCH(0,COUNTIF($AF$4:AF18,$AE$6:$AE$66),0),1),"")</f>
        <v/>
      </c>
      <c r="AG19" s="277" t="str">
        <f>IF(AND('1.4 Analyse &amp; Synthese'!U20=1,'1.4 Analyse &amp; Synthese'!F20="Methode"),'1.4 Analyse &amp; Synthese'!I20&amp;CHAR(13)&amp;"("&amp;'(Codierung)'!$C$3&amp;" - "&amp;'1.4 Analyse &amp; Synthese'!C20&amp;")","")</f>
        <v/>
      </c>
      <c r="AH19" s="277" t="str">
        <f t="array" ref="AH19">_xlfn.IFNA(INDEX($AG$6:$AG$66,MATCH(0,COUNTIF($AH$4:AH18,$AG$6:$AG$66),0),1),"")</f>
        <v/>
      </c>
      <c r="AI19" s="277" t="str">
        <f>IF(AND('1.4 Analyse &amp; Synthese'!U20=1,'1.4 Analyse &amp; Synthese'!F20="Werkzeug"),'1.4 Analyse &amp; Synthese'!I20&amp;CHAR(13)&amp;"("&amp;'(Codierung)'!$C$4&amp;" - "&amp;'1.4 Analyse &amp; Synthese'!C20&amp;")","")</f>
        <v/>
      </c>
      <c r="AJ19" s="277" t="str">
        <f t="array" ref="AJ19">_xlfn.IFNA(INDEX($AI$6:$AI$66,MATCH(0,COUNTIF($AJ$4:AJ18,$AI$6:$AI$66),0),1),"")</f>
        <v/>
      </c>
      <c r="AL19" s="277" t="str">
        <f>IF(AND('1.4 Analyse &amp; Synthese'!V20=1,'1.4 Analyse &amp; Synthese'!F20="Empfehlung"),'1.4 Analyse &amp; Synthese'!I20&amp;CHAR(13)&amp;"("&amp;'(Codierung)'!$C$2&amp;" - "&amp;'1.4 Analyse &amp; Synthese'!C20&amp;")","")</f>
        <v/>
      </c>
      <c r="AM19" s="277" t="str">
        <f t="array" ref="AM19">_xlfn.IFNA(INDEX($AL$6:$AL$66,MATCH(0,COUNTIF($AM$4:AM18,$AL$6:$AL$66),0),1),"")</f>
        <v/>
      </c>
      <c r="AN19" s="277" t="str">
        <f>IF(AND('1.4 Analyse &amp; Synthese'!V20=1,'1.4 Analyse &amp; Synthese'!F20="Methode"),'1.4 Analyse &amp; Synthese'!I20&amp;CHAR(13)&amp;"("&amp;'(Codierung)'!$C$3&amp;" - "&amp;'1.4 Analyse &amp; Synthese'!C20&amp;")","")</f>
        <v/>
      </c>
      <c r="AO19" s="277" t="str">
        <f t="array" ref="AO19">_xlfn.IFNA(INDEX($AN$6:$AN$66,MATCH(0,COUNTIF($AO$4:AO18,$AN$6:$AN$66),0),1),"")</f>
        <v/>
      </c>
      <c r="AP19" s="277" t="str">
        <f>IF(AND('1.4 Analyse &amp; Synthese'!V20=1,'1.4 Analyse &amp; Synthese'!F20="Werkzeug"),'1.4 Analyse &amp; Synthese'!I20&amp;CHAR(13)&amp;"("&amp;'(Codierung)'!$C$4&amp;" - "&amp;'1.4 Analyse &amp; Synthese'!C20&amp;")","")</f>
        <v>Einheitl. Servicebeschreibung_x000D_(Werkzeug - El-Awadi)</v>
      </c>
      <c r="AQ19" s="277" t="str">
        <f t="array" ref="AQ19">_xlfn.IFNA(INDEX($AP$6:$AP$66,MATCH(0,COUNTIF($AQ$4:AQ18,$AP$6:$AP$66),0),1),"")</f>
        <v/>
      </c>
      <c r="AS19" s="277" t="str">
        <f>IF(AND('1.4 Analyse &amp; Synthese'!W20=1,'1.4 Analyse &amp; Synthese'!F20="Empfehlung"),'1.4 Analyse &amp; Synthese'!I20&amp;CHAR(13)&amp;"("&amp;'(Codierung)'!$C$2&amp;" - "&amp;'1.4 Analyse &amp; Synthese'!C20&amp;")","")</f>
        <v/>
      </c>
      <c r="AT19" s="277" t="str">
        <f t="array" ref="AT19">_xlfn.IFNA(INDEX($AS$6:$AS$66,MATCH(0,COUNTIF($AT$4:AT18,$AS$6:$AS$66),0),1),"")</f>
        <v/>
      </c>
      <c r="AU19" s="277" t="str">
        <f>IF(AND('1.4 Analyse &amp; Synthese'!W20=1,'1.4 Analyse &amp; Synthese'!F20="Methode"),'1.4 Analyse &amp; Synthese'!I20&amp;CHAR(13)&amp;"("&amp;'(Codierung)'!$C$3&amp;" - "&amp;'1.4 Analyse &amp; Synthese'!C20&amp;")","")</f>
        <v/>
      </c>
      <c r="AV19" s="277" t="str">
        <f t="array" ref="AV19">_xlfn.IFNA(INDEX($AU$6:$AU$66,MATCH(0,COUNTIF($AV$4:AV18,$AU$6:$AU$66),0),1),"")</f>
        <v/>
      </c>
      <c r="AW19" s="277" t="str">
        <f>IF(AND('1.4 Analyse &amp; Synthese'!W20=1,'1.4 Analyse &amp; Synthese'!F20="Werkzeug"),'1.4 Analyse &amp; Synthese'!I20&amp;CHAR(13)&amp;"("&amp;'(Codierung)'!$C$4&amp;" - "&amp;'1.4 Analyse &amp; Synthese'!C20&amp;")","")</f>
        <v/>
      </c>
      <c r="AX19" s="277" t="str">
        <f t="array" ref="AX19">_xlfn.IFNA(INDEX($AW$6:$AW$66,MATCH(0,COUNTIF($AX$4:AX18,$AW$6:$AW$66),0),1),"")</f>
        <v/>
      </c>
      <c r="AZ19" s="277" t="str">
        <f>IF(AND('1.4 Analyse &amp; Synthese'!X20=1,'1.4 Analyse &amp; Synthese'!F20="Empfehlung"),'1.4 Analyse &amp; Synthese'!I20&amp;CHAR(13)&amp;"("&amp;'(Codierung)'!$C$2&amp;" - "&amp;'1.4 Analyse &amp; Synthese'!C20&amp;")","")</f>
        <v/>
      </c>
      <c r="BA19" s="277" t="str">
        <f t="array" ref="BA19">_xlfn.IFNA(INDEX($AZ$6:$AZ$66,MATCH(0,COUNTIF($BA$4:BA18,$AZ$6:$AZ$66),0),1),"")</f>
        <v/>
      </c>
      <c r="BB19" s="277" t="str">
        <f>IF(AND('1.4 Analyse &amp; Synthese'!X20=1,'1.4 Analyse &amp; Synthese'!F20="Methode"),'1.4 Analyse &amp; Synthese'!I20&amp;CHAR(13)&amp;"("&amp;'(Codierung)'!$C$3&amp;" - "&amp;'1.4 Analyse &amp; Synthese'!C20&amp;")","")</f>
        <v/>
      </c>
      <c r="BC19" s="277" t="str">
        <f t="array" ref="BC19">_xlfn.IFNA(INDEX($BB$6:$BB$66,MATCH(0,COUNTIF($BC$4:BC18,$BB$6:$BB$66),0),1),"")</f>
        <v/>
      </c>
      <c r="BD19" s="277" t="str">
        <f>IF(AND('1.4 Analyse &amp; Synthese'!X20=1,'1.4 Analyse &amp; Synthese'!F20="Werkzeug"),'1.4 Analyse &amp; Synthese'!I20&amp;CHAR(13)&amp;"("&amp;'(Codierung)'!$C$4&amp;" - "&amp;'1.4 Analyse &amp; Synthese'!C20&amp;")","")</f>
        <v>Einheitl. Servicebeschreibung_x000D_(Werkzeug - El-Awadi)</v>
      </c>
      <c r="BE19" s="277" t="str">
        <f t="array" ref="BE19">_xlfn.IFNA(INDEX($BD$6:$BD$66,MATCH(0,COUNTIF($BE$4:BE18,$BD$6:$BD$66),0),1),"")</f>
        <v/>
      </c>
      <c r="BG19" s="277" t="str">
        <f>IF(AND('1.4 Analyse &amp; Synthese'!Y20=1,'1.4 Analyse &amp; Synthese'!F20="Empfehlung"),'1.4 Analyse &amp; Synthese'!I20&amp;CHAR(13)&amp;"("&amp;'(Codierung)'!$C$2&amp;" - "&amp;'1.4 Analyse &amp; Synthese'!C20&amp;")","")</f>
        <v/>
      </c>
      <c r="BH19" s="277" t="str">
        <f t="array" ref="BH19">_xlfn.IFNA(INDEX($BG$6:$BG$66,MATCH(0,COUNTIF($BH$4:BH18,$BG$6:$BG$66),0),1),"")</f>
        <v/>
      </c>
      <c r="BI19" s="277" t="str">
        <f>IF(AND('1.4 Analyse &amp; Synthese'!Y20=1,'1.4 Analyse &amp; Synthese'!F20="Methode"),'1.4 Analyse &amp; Synthese'!I20&amp;CHAR(13)&amp;"("&amp;'(Codierung)'!$C$3&amp;" - "&amp;'1.4 Analyse &amp; Synthese'!C20&amp;")","")</f>
        <v/>
      </c>
      <c r="BJ19" s="277" t="str">
        <f t="array" ref="BJ19">_xlfn.IFNA(INDEX($BI$6:$BI$66,MATCH(0,COUNTIF($BJ$4:BJ18,$BI$6:$BI$66),0),1),"")</f>
        <v/>
      </c>
      <c r="BK19" s="277" t="str">
        <f>IF(AND('1.4 Analyse &amp; Synthese'!Y20=1,'1.4 Analyse &amp; Synthese'!F20="Werkzeug"),'1.4 Analyse &amp; Synthese'!I20&amp;CHAR(13)&amp;"("&amp;'(Codierung)'!$C$4&amp;" - "&amp;'1.4 Analyse &amp; Synthese'!C20&amp;")","")</f>
        <v/>
      </c>
      <c r="BL19" s="277" t="str">
        <f t="array" ref="BL19">_xlfn.IFNA(INDEX($BK$6:$BK$66,MATCH(0,COUNTIF($BL$4:BL18,$BK$6:$BK$66),0),1),"")</f>
        <v/>
      </c>
      <c r="BN19" s="277" t="str">
        <f>IF(AND('1.4 Analyse &amp; Synthese'!Z20=1,'1.4 Analyse &amp; Synthese'!F20="Empfehlung"),'1.4 Analyse &amp; Synthese'!I20&amp;CHAR(13)&amp;"("&amp;'(Codierung)'!$C$2&amp;" - "&amp;'1.4 Analyse &amp; Synthese'!C20&amp;")","")</f>
        <v/>
      </c>
      <c r="BO19" s="277" t="str">
        <f t="array" ref="BO19">_xlfn.IFNA(INDEX($BN$6:$BN$66,MATCH(0,COUNTIF($BO$4:BO18,$BN$6:$BN$66),0),1),"")</f>
        <v/>
      </c>
      <c r="BP19" s="277" t="str">
        <f>IF(AND('1.4 Analyse &amp; Synthese'!Z20=1,'1.4 Analyse &amp; Synthese'!F20="Methode"),'1.4 Analyse &amp; Synthese'!I20&amp;CHAR(13)&amp;"("&amp;'(Codierung)'!$C$3&amp;" - "&amp;'1.4 Analyse &amp; Synthese'!C20&amp;")","")</f>
        <v/>
      </c>
      <c r="BQ19" s="277" t="str">
        <f t="array" ref="BQ19">_xlfn.IFNA(INDEX($BP$6:$BP$66,MATCH(0,COUNTIF($BQ$4:BQ18,$BP$6:$BP$66),0),1),"")</f>
        <v/>
      </c>
      <c r="BR19" s="277" t="str">
        <f>IF(AND('1.4 Analyse &amp; Synthese'!Z20=1,'1.4 Analyse &amp; Synthese'!F20="Werkzeug"),'1.4 Analyse &amp; Synthese'!I20&amp;CHAR(13)&amp;"("&amp;'(Codierung)'!$C$4&amp;" - "&amp;'1.4 Analyse &amp; Synthese'!C20&amp;")","")</f>
        <v>Einheitl. Servicebeschreibung_x000D_(Werkzeug - El-Awadi)</v>
      </c>
      <c r="BS19" s="277" t="str">
        <f t="array" ref="BS19">_xlfn.IFNA(INDEX($BR$6:$BR$66,MATCH(0,COUNTIF($BS$4:BS18,$BR$6:$BR$66),0),1),"")</f>
        <v/>
      </c>
      <c r="BU19" s="277" t="str">
        <f>IF(AND('1.4 Analyse &amp; Synthese'!AA20=1,'1.4 Analyse &amp; Synthese'!F20="Empfehlung"),'1.4 Analyse &amp; Synthese'!I20&amp;CHAR(13)&amp;"("&amp;'(Codierung)'!$C$2&amp;" - "&amp;'1.4 Analyse &amp; Synthese'!C20&amp;")","")</f>
        <v/>
      </c>
      <c r="BV19" s="277" t="str">
        <f t="array" ref="BV19">_xlfn.IFNA(INDEX($BU$6:$BU$66,MATCH(0,COUNTIF($BV$4:BV18,$BU$6:$BU$66),0),1),"")</f>
        <v/>
      </c>
      <c r="BW19" s="277" t="str">
        <f>IF(AND('1.4 Analyse &amp; Synthese'!AA20=1,'1.4 Analyse &amp; Synthese'!F20="Methode"),'1.4 Analyse &amp; Synthese'!I20&amp;CHAR(13)&amp;"("&amp;'(Codierung)'!$C$3&amp;" - "&amp;'1.4 Analyse &amp; Synthese'!C20&amp;")","")</f>
        <v/>
      </c>
      <c r="BX19" s="277" t="str">
        <f t="array" ref="BX19">_xlfn.IFNA(INDEX($BW$6:$BW$66,MATCH(0,COUNTIF($BX$4:BX18,$BW$6:$BW$66),0),1),"")</f>
        <v/>
      </c>
      <c r="BY19" s="277" t="str">
        <f>IF(AND('1.4 Analyse &amp; Synthese'!AA20=1,'1.4 Analyse &amp; Synthese'!F20="Werkzeug"),'1.4 Analyse &amp; Synthese'!I20&amp;CHAR(13)&amp;"("&amp;'(Codierung)'!$C$4&amp;" - "&amp;'1.4 Analyse &amp; Synthese'!C20&amp;")","")</f>
        <v/>
      </c>
      <c r="BZ19" s="277" t="str">
        <f t="array" ref="BZ19">_xlfn.IFNA(INDEX($BY$6:$BY$66,MATCH(0,COUNTIF($BZ$4:BZ18,$BY$6:$BY$66),0),1),"")</f>
        <v/>
      </c>
      <c r="CB19" s="277" t="str">
        <f>IF(AND('1.4 Analyse &amp; Synthese'!AB20=1,'1.4 Analyse &amp; Synthese'!F20="Empfehlung"),'1.4 Analyse &amp; Synthese'!I20&amp;CHAR(13)&amp;"("&amp;'(Codierung)'!$C$2&amp;" - "&amp;'1.4 Analyse &amp; Synthese'!C20&amp;")","")</f>
        <v/>
      </c>
      <c r="CC19" s="277" t="str">
        <f t="array" ref="CC19">_xlfn.IFNA(INDEX($CB$6:$CB$66,MATCH(0,COUNTIF($CC$4:CC18,$CB$6:$CB$66),0),1),"")</f>
        <v/>
      </c>
      <c r="CD19" s="277" t="str">
        <f>IF(AND('1.4 Analyse &amp; Synthese'!AB20=1,'1.4 Analyse &amp; Synthese'!F20="Methode"),'1.4 Analyse &amp; Synthese'!I20&amp;CHAR(13)&amp;"("&amp;'(Codierung)'!$C$3&amp;" - "&amp;'1.4 Analyse &amp; Synthese'!C20&amp;")","")</f>
        <v/>
      </c>
      <c r="CE19" s="277" t="str">
        <f t="array" ref="CE19">_xlfn.IFNA(INDEX($CD$6:$CD$66,MATCH(0,COUNTIF($CE$4:CE18,$CD$6:$CD$66),0),1),"")</f>
        <v/>
      </c>
      <c r="CF19" s="277" t="str">
        <f>IF(AND('1.4 Analyse &amp; Synthese'!AB20=1,'1.4 Analyse &amp; Synthese'!F20="Werkzeug"),'1.4 Analyse &amp; Synthese'!I20&amp;CHAR(13)&amp;"("&amp;'(Codierung)'!$C$4&amp;" - "&amp;'1.4 Analyse &amp; Synthese'!C20&amp;")","")</f>
        <v/>
      </c>
      <c r="CG19" s="277" t="str">
        <f t="array" ref="CG19">_xlfn.IFNA(INDEX($CF$6:$CF$66,MATCH(0,COUNTIF($CG$4:CG18,$CF$6:$CF$66),0),1),"")</f>
        <v/>
      </c>
      <c r="CI19" s="277" t="str">
        <f>IF(AND('1.4 Analyse &amp; Synthese'!AC20=1,'1.4 Analyse &amp; Synthese'!F20="Empfehlung"),'1.4 Analyse &amp; Synthese'!I20&amp;CHAR(13)&amp;"("&amp;'(Codierung)'!$C$2&amp;" - "&amp;'1.4 Analyse &amp; Synthese'!C20&amp;")","")</f>
        <v/>
      </c>
      <c r="CJ19" s="277" t="str">
        <f t="array" ref="CJ19">_xlfn.IFNA(INDEX($CI$6:$CI$66,MATCH(0,COUNTIF($CJ$4:CJ18,$CI$6:$CI$66),0),1),"")</f>
        <v/>
      </c>
      <c r="CK19" s="277" t="str">
        <f>IF(AND('1.4 Analyse &amp; Synthese'!AC20=1,'1.4 Analyse &amp; Synthese'!F20="Methode"),'1.4 Analyse &amp; Synthese'!I20&amp;CHAR(13)&amp;"("&amp;'(Codierung)'!$C$3&amp;" - "&amp;'1.4 Analyse &amp; Synthese'!C20&amp;")","")</f>
        <v/>
      </c>
      <c r="CL19" s="277" t="str">
        <f t="array" ref="CL19">_xlfn.IFNA(INDEX($CK$6:$CK$66,MATCH(0,COUNTIF($CL$4:CL18,$CK$6:$CK$66),0),1),"")</f>
        <v/>
      </c>
      <c r="CM19" s="277" t="str">
        <f>IF(AND('1.4 Analyse &amp; Synthese'!AC20=1,'1.4 Analyse &amp; Synthese'!F20="Werkzeug"),'1.4 Analyse &amp; Synthese'!I20&amp;CHAR(13)&amp;"("&amp;'(Codierung)'!$C$4&amp;" - "&amp;'1.4 Analyse &amp; Synthese'!C20&amp;")","")</f>
        <v/>
      </c>
      <c r="CN19" s="277" t="str">
        <f t="array" ref="CN19">_xlfn.IFNA(INDEX($CM$6:$CM$66,MATCH(0,COUNTIF($CN$4:CN18,$CM$6:$CM$66),0),1),"")</f>
        <v/>
      </c>
      <c r="CP19" s="277" t="str">
        <f>IF(AND('1.4 Analyse &amp; Synthese'!AD20=1,'1.4 Analyse &amp; Synthese'!F20="Empfehlung"),'1.4 Analyse &amp; Synthese'!I20&amp;CHAR(13)&amp;"("&amp;'(Codierung)'!$C$2&amp;" - "&amp;'1.4 Analyse &amp; Synthese'!C20&amp;")","")</f>
        <v/>
      </c>
      <c r="CQ19" s="277" t="str">
        <f t="array" ref="CQ19">_xlfn.IFNA(INDEX($CP$6:$CP$66,MATCH(0,COUNTIF($CQ$4:CQ18,$CP$6:$CP$66),0),1),"")</f>
        <v/>
      </c>
      <c r="CR19" s="277" t="str">
        <f>IF(AND('1.4 Analyse &amp; Synthese'!AD20=1,'1.4 Analyse &amp; Synthese'!F20="Methode"),'1.4 Analyse &amp; Synthese'!I20&amp;CHAR(13)&amp;"("&amp;'(Codierung)'!$C$3&amp;" - "&amp;'1.4 Analyse &amp; Synthese'!C20&amp;")","")</f>
        <v/>
      </c>
      <c r="CS19" s="277" t="str">
        <f t="array" ref="CS19">_xlfn.IFNA(INDEX($CR$6:$CR$66,MATCH(0,COUNTIF($CS$4:CS18,$CR$6:$CR$66),0),1),"")</f>
        <v/>
      </c>
      <c r="CT19" s="277" t="str">
        <f>IF(AND('1.4 Analyse &amp; Synthese'!AD20=1,'1.4 Analyse &amp; Synthese'!F20="Werkzeug"),'1.4 Analyse &amp; Synthese'!I20&amp;CHAR(13)&amp;"("&amp;'(Codierung)'!$C$4&amp;" - "&amp;'1.4 Analyse &amp; Synthese'!C20&amp;")","")</f>
        <v/>
      </c>
      <c r="CU19" s="277" t="str">
        <f t="array" ref="CU19">_xlfn.IFNA(INDEX($CT$6:$CT$66,MATCH(0,COUNTIF($CU$4:CU18,$CT$6:$CT$66),0),1),"")</f>
        <v/>
      </c>
      <c r="CW19" s="277" t="str">
        <f>IF(AND('1.4 Analyse &amp; Synthese'!AE20=1,'1.4 Analyse &amp; Synthese'!F20="Empfehlung"),'1.4 Analyse &amp; Synthese'!I20&amp;CHAR(13)&amp;"("&amp;'(Codierung)'!$C$2&amp;" - "&amp;'1.4 Analyse &amp; Synthese'!C20&amp;")","")</f>
        <v/>
      </c>
      <c r="CX19" s="277" t="str">
        <f t="array" ref="CX19">_xlfn.IFNA(INDEX($CW$6:$CW$66,MATCH(0,COUNTIF($CX$4:CX18,$CW$6:$CW$66),0),1),"")</f>
        <v/>
      </c>
      <c r="CY19" s="277" t="str">
        <f>IF(AND('1.4 Analyse &amp; Synthese'!AE20=1,'1.4 Analyse &amp; Synthese'!F20="Methode"),'1.4 Analyse &amp; Synthese'!I20&amp;CHAR(13)&amp;"("&amp;'(Codierung)'!$C$3&amp;" - "&amp;'1.4 Analyse &amp; Synthese'!C20&amp;")","")</f>
        <v/>
      </c>
      <c r="CZ19" s="277" t="str">
        <f t="array" ref="CZ19">_xlfn.IFNA(INDEX($CY$6:$CY$66,MATCH(0,COUNTIF($CZ$4:CZ18,$CY$6:$CY$66),0),1),"")</f>
        <v/>
      </c>
      <c r="DA19" s="277" t="str">
        <f>IF(AND('1.4 Analyse &amp; Synthese'!AE20=1,'1.4 Analyse &amp; Synthese'!F20="Werkzeug"),'1.4 Analyse &amp; Synthese'!I20&amp;CHAR(13)&amp;"("&amp;'(Codierung)'!$C$4&amp;" - "&amp;'1.4 Analyse &amp; Synthese'!C20&amp;")","")</f>
        <v/>
      </c>
      <c r="DB19" s="277" t="str">
        <f t="array" ref="DB19">_xlfn.IFNA(INDEX($DA$6:$DA$66,MATCH(0,COUNTIF($DB$4:DB18,$DA$6:$DA$66),0),1),"")</f>
        <v/>
      </c>
      <c r="DD19" s="277" t="str">
        <f>IF(AND('1.4 Analyse &amp; Synthese'!AF20=1,'1.4 Analyse &amp; Synthese'!F20="Empfehlung"),'1.4 Analyse &amp; Synthese'!I20&amp;CHAR(13)&amp;"("&amp;'(Codierung)'!$C$2&amp;" - "&amp;'1.4 Analyse &amp; Synthese'!C20&amp;")","")</f>
        <v/>
      </c>
      <c r="DE19" s="277" t="str">
        <f t="array" ref="DE19">_xlfn.IFNA(INDEX($DD$6:$DD$66,MATCH(0,COUNTIF($DE$4:DE18,$DD$6:$DD$66),0),1),"")</f>
        <v/>
      </c>
      <c r="DF19" s="277" t="str">
        <f>IF(AND('1.4 Analyse &amp; Synthese'!AF20=1,'1.4 Analyse &amp; Synthese'!F20="Methode"),'1.4 Analyse &amp; Synthese'!I20&amp;CHAR(13)&amp;"("&amp;'(Codierung)'!$C$3&amp;" - "&amp;'1.4 Analyse &amp; Synthese'!C20&amp;")","")</f>
        <v/>
      </c>
      <c r="DG19" s="277" t="str">
        <f t="array" ref="DG19">_xlfn.IFNA(INDEX($DF$6:$DF$66,MATCH(0,COUNTIF($DG$4:DG18,$DF$6:$DF$66),0),1),"")</f>
        <v/>
      </c>
      <c r="DH19" s="277" t="str">
        <f>IF(AND('1.4 Analyse &amp; Synthese'!AF20=1,'1.4 Analyse &amp; Synthese'!F20="Werkzeug"),'1.4 Analyse &amp; Synthese'!I20&amp;CHAR(13)&amp;"("&amp;'(Codierung)'!$C$4&amp;" - "&amp;'1.4 Analyse &amp; Synthese'!C20&amp;")","")</f>
        <v/>
      </c>
      <c r="DI19" s="277" t="str">
        <f t="array" ref="DI19">_xlfn.IFNA(INDEX($DH$6:$DH$66,MATCH(0,COUNTIF($DI$4:DI18,$DH$6:$DH$66),0),1),"")</f>
        <v/>
      </c>
      <c r="DK19" s="277" t="str">
        <f>IF(AND('1.4 Analyse &amp; Synthese'!AG20=1,'1.4 Analyse &amp; Synthese'!F20="Empfehlung"),'1.4 Analyse &amp; Synthese'!I20&amp;CHAR(13)&amp;"("&amp;'(Codierung)'!$C$2&amp;" - "&amp;'1.4 Analyse &amp; Synthese'!C20&amp;")","")</f>
        <v/>
      </c>
      <c r="DL19" s="277" t="str">
        <f t="array" ref="DL19">_xlfn.IFNA(INDEX($DK$6:$DK$66,MATCH(0,COUNTIF($DL$4:DL18,$DK$6:$DK$66),0),1),"")</f>
        <v/>
      </c>
      <c r="DM19" s="277" t="str">
        <f>IF(AND('1.4 Analyse &amp; Synthese'!AG20=1,'1.4 Analyse &amp; Synthese'!F20="Methode"),'1.4 Analyse &amp; Synthese'!I20&amp;CHAR(13)&amp;"("&amp;'(Codierung)'!$C$3&amp;" - "&amp;'1.4 Analyse &amp; Synthese'!C20&amp;")","")</f>
        <v/>
      </c>
      <c r="DN19" s="277" t="str">
        <f t="array" ref="DN19">_xlfn.IFNA(INDEX($DM$6:$DM$66,MATCH(0,COUNTIF($DN$4:DN18,$DM$6:$DM$66),0),1),"")</f>
        <v/>
      </c>
      <c r="DO19" s="277" t="str">
        <f>IF(AND('1.4 Analyse &amp; Synthese'!AG20=1,'1.4 Analyse &amp; Synthese'!F20="Werkzeug"),'1.4 Analyse &amp; Synthese'!I20&amp;CHAR(13)&amp;"("&amp;'(Codierung)'!$C$4&amp;" - "&amp;'1.4 Analyse &amp; Synthese'!C20&amp;")","")</f>
        <v/>
      </c>
      <c r="DP19" s="277" t="str">
        <f t="array" ref="DP19">_xlfn.IFNA(INDEX($DO$6:$DO$66,MATCH(0,COUNTIF($DP$4:DP18,$DO$6:$DO$66),0),1),"")</f>
        <v/>
      </c>
      <c r="DR19" s="277" t="str">
        <f>IF(AND('1.4 Analyse &amp; Synthese'!AH20=1,'1.4 Analyse &amp; Synthese'!F20="Empfehlung"),'1.4 Analyse &amp; Synthese'!I20&amp;CHAR(13)&amp;"("&amp;'(Codierung)'!$C$2&amp;" - "&amp;'1.4 Analyse &amp; Synthese'!C20&amp;")","")</f>
        <v/>
      </c>
      <c r="DS19" s="277" t="str">
        <f t="array" ref="DS19">_xlfn.IFNA(INDEX($DR$6:$DR$66,MATCH(0,COUNTIF($DS$4:DS18,$DR$6:$DR$66),0),1),"")</f>
        <v/>
      </c>
      <c r="DT19" s="277" t="str">
        <f>IF(AND('1.4 Analyse &amp; Synthese'!AH20=1,'1.4 Analyse &amp; Synthese'!F20="Methode"),'1.4 Analyse &amp; Synthese'!I20&amp;CHAR(13)&amp;"("&amp;'(Codierung)'!$C$3&amp;" - "&amp;'1.4 Analyse &amp; Synthese'!C20&amp;")","")</f>
        <v/>
      </c>
      <c r="DU19" s="277" t="str">
        <f t="array" ref="DU19">_xlfn.IFNA(INDEX($DT$6:$DT$66,MATCH(0,COUNTIF($DU$4:DU18,$DT$6:$DT$66),0),1),"")</f>
        <v/>
      </c>
      <c r="DV19" s="277" t="str">
        <f>IF(AND('1.4 Analyse &amp; Synthese'!AH20=1,'1.4 Analyse &amp; Synthese'!F20="Werkzeug"),'1.4 Analyse &amp; Synthese'!I20&amp;CHAR(13)&amp;"("&amp;'(Codierung)'!$C$4&amp;" - "&amp;'1.4 Analyse &amp; Synthese'!C20&amp;")","")</f>
        <v/>
      </c>
      <c r="DW19" s="277" t="str">
        <f t="array" ref="DW19">_xlfn.IFNA(INDEX($DV$6:$DV$66,MATCH(0,COUNTIF($DW$4:DW18,$DV$6:$DV$66),0),1),"")</f>
        <v/>
      </c>
      <c r="DY19" s="277" t="str">
        <f>IF(AND('1.4 Analyse &amp; Synthese'!AI20=1,'1.4 Analyse &amp; Synthese'!F20="Empfehlung"),'1.4 Analyse &amp; Synthese'!I20&amp;CHAR(13)&amp;"("&amp;'(Codierung)'!$C$2&amp;" - "&amp;'1.4 Analyse &amp; Synthese'!C20&amp;")","")</f>
        <v/>
      </c>
      <c r="DZ19" s="277" t="str">
        <f t="array" ref="DZ19">_xlfn.IFNA(INDEX($DY$6:$DY$66,MATCH(0,COUNTIF($DZ$4:DZ18,$DY$6:$DY$66),0),1),"")</f>
        <v/>
      </c>
      <c r="EA19" s="277" t="str">
        <f>IF(AND('1.4 Analyse &amp; Synthese'!AI20=1,'1.4 Analyse &amp; Synthese'!F20="Methode"),'1.4 Analyse &amp; Synthese'!I20&amp;CHAR(13)&amp;"("&amp;'(Codierung)'!$C$3&amp;" - "&amp;'1.4 Analyse &amp; Synthese'!C20&amp;")","")</f>
        <v/>
      </c>
      <c r="EB19" s="277" t="str">
        <f t="array" ref="EB19">_xlfn.IFNA(INDEX($EA$6:$EA$66,MATCH(0,COUNTIF($EB$4:EB18,$EA$6:$EA$66),0),1),"")</f>
        <v/>
      </c>
      <c r="EC19" s="277" t="str">
        <f>IF(AND('1.4 Analyse &amp; Synthese'!AI20=1,'1.4 Analyse &amp; Synthese'!F20="Werkzeug"),'1.4 Analyse &amp; Synthese'!I20&amp;CHAR(13)&amp;"("&amp;'(Codierung)'!$C$4&amp;" - "&amp;'1.4 Analyse &amp; Synthese'!C20&amp;")","")</f>
        <v/>
      </c>
      <c r="ED19" s="277" t="str">
        <f t="array" ref="ED19">_xlfn.IFNA(INDEX($EC$6:$EC$66,MATCH(0,COUNTIF($ED$4:ED18,$EC$6:$EC$66),0),1),"")</f>
        <v/>
      </c>
      <c r="EF19" s="277" t="str">
        <f>IF(AND('1.4 Analyse &amp; Synthese'!AJ20=1,'1.4 Analyse &amp; Synthese'!F20="Empfehlung"),'1.4 Analyse &amp; Synthese'!I20&amp;CHAR(13)&amp;"("&amp;'(Codierung)'!$C$2&amp;" - "&amp;'1.4 Analyse &amp; Synthese'!C20&amp;")","")</f>
        <v/>
      </c>
      <c r="EG19" s="277" t="str">
        <f t="array" ref="EG19">_xlfn.IFNA(INDEX($EF$6:$EF$66,MATCH(0,COUNTIF($EG$4:EG18,$EF$6:$EF$66),0),1),"")</f>
        <v/>
      </c>
      <c r="EH19" s="277" t="str">
        <f>IF(AND('1.4 Analyse &amp; Synthese'!AJ20=1,'1.4 Analyse &amp; Synthese'!F20="Methode"),'1.4 Analyse &amp; Synthese'!I20&amp;CHAR(13)&amp;"("&amp;'(Codierung)'!$C$3&amp;" - "&amp;'1.4 Analyse &amp; Synthese'!C20&amp;")","")</f>
        <v/>
      </c>
      <c r="EI19" s="277" t="str">
        <f t="array" ref="EI19">_xlfn.IFNA(INDEX($EH$6:$EH$66,MATCH(0,COUNTIF($EI$4:EI18,$EH$6:$EH$66),0),1),"")</f>
        <v/>
      </c>
      <c r="EJ19" s="277" t="str">
        <f>IF(AND('1.4 Analyse &amp; Synthese'!AJ20=1,'1.4 Analyse &amp; Synthese'!F20="Werkzeug"),'1.4 Analyse &amp; Synthese'!I20&amp;CHAR(13)&amp;"("&amp;'(Codierung)'!$C$4&amp;" - "&amp;'1.4 Analyse &amp; Synthese'!C20&amp;")","")</f>
        <v/>
      </c>
      <c r="EK19" s="277" t="str">
        <f t="array" ref="EK19">_xlfn.IFNA(INDEX($EJ$6:$EJ$66,MATCH(0,COUNTIF($EK$4:EK18,$EJ$6:$EJ$66),0),1),"")</f>
        <v/>
      </c>
      <c r="EN19" s="222" t="str">
        <f t="shared" si="0"/>
        <v/>
      </c>
      <c r="EO19" s="277" t="str">
        <f t="shared" si="1"/>
        <v/>
      </c>
      <c r="EP19" s="277" t="str">
        <f t="shared" si="2"/>
        <v/>
      </c>
      <c r="EQ19" s="277" t="str">
        <f>ZahlenInBereich(Tabelle1[[Empfehlung]:[Werkzeug]],ROW()-5)</f>
        <v/>
      </c>
      <c r="ER19" s="277" t="str">
        <f t="shared" si="3"/>
        <v/>
      </c>
      <c r="ES19" s="277" t="str">
        <f t="shared" si="4"/>
        <v/>
      </c>
      <c r="ET19" s="277" t="str">
        <f t="shared" si="5"/>
        <v/>
      </c>
      <c r="EU19" s="277" t="str">
        <f>ZahlenInBereich(Tabelle1[[Empfehlung2]:[Werkzeug4]],ROW()-5)</f>
        <v/>
      </c>
      <c r="EV19" s="277" t="str">
        <f t="shared" si="6"/>
        <v/>
      </c>
      <c r="EW19" s="277" t="str">
        <f t="shared" si="7"/>
        <v/>
      </c>
      <c r="EX19" s="277" t="str">
        <f t="shared" si="8"/>
        <v/>
      </c>
      <c r="EY19" s="277" t="str">
        <f>ZahlenInBereich(Tabelle1[[Empfehlung6]:[Werkzeug8]],ROW()-5)</f>
        <v>SLA Management Aggregation_x000D_(Methode - Stanik)</v>
      </c>
      <c r="EZ19" s="277" t="str">
        <f t="shared" si="9"/>
        <v/>
      </c>
      <c r="FA19" s="277" t="str">
        <f t="shared" si="10"/>
        <v/>
      </c>
      <c r="FB19" s="277" t="str">
        <f t="shared" si="11"/>
        <v/>
      </c>
      <c r="FC19" s="277" t="str">
        <f>ZahlenInBereich(Tabelle1[[Empfehlung10]:[Werkzeug12]],ROW()-5)</f>
        <v/>
      </c>
      <c r="FD19" s="277" t="str">
        <f t="shared" si="12"/>
        <v/>
      </c>
      <c r="FE19" s="277" t="str">
        <f t="shared" si="13"/>
        <v/>
      </c>
      <c r="FF19" s="277" t="str">
        <f t="shared" si="14"/>
        <v/>
      </c>
      <c r="FG19" s="277" t="str">
        <f>ZahlenInBereich(Tabelle1[[Empfehlung14]:[Werkzeug16]],ROW()-5)</f>
        <v/>
      </c>
      <c r="FH19" s="277" t="str">
        <f t="shared" si="15"/>
        <v/>
      </c>
      <c r="FI19" s="277" t="str">
        <f t="shared" si="16"/>
        <v/>
      </c>
      <c r="FJ19" s="277" t="str">
        <f t="shared" si="17"/>
        <v/>
      </c>
      <c r="FK19" s="277" t="str">
        <f>ZahlenInBereich(Tabelle1[[Empfehlung18]:[Werkzeug20]],ROW()-5)</f>
        <v/>
      </c>
      <c r="FL19" s="277" t="str">
        <f t="shared" si="18"/>
        <v/>
      </c>
      <c r="FM19" s="277" t="str">
        <f t="shared" si="19"/>
        <v/>
      </c>
      <c r="FN19" s="277" t="str">
        <f t="shared" si="20"/>
        <v/>
      </c>
      <c r="FO19" s="277" t="str">
        <f>ZahlenInBereich(Tabelle1[[Empfehlung22]:[Werkzeug24]],ROW()-5)</f>
        <v/>
      </c>
      <c r="FP19" s="277" t="str">
        <f t="shared" si="21"/>
        <v/>
      </c>
      <c r="FQ19" s="277" t="str">
        <f t="shared" si="22"/>
        <v/>
      </c>
      <c r="FR19" s="277" t="str">
        <f t="shared" si="23"/>
        <v/>
      </c>
      <c r="FS19" s="277" t="str">
        <f>ZahlenInBereich(Tabelle1[[Empfehlung26]:[Werkzeug28]],ROW()-5)</f>
        <v/>
      </c>
      <c r="FT19" s="277" t="str">
        <f t="shared" si="24"/>
        <v/>
      </c>
      <c r="FU19" s="277" t="str">
        <f t="shared" si="25"/>
        <v/>
      </c>
      <c r="FV19" s="277" t="str">
        <f t="shared" si="26"/>
        <v/>
      </c>
      <c r="FW19" s="277" t="str">
        <f>ZahlenInBereich(Tabelle1[[Empfehlung30]:[Werkzeug32]],ROW()-5)</f>
        <v/>
      </c>
      <c r="FX19" s="277" t="str">
        <f t="shared" si="27"/>
        <v/>
      </c>
      <c r="FY19" s="277" t="str">
        <f t="shared" si="28"/>
        <v/>
      </c>
      <c r="FZ19" s="277" t="str">
        <f t="shared" si="29"/>
        <v/>
      </c>
      <c r="GA19" s="277" t="str">
        <f>ZahlenInBereich(Tabelle1[[Empfehlung34]:[Werkzeug36]],ROW()-5)</f>
        <v/>
      </c>
      <c r="GB19" s="277" t="str">
        <f t="shared" si="30"/>
        <v/>
      </c>
      <c r="GC19" s="277" t="str">
        <f t="shared" si="31"/>
        <v/>
      </c>
      <c r="GD19" s="277" t="str">
        <f t="shared" si="32"/>
        <v/>
      </c>
      <c r="GE19" s="277" t="str">
        <f>ZahlenInBereich(Tabelle1[[Empfehlung38]:[Werkzeug40]],ROW()-5)</f>
        <v/>
      </c>
      <c r="GF19" s="277" t="str">
        <f t="shared" si="33"/>
        <v/>
      </c>
      <c r="GG19" s="277" t="str">
        <f t="shared" si="34"/>
        <v/>
      </c>
      <c r="GH19" s="277" t="str">
        <f t="shared" si="35"/>
        <v/>
      </c>
      <c r="GI19" s="277" t="str">
        <f>ZahlenInBereich(Tabelle1[[Empfehlung42]:[Werkzeug44]],ROW()-5)</f>
        <v/>
      </c>
      <c r="GJ19" s="277" t="str">
        <f t="shared" si="36"/>
        <v/>
      </c>
      <c r="GK19" s="277" t="str">
        <f t="shared" si="37"/>
        <v/>
      </c>
      <c r="GL19" s="277" t="str">
        <f t="shared" si="38"/>
        <v/>
      </c>
      <c r="GM19" s="277" t="str">
        <f>ZahlenInBereich(Tabelle1[[Empfehlung46]:[Werkzeug48]],ROW()-5)</f>
        <v/>
      </c>
      <c r="GN19" s="277" t="str">
        <f t="shared" si="39"/>
        <v/>
      </c>
      <c r="GO19" s="277" t="str">
        <f t="shared" si="40"/>
        <v/>
      </c>
      <c r="GP19" s="277" t="str">
        <f t="shared" si="41"/>
        <v/>
      </c>
      <c r="GQ19" s="277" t="str">
        <f>ZahlenInBereich(Tabelle1[[Empfehlung50]:[Werkzeug52]],ROW()-5)</f>
        <v/>
      </c>
      <c r="GR19" s="277" t="str">
        <f t="shared" si="42"/>
        <v/>
      </c>
      <c r="GS19" s="277" t="str">
        <f t="shared" si="43"/>
        <v/>
      </c>
      <c r="GT19" s="277" t="str">
        <f t="shared" si="44"/>
        <v/>
      </c>
      <c r="GU19" s="277" t="str">
        <f>ZahlenInBereich(Tabelle1[[Empfehlung54]:[Werkzeug56]],ROW()-5)</f>
        <v>Open-Source Plattform_x000D_(Werkzeug - Zangara)</v>
      </c>
      <c r="GV19" s="277" t="str">
        <f t="shared" si="45"/>
        <v/>
      </c>
      <c r="GW19" s="277" t="str">
        <f t="shared" si="46"/>
        <v/>
      </c>
      <c r="GX19" s="277" t="str">
        <f t="shared" si="47"/>
        <v/>
      </c>
      <c r="GY19" s="277" t="str">
        <f>ZahlenInBereich(Tabelle1[[Empfehlung58]:[Werkzeug60]],ROW()-5)</f>
        <v/>
      </c>
      <c r="GZ19" s="277" t="str">
        <f t="shared" si="48"/>
        <v/>
      </c>
      <c r="HA19" s="277" t="str">
        <f t="shared" si="49"/>
        <v/>
      </c>
      <c r="HB19" s="277" t="str">
        <f t="shared" si="50"/>
        <v/>
      </c>
      <c r="HC19" s="277" t="str">
        <f>ZahlenInBereich(Tabelle1[[Empfehlung62]:[Werkzeug64]],ROW()-5)</f>
        <v>Infrastruktur Interpreter_x000D_(Methode - Allison)</v>
      </c>
      <c r="HD19" s="277" t="str">
        <f t="shared" si="51"/>
        <v/>
      </c>
      <c r="HE19" s="277" t="str">
        <f t="shared" si="52"/>
        <v/>
      </c>
      <c r="HF19" s="277" t="str">
        <f t="shared" si="53"/>
        <v/>
      </c>
      <c r="HG19" s="277" t="str">
        <f>ZahlenInBereich(Tabelle1[[Empfehlung66]:[Werkzeug68]],ROW()-5)</f>
        <v/>
      </c>
      <c r="HH19" s="277" t="str">
        <f t="shared" si="54"/>
        <v/>
      </c>
      <c r="HI19" s="277" t="str">
        <f t="shared" si="55"/>
        <v/>
      </c>
      <c r="HJ19" s="277" t="str">
        <f t="shared" si="56"/>
        <v/>
      </c>
      <c r="HK19" s="277" t="str">
        <f>ZahlenInBereich(Tabelle1[[Empfehlung70]:[Werkzeug72]],ROW()-5)</f>
        <v>Infrastruktur Interpreter_x000D_(Methode - Allison)</v>
      </c>
      <c r="HL19" s="277" t="str">
        <f t="shared" si="57"/>
        <v/>
      </c>
      <c r="HM19" s="277" t="str">
        <f t="shared" si="58"/>
        <v/>
      </c>
      <c r="HN19" s="277" t="str">
        <f t="shared" si="59"/>
        <v/>
      </c>
      <c r="HO19" s="277" t="str">
        <f>ZahlenInBereich(Tabelle1[[Empfehlung74]:[Werkzeug76]],ROW()-5)</f>
        <v/>
      </c>
    </row>
    <row r="20" spans="2:223" ht="32" x14ac:dyDescent="0.2">
      <c r="B20" s="134">
        <f>'1.4 Analyse &amp; Synthese'!B21</f>
        <v>15</v>
      </c>
      <c r="C20" s="277" t="str">
        <f>IF(AND('1.4 Analyse &amp; Synthese'!Q21=1,'1.4 Analyse &amp; Synthese'!F21="Empfehlung"),'1.4 Analyse &amp; Synthese'!I21&amp;CHAR(13)&amp;"("&amp;'(Codierung)'!$C$2&amp;" - "&amp;'1.4 Analyse &amp; Synthese'!C21&amp;")","")</f>
        <v/>
      </c>
      <c r="D20" s="222" t="str">
        <f t="array" ref="D20">_xlfn.IFNA(INDEX($C$6:$C$66,MATCH(0,COUNTIF($D$4:D19,$C$6:$C$66),0),1),"")</f>
        <v/>
      </c>
      <c r="E20" s="277" t="str">
        <f>IF(AND('1.4 Analyse &amp; Synthese'!Q21=1,'1.4 Analyse &amp; Synthese'!F21="Methode"),'1.4 Analyse &amp; Synthese'!I21&amp;CHAR(13)&amp;"("&amp;'(Codierung)'!$C$3&amp;" - "&amp;'1.4 Analyse &amp; Synthese'!C21&amp;")","")</f>
        <v/>
      </c>
      <c r="F20" s="277" t="str">
        <f t="array" ref="F20">_xlfn.IFNA(INDEX($E$6:$E$66,MATCH(0,COUNTIF($F$4:F19,$E$6:$E$66),0),1),"")</f>
        <v/>
      </c>
      <c r="G20" s="277" t="str">
        <f>IF(AND('1.4 Analyse &amp; Synthese'!Q21=1,'1.4 Analyse &amp; Synthese'!F21="Werkzeug"),'1.4 Analyse &amp; Synthese'!I21&amp;CHAR(13)&amp;"("&amp;'(Codierung)'!$C$4&amp;" - "&amp;'1.4 Analyse &amp; Synthese'!C21&amp;")","")</f>
        <v/>
      </c>
      <c r="H20" s="277" t="str">
        <f t="array" ref="H20">_xlfn.IFNA(INDEX($G$6:$G$66,MATCH(0,COUNTIF($H$4:H19,$G$6:$G$66),0),1),"")</f>
        <v/>
      </c>
      <c r="J20" s="277" t="str">
        <f>IF(AND('1.4 Analyse &amp; Synthese'!R21=1,'1.4 Analyse &amp; Synthese'!F21="Empfehlung"),'1.4 Analyse &amp; Synthese'!I21&amp;CHAR(13)&amp;"("&amp;'(Codierung)'!$C$2&amp;" - "&amp;'1.4 Analyse &amp; Synthese'!C21&amp;")","")</f>
        <v/>
      </c>
      <c r="K20" s="277" t="str">
        <f t="array" ref="K20">_xlfn.IFNA(INDEX($J$6:$J$66,MATCH(0,COUNTIF($K$4:K19,$J$6:$J$66),0),1),"")</f>
        <v/>
      </c>
      <c r="L20" s="277" t="str">
        <f>IF(AND('1.4 Analyse &amp; Synthese'!R21=1,'1.4 Analyse &amp; Synthese'!F21="Methode"),'1.4 Analyse &amp; Synthese'!I21&amp;CHAR(13)&amp;"("&amp;'(Codierung)'!$C$3&amp;" - "&amp;'1.4 Analyse &amp; Synthese'!C21&amp;")","")</f>
        <v>Open-Source Plattform_x000D_(Methode - Ferry)</v>
      </c>
      <c r="M20" s="277" t="str">
        <f t="array" ref="M20">_xlfn.IFNA(INDEX($L$6:$L$66,MATCH(0,COUNTIF($M$4:M19,$L$6:$L$66),0),1),"")</f>
        <v/>
      </c>
      <c r="N20" s="277" t="str">
        <f>IF(AND('1.4 Analyse &amp; Synthese'!R21=1,'1.4 Analyse &amp; Synthese'!F21="Werkzeug"),'1.4 Analyse &amp; Synthese'!I21&amp;CHAR(13)&amp;"("&amp;'(Codierung)'!$C$4&amp;" - "&amp;'1.4 Analyse &amp; Synthese'!C21&amp;")","")</f>
        <v/>
      </c>
      <c r="O20" s="277" t="str">
        <f t="array" ref="O20">_xlfn.IFNA(INDEX($N$6:$N$66,MATCH(0,COUNTIF($O$4:O19,$N$6:$N$66),0),1),"")</f>
        <v/>
      </c>
      <c r="Q20" s="277" t="str">
        <f>IF(AND('1.4 Analyse &amp; Synthese'!S21=1,'1.4 Analyse &amp; Synthese'!F21="Empfehlung"),'1.4 Analyse &amp; Synthese'!I21&amp;CHAR(13)&amp;"("&amp;'(Codierung)'!$C$2&amp;" - "&amp;'1.4 Analyse &amp; Synthese'!C21&amp;")","")</f>
        <v/>
      </c>
      <c r="R20" s="277" t="str">
        <f t="array" ref="R20">_xlfn.IFNA(INDEX($Q$6:$Q$66,MATCH(0,COUNTIF($R$4:R19,$Q$6:$Q$66),0),1),"")</f>
        <v/>
      </c>
      <c r="S20" s="277" t="str">
        <f>IF(AND('1.4 Analyse &amp; Synthese'!S21=1,'1.4 Analyse &amp; Synthese'!F21="Methode"),'1.4 Analyse &amp; Synthese'!I21&amp;CHAR(13)&amp;"("&amp;'(Codierung)'!$C$3&amp;" - "&amp;'1.4 Analyse &amp; Synthese'!C21&amp;")","")</f>
        <v/>
      </c>
      <c r="T20" s="277" t="str">
        <f t="array" ref="T20">_xlfn.IFNA(INDEX($S$6:$S$66,MATCH(0,COUNTIF($T$4:T19,$S$6:$S$66),0),1),"")</f>
        <v/>
      </c>
      <c r="U20" s="277" t="str">
        <f>IF(AND('1.4 Analyse &amp; Synthese'!S21=1,'1.4 Analyse &amp; Synthese'!F21="Werkzeug"),'1.4 Analyse &amp; Synthese'!I21&amp;CHAR(13)&amp;"("&amp;'(Codierung)'!$C$4&amp;" - "&amp;'1.4 Analyse &amp; Synthese'!C21&amp;")","")</f>
        <v/>
      </c>
      <c r="V20" s="277" t="str">
        <f t="array" ref="V20">_xlfn.IFNA(INDEX($U$6:$U$66,MATCH(0,COUNTIF($V$4:V19,$U$6:$U$66),0),1),"")</f>
        <v/>
      </c>
      <c r="X20" s="277" t="str">
        <f>IF(AND('1.4 Analyse &amp; Synthese'!T21=1,'1.4 Analyse &amp; Synthese'!F21="Empfehlung"),'1.4 Analyse &amp; Synthese'!I21&amp;CHAR(13)&amp;"("&amp;'(Codierung)'!$C$2&amp;" - "&amp;'1.4 Analyse &amp; Synthese'!C21&amp;")","")</f>
        <v/>
      </c>
      <c r="Y20" s="277" t="str">
        <f t="array" ref="Y20">_xlfn.IFNA(INDEX($X$6:$X$66,MATCH(0,COUNTIF($Y$4:Y19,$X$6:$X$66),0),1),"")</f>
        <v/>
      </c>
      <c r="Z20" s="277" t="str">
        <f>IF(AND('1.4 Analyse &amp; Synthese'!T21=1,'1.4 Analyse &amp; Synthese'!F21="Methode"),'1.4 Analyse &amp; Synthese'!I21&amp;CHAR(13)&amp;"("&amp;'(Codierung)'!$C$3&amp;" - "&amp;'1.4 Analyse &amp; Synthese'!C21&amp;")","")</f>
        <v/>
      </c>
      <c r="AA20" s="277" t="str">
        <f t="array" ref="AA20">_xlfn.IFNA(INDEX($Z$6:$Z$66,MATCH(0,COUNTIF($AA$4:AA19,$Z$6:$Z$66),0),1),"")</f>
        <v/>
      </c>
      <c r="AB20" s="277" t="str">
        <f>IF(AND('1.4 Analyse &amp; Synthese'!T21=1,'1.4 Analyse &amp; Synthese'!F21="Werkzeug"),'1.4 Analyse &amp; Synthese'!I21&amp;CHAR(13)&amp;"("&amp;'(Codierung)'!$C$4&amp;" - "&amp;'1.4 Analyse &amp; Synthese'!C21&amp;")","")</f>
        <v/>
      </c>
      <c r="AC20" s="277" t="str">
        <f t="array" ref="AC20">_xlfn.IFNA(INDEX($AB$6:$AB$66,MATCH(0,COUNTIF($AC$4:AC19,$AB$6:$AB$66),0),1),"")</f>
        <v/>
      </c>
      <c r="AE20" s="277" t="str">
        <f>IF(AND('1.4 Analyse &amp; Synthese'!U21=1,'1.4 Analyse &amp; Synthese'!F21="Empfehlung"),'1.4 Analyse &amp; Synthese'!I21&amp;CHAR(13)&amp;"("&amp;'(Codierung)'!$C$2&amp;" - "&amp;'1.4 Analyse &amp; Synthese'!C21&amp;")","")</f>
        <v/>
      </c>
      <c r="AF20" s="277" t="str">
        <f t="array" ref="AF20">_xlfn.IFNA(INDEX($AE$6:$AE$66,MATCH(0,COUNTIF($AF$4:AF19,$AE$6:$AE$66),0),1),"")</f>
        <v/>
      </c>
      <c r="AG20" s="277" t="str">
        <f>IF(AND('1.4 Analyse &amp; Synthese'!U21=1,'1.4 Analyse &amp; Synthese'!F21="Methode"),'1.4 Analyse &amp; Synthese'!I21&amp;CHAR(13)&amp;"("&amp;'(Codierung)'!$C$3&amp;" - "&amp;'1.4 Analyse &amp; Synthese'!C21&amp;")","")</f>
        <v/>
      </c>
      <c r="AH20" s="277" t="str">
        <f t="array" ref="AH20">_xlfn.IFNA(INDEX($AG$6:$AG$66,MATCH(0,COUNTIF($AH$4:AH19,$AG$6:$AG$66),0),1),"")</f>
        <v/>
      </c>
      <c r="AI20" s="277" t="str">
        <f>IF(AND('1.4 Analyse &amp; Synthese'!U21=1,'1.4 Analyse &amp; Synthese'!F21="Werkzeug"),'1.4 Analyse &amp; Synthese'!I21&amp;CHAR(13)&amp;"("&amp;'(Codierung)'!$C$4&amp;" - "&amp;'1.4 Analyse &amp; Synthese'!C21&amp;")","")</f>
        <v/>
      </c>
      <c r="AJ20" s="277" t="str">
        <f t="array" ref="AJ20">_xlfn.IFNA(INDEX($AI$6:$AI$66,MATCH(0,COUNTIF($AJ$4:AJ19,$AI$6:$AI$66),0),1),"")</f>
        <v/>
      </c>
      <c r="AL20" s="277" t="str">
        <f>IF(AND('1.4 Analyse &amp; Synthese'!V21=1,'1.4 Analyse &amp; Synthese'!F21="Empfehlung"),'1.4 Analyse &amp; Synthese'!I21&amp;CHAR(13)&amp;"("&amp;'(Codierung)'!$C$2&amp;" - "&amp;'1.4 Analyse &amp; Synthese'!C21&amp;")","")</f>
        <v/>
      </c>
      <c r="AM20" s="277" t="str">
        <f t="array" ref="AM20">_xlfn.IFNA(INDEX($AL$6:$AL$66,MATCH(0,COUNTIF($AM$4:AM19,$AL$6:$AL$66),0),1),"")</f>
        <v/>
      </c>
      <c r="AN20" s="277" t="str">
        <f>IF(AND('1.4 Analyse &amp; Synthese'!V21=1,'1.4 Analyse &amp; Synthese'!F21="Methode"),'1.4 Analyse &amp; Synthese'!I21&amp;CHAR(13)&amp;"("&amp;'(Codierung)'!$C$3&amp;" - "&amp;'1.4 Analyse &amp; Synthese'!C21&amp;")","")</f>
        <v/>
      </c>
      <c r="AO20" s="277" t="str">
        <f t="array" ref="AO20">_xlfn.IFNA(INDEX($AN$6:$AN$66,MATCH(0,COUNTIF($AO$4:AO19,$AN$6:$AN$66),0),1),"")</f>
        <v/>
      </c>
      <c r="AP20" s="277" t="str">
        <f>IF(AND('1.4 Analyse &amp; Synthese'!V21=1,'1.4 Analyse &amp; Synthese'!F21="Werkzeug"),'1.4 Analyse &amp; Synthese'!I21&amp;CHAR(13)&amp;"("&amp;'(Codierung)'!$C$4&amp;" - "&amp;'1.4 Analyse &amp; Synthese'!C21&amp;")","")</f>
        <v/>
      </c>
      <c r="AQ20" s="277" t="str">
        <f t="array" ref="AQ20">_xlfn.IFNA(INDEX($AP$6:$AP$66,MATCH(0,COUNTIF($AQ$4:AQ19,$AP$6:$AP$66),0),1),"")</f>
        <v/>
      </c>
      <c r="AS20" s="277" t="str">
        <f>IF(AND('1.4 Analyse &amp; Synthese'!W21=1,'1.4 Analyse &amp; Synthese'!F21="Empfehlung"),'1.4 Analyse &amp; Synthese'!I21&amp;CHAR(13)&amp;"("&amp;'(Codierung)'!$C$2&amp;" - "&amp;'1.4 Analyse &amp; Synthese'!C21&amp;")","")</f>
        <v/>
      </c>
      <c r="AT20" s="277" t="str">
        <f t="array" ref="AT20">_xlfn.IFNA(INDEX($AS$6:$AS$66,MATCH(0,COUNTIF($AT$4:AT19,$AS$6:$AS$66),0),1),"")</f>
        <v/>
      </c>
      <c r="AU20" s="277" t="str">
        <f>IF(AND('1.4 Analyse &amp; Synthese'!W21=1,'1.4 Analyse &amp; Synthese'!F21="Methode"),'1.4 Analyse &amp; Synthese'!I21&amp;CHAR(13)&amp;"("&amp;'(Codierung)'!$C$3&amp;" - "&amp;'1.4 Analyse &amp; Synthese'!C21&amp;")","")</f>
        <v/>
      </c>
      <c r="AV20" s="277" t="str">
        <f t="array" ref="AV20">_xlfn.IFNA(INDEX($AU$6:$AU$66,MATCH(0,COUNTIF($AV$4:AV19,$AU$6:$AU$66),0),1),"")</f>
        <v/>
      </c>
      <c r="AW20" s="277" t="str">
        <f>IF(AND('1.4 Analyse &amp; Synthese'!W21=1,'1.4 Analyse &amp; Synthese'!F21="Werkzeug"),'1.4 Analyse &amp; Synthese'!I21&amp;CHAR(13)&amp;"("&amp;'(Codierung)'!$C$4&amp;" - "&amp;'1.4 Analyse &amp; Synthese'!C21&amp;")","")</f>
        <v/>
      </c>
      <c r="AX20" s="277" t="str">
        <f t="array" ref="AX20">_xlfn.IFNA(INDEX($AW$6:$AW$66,MATCH(0,COUNTIF($AX$4:AX19,$AW$6:$AW$66),0),1),"")</f>
        <v/>
      </c>
      <c r="AZ20" s="277" t="str">
        <f>IF(AND('1.4 Analyse &amp; Synthese'!X21=1,'1.4 Analyse &amp; Synthese'!F21="Empfehlung"),'1.4 Analyse &amp; Synthese'!I21&amp;CHAR(13)&amp;"("&amp;'(Codierung)'!$C$2&amp;" - "&amp;'1.4 Analyse &amp; Synthese'!C21&amp;")","")</f>
        <v/>
      </c>
      <c r="BA20" s="277" t="str">
        <f t="array" ref="BA20">_xlfn.IFNA(INDEX($AZ$6:$AZ$66,MATCH(0,COUNTIF($BA$4:BA19,$AZ$6:$AZ$66),0),1),"")</f>
        <v/>
      </c>
      <c r="BB20" s="277" t="str">
        <f>IF(AND('1.4 Analyse &amp; Synthese'!X21=1,'1.4 Analyse &amp; Synthese'!F21="Methode"),'1.4 Analyse &amp; Synthese'!I21&amp;CHAR(13)&amp;"("&amp;'(Codierung)'!$C$3&amp;" - "&amp;'1.4 Analyse &amp; Synthese'!C21&amp;")","")</f>
        <v/>
      </c>
      <c r="BC20" s="277" t="str">
        <f t="array" ref="BC20">_xlfn.IFNA(INDEX($BB$6:$BB$66,MATCH(0,COUNTIF($BC$4:BC19,$BB$6:$BB$66),0),1),"")</f>
        <v/>
      </c>
      <c r="BD20" s="277" t="str">
        <f>IF(AND('1.4 Analyse &amp; Synthese'!X21=1,'1.4 Analyse &amp; Synthese'!F21="Werkzeug"),'1.4 Analyse &amp; Synthese'!I21&amp;CHAR(13)&amp;"("&amp;'(Codierung)'!$C$4&amp;" - "&amp;'1.4 Analyse &amp; Synthese'!C21&amp;")","")</f>
        <v/>
      </c>
      <c r="BE20" s="277" t="str">
        <f t="array" ref="BE20">_xlfn.IFNA(INDEX($BD$6:$BD$66,MATCH(0,COUNTIF($BE$4:BE19,$BD$6:$BD$66),0),1),"")</f>
        <v/>
      </c>
      <c r="BG20" s="277" t="str">
        <f>IF(AND('1.4 Analyse &amp; Synthese'!Y21=1,'1.4 Analyse &amp; Synthese'!F21="Empfehlung"),'1.4 Analyse &amp; Synthese'!I21&amp;CHAR(13)&amp;"("&amp;'(Codierung)'!$C$2&amp;" - "&amp;'1.4 Analyse &amp; Synthese'!C21&amp;")","")</f>
        <v/>
      </c>
      <c r="BH20" s="277" t="str">
        <f t="array" ref="BH20">_xlfn.IFNA(INDEX($BG$6:$BG$66,MATCH(0,COUNTIF($BH$4:BH19,$BG$6:$BG$66),0),1),"")</f>
        <v/>
      </c>
      <c r="BI20" s="277" t="str">
        <f>IF(AND('1.4 Analyse &amp; Synthese'!Y21=1,'1.4 Analyse &amp; Synthese'!F21="Methode"),'1.4 Analyse &amp; Synthese'!I21&amp;CHAR(13)&amp;"("&amp;'(Codierung)'!$C$3&amp;" - "&amp;'1.4 Analyse &amp; Synthese'!C21&amp;")","")</f>
        <v/>
      </c>
      <c r="BJ20" s="277" t="str">
        <f t="array" ref="BJ20">_xlfn.IFNA(INDEX($BI$6:$BI$66,MATCH(0,COUNTIF($BJ$4:BJ19,$BI$6:$BI$66),0),1),"")</f>
        <v/>
      </c>
      <c r="BK20" s="277" t="str">
        <f>IF(AND('1.4 Analyse &amp; Synthese'!Y21=1,'1.4 Analyse &amp; Synthese'!F21="Werkzeug"),'1.4 Analyse &amp; Synthese'!I21&amp;CHAR(13)&amp;"("&amp;'(Codierung)'!$C$4&amp;" - "&amp;'1.4 Analyse &amp; Synthese'!C21&amp;")","")</f>
        <v/>
      </c>
      <c r="BL20" s="277" t="str">
        <f t="array" ref="BL20">_xlfn.IFNA(INDEX($BK$6:$BK$66,MATCH(0,COUNTIF($BL$4:BL19,$BK$6:$BK$66),0),1),"")</f>
        <v/>
      </c>
      <c r="BN20" s="277" t="str">
        <f>IF(AND('1.4 Analyse &amp; Synthese'!Z21=1,'1.4 Analyse &amp; Synthese'!F21="Empfehlung"),'1.4 Analyse &amp; Synthese'!I21&amp;CHAR(13)&amp;"("&amp;'(Codierung)'!$C$2&amp;" - "&amp;'1.4 Analyse &amp; Synthese'!C21&amp;")","")</f>
        <v/>
      </c>
      <c r="BO20" s="277" t="str">
        <f t="array" ref="BO20">_xlfn.IFNA(INDEX($BN$6:$BN$66,MATCH(0,COUNTIF($BO$4:BO19,$BN$6:$BN$66),0),1),"")</f>
        <v/>
      </c>
      <c r="BP20" s="277" t="str">
        <f>IF(AND('1.4 Analyse &amp; Synthese'!Z21=1,'1.4 Analyse &amp; Synthese'!F21="Methode"),'1.4 Analyse &amp; Synthese'!I21&amp;CHAR(13)&amp;"("&amp;'(Codierung)'!$C$3&amp;" - "&amp;'1.4 Analyse &amp; Synthese'!C21&amp;")","")</f>
        <v/>
      </c>
      <c r="BQ20" s="277" t="str">
        <f t="array" ref="BQ20">_xlfn.IFNA(INDEX($BP$6:$BP$66,MATCH(0,COUNTIF($BQ$4:BQ19,$BP$6:$BP$66),0),1),"")</f>
        <v/>
      </c>
      <c r="BR20" s="277" t="str">
        <f>IF(AND('1.4 Analyse &amp; Synthese'!Z21=1,'1.4 Analyse &amp; Synthese'!F21="Werkzeug"),'1.4 Analyse &amp; Synthese'!I21&amp;CHAR(13)&amp;"("&amp;'(Codierung)'!$C$4&amp;" - "&amp;'1.4 Analyse &amp; Synthese'!C21&amp;")","")</f>
        <v/>
      </c>
      <c r="BS20" s="277" t="str">
        <f t="array" ref="BS20">_xlfn.IFNA(INDEX($BR$6:$BR$66,MATCH(0,COUNTIF($BS$4:BS19,$BR$6:$BR$66),0),1),"")</f>
        <v/>
      </c>
      <c r="BU20" s="277" t="str">
        <f>IF(AND('1.4 Analyse &amp; Synthese'!AA21=1,'1.4 Analyse &amp; Synthese'!F21="Empfehlung"),'1.4 Analyse &amp; Synthese'!I21&amp;CHAR(13)&amp;"("&amp;'(Codierung)'!$C$2&amp;" - "&amp;'1.4 Analyse &amp; Synthese'!C21&amp;")","")</f>
        <v/>
      </c>
      <c r="BV20" s="277" t="str">
        <f t="array" ref="BV20">_xlfn.IFNA(INDEX($BU$6:$BU$66,MATCH(0,COUNTIF($BV$4:BV19,$BU$6:$BU$66),0),1),"")</f>
        <v/>
      </c>
      <c r="BW20" s="277" t="str">
        <f>IF(AND('1.4 Analyse &amp; Synthese'!AA21=1,'1.4 Analyse &amp; Synthese'!F21="Methode"),'1.4 Analyse &amp; Synthese'!I21&amp;CHAR(13)&amp;"("&amp;'(Codierung)'!$C$3&amp;" - "&amp;'1.4 Analyse &amp; Synthese'!C21&amp;")","")</f>
        <v/>
      </c>
      <c r="BX20" s="277" t="str">
        <f t="array" ref="BX20">_xlfn.IFNA(INDEX($BW$6:$BW$66,MATCH(0,COUNTIF($BX$4:BX19,$BW$6:$BW$66),0),1),"")</f>
        <v/>
      </c>
      <c r="BY20" s="277" t="str">
        <f>IF(AND('1.4 Analyse &amp; Synthese'!AA21=1,'1.4 Analyse &amp; Synthese'!F21="Werkzeug"),'1.4 Analyse &amp; Synthese'!I21&amp;CHAR(13)&amp;"("&amp;'(Codierung)'!$C$4&amp;" - "&amp;'1.4 Analyse &amp; Synthese'!C21&amp;")","")</f>
        <v/>
      </c>
      <c r="BZ20" s="277" t="str">
        <f t="array" ref="BZ20">_xlfn.IFNA(INDEX($BY$6:$BY$66,MATCH(0,COUNTIF($BZ$4:BZ19,$BY$6:$BY$66),0),1),"")</f>
        <v/>
      </c>
      <c r="CB20" s="277" t="str">
        <f>IF(AND('1.4 Analyse &amp; Synthese'!AB21=1,'1.4 Analyse &amp; Synthese'!F21="Empfehlung"),'1.4 Analyse &amp; Synthese'!I21&amp;CHAR(13)&amp;"("&amp;'(Codierung)'!$C$2&amp;" - "&amp;'1.4 Analyse &amp; Synthese'!C21&amp;")","")</f>
        <v/>
      </c>
      <c r="CC20" s="277" t="str">
        <f t="array" ref="CC20">_xlfn.IFNA(INDEX($CB$6:$CB$66,MATCH(0,COUNTIF($CC$4:CC19,$CB$6:$CB$66),0),1),"")</f>
        <v/>
      </c>
      <c r="CD20" s="277" t="str">
        <f>IF(AND('1.4 Analyse &amp; Synthese'!AB21=1,'1.4 Analyse &amp; Synthese'!F21="Methode"),'1.4 Analyse &amp; Synthese'!I21&amp;CHAR(13)&amp;"("&amp;'(Codierung)'!$C$3&amp;" - "&amp;'1.4 Analyse &amp; Synthese'!C21&amp;")","")</f>
        <v/>
      </c>
      <c r="CE20" s="277" t="str">
        <f t="array" ref="CE20">_xlfn.IFNA(INDEX($CD$6:$CD$66,MATCH(0,COUNTIF($CE$4:CE19,$CD$6:$CD$66),0),1),"")</f>
        <v/>
      </c>
      <c r="CF20" s="277" t="str">
        <f>IF(AND('1.4 Analyse &amp; Synthese'!AB21=1,'1.4 Analyse &amp; Synthese'!F21="Werkzeug"),'1.4 Analyse &amp; Synthese'!I21&amp;CHAR(13)&amp;"("&amp;'(Codierung)'!$C$4&amp;" - "&amp;'1.4 Analyse &amp; Synthese'!C21&amp;")","")</f>
        <v/>
      </c>
      <c r="CG20" s="277" t="str">
        <f t="array" ref="CG20">_xlfn.IFNA(INDEX($CF$6:$CF$66,MATCH(0,COUNTIF($CG$4:CG19,$CF$6:$CF$66),0),1),"")</f>
        <v/>
      </c>
      <c r="CI20" s="277" t="str">
        <f>IF(AND('1.4 Analyse &amp; Synthese'!AC21=1,'1.4 Analyse &amp; Synthese'!F21="Empfehlung"),'1.4 Analyse &amp; Synthese'!I21&amp;CHAR(13)&amp;"("&amp;'(Codierung)'!$C$2&amp;" - "&amp;'1.4 Analyse &amp; Synthese'!C21&amp;")","")</f>
        <v/>
      </c>
      <c r="CJ20" s="277" t="str">
        <f t="array" ref="CJ20">_xlfn.IFNA(INDEX($CI$6:$CI$66,MATCH(0,COUNTIF($CJ$4:CJ19,$CI$6:$CI$66),0),1),"")</f>
        <v/>
      </c>
      <c r="CK20" s="277" t="str">
        <f>IF(AND('1.4 Analyse &amp; Synthese'!AC21=1,'1.4 Analyse &amp; Synthese'!F21="Methode"),'1.4 Analyse &amp; Synthese'!I21&amp;CHAR(13)&amp;"("&amp;'(Codierung)'!$C$3&amp;" - "&amp;'1.4 Analyse &amp; Synthese'!C21&amp;")","")</f>
        <v/>
      </c>
      <c r="CL20" s="277" t="str">
        <f t="array" ref="CL20">_xlfn.IFNA(INDEX($CK$6:$CK$66,MATCH(0,COUNTIF($CL$4:CL19,$CK$6:$CK$66),0),1),"")</f>
        <v/>
      </c>
      <c r="CM20" s="277" t="str">
        <f>IF(AND('1.4 Analyse &amp; Synthese'!AC21=1,'1.4 Analyse &amp; Synthese'!F21="Werkzeug"),'1.4 Analyse &amp; Synthese'!I21&amp;CHAR(13)&amp;"("&amp;'(Codierung)'!$C$4&amp;" - "&amp;'1.4 Analyse &amp; Synthese'!C21&amp;")","")</f>
        <v/>
      </c>
      <c r="CN20" s="277" t="str">
        <f t="array" ref="CN20">_xlfn.IFNA(INDEX($CM$6:$CM$66,MATCH(0,COUNTIF($CN$4:CN19,$CM$6:$CM$66),0),1),"")</f>
        <v/>
      </c>
      <c r="CP20" s="277" t="str">
        <f>IF(AND('1.4 Analyse &amp; Synthese'!AD21=1,'1.4 Analyse &amp; Synthese'!F21="Empfehlung"),'1.4 Analyse &amp; Synthese'!I21&amp;CHAR(13)&amp;"("&amp;'(Codierung)'!$C$2&amp;" - "&amp;'1.4 Analyse &amp; Synthese'!C21&amp;")","")</f>
        <v/>
      </c>
      <c r="CQ20" s="277" t="str">
        <f t="array" ref="CQ20">_xlfn.IFNA(INDEX($CP$6:$CP$66,MATCH(0,COUNTIF($CQ$4:CQ19,$CP$6:$CP$66),0),1),"")</f>
        <v/>
      </c>
      <c r="CR20" s="277" t="str">
        <f>IF(AND('1.4 Analyse &amp; Synthese'!AD21=1,'1.4 Analyse &amp; Synthese'!F21="Methode"),'1.4 Analyse &amp; Synthese'!I21&amp;CHAR(13)&amp;"("&amp;'(Codierung)'!$C$3&amp;" - "&amp;'1.4 Analyse &amp; Synthese'!C21&amp;")","")</f>
        <v/>
      </c>
      <c r="CS20" s="277" t="str">
        <f t="array" ref="CS20">_xlfn.IFNA(INDEX($CR$6:$CR$66,MATCH(0,COUNTIF($CS$4:CS19,$CR$6:$CR$66),0),1),"")</f>
        <v/>
      </c>
      <c r="CT20" s="277" t="str">
        <f>IF(AND('1.4 Analyse &amp; Synthese'!AD21=1,'1.4 Analyse &amp; Synthese'!F21="Werkzeug"),'1.4 Analyse &amp; Synthese'!I21&amp;CHAR(13)&amp;"("&amp;'(Codierung)'!$C$4&amp;" - "&amp;'1.4 Analyse &amp; Synthese'!C21&amp;")","")</f>
        <v/>
      </c>
      <c r="CU20" s="277" t="str">
        <f t="array" ref="CU20">_xlfn.IFNA(INDEX($CT$6:$CT$66,MATCH(0,COUNTIF($CU$4:CU19,$CT$6:$CT$66),0),1),"")</f>
        <v/>
      </c>
      <c r="CW20" s="277" t="str">
        <f>IF(AND('1.4 Analyse &amp; Synthese'!AE21=1,'1.4 Analyse &amp; Synthese'!F21="Empfehlung"),'1.4 Analyse &amp; Synthese'!I21&amp;CHAR(13)&amp;"("&amp;'(Codierung)'!$C$2&amp;" - "&amp;'1.4 Analyse &amp; Synthese'!C21&amp;")","")</f>
        <v/>
      </c>
      <c r="CX20" s="277" t="str">
        <f t="array" ref="CX20">_xlfn.IFNA(INDEX($CW$6:$CW$66,MATCH(0,COUNTIF($CX$4:CX19,$CW$6:$CW$66),0),1),"")</f>
        <v/>
      </c>
      <c r="CY20" s="277" t="str">
        <f>IF(AND('1.4 Analyse &amp; Synthese'!AE21=1,'1.4 Analyse &amp; Synthese'!F21="Methode"),'1.4 Analyse &amp; Synthese'!I21&amp;CHAR(13)&amp;"("&amp;'(Codierung)'!$C$3&amp;" - "&amp;'1.4 Analyse &amp; Synthese'!C21&amp;")","")</f>
        <v/>
      </c>
      <c r="CZ20" s="277" t="str">
        <f t="array" ref="CZ20">_xlfn.IFNA(INDEX($CY$6:$CY$66,MATCH(0,COUNTIF($CZ$4:CZ19,$CY$6:$CY$66),0),1),"")</f>
        <v/>
      </c>
      <c r="DA20" s="277" t="str">
        <f>IF(AND('1.4 Analyse &amp; Synthese'!AE21=1,'1.4 Analyse &amp; Synthese'!F21="Werkzeug"),'1.4 Analyse &amp; Synthese'!I21&amp;CHAR(13)&amp;"("&amp;'(Codierung)'!$C$4&amp;" - "&amp;'1.4 Analyse &amp; Synthese'!C21&amp;")","")</f>
        <v/>
      </c>
      <c r="DB20" s="277" t="str">
        <f t="array" ref="DB20">_xlfn.IFNA(INDEX($DA$6:$DA$66,MATCH(0,COUNTIF($DB$4:DB19,$DA$6:$DA$66),0),1),"")</f>
        <v/>
      </c>
      <c r="DD20" s="277" t="str">
        <f>IF(AND('1.4 Analyse &amp; Synthese'!AF21=1,'1.4 Analyse &amp; Synthese'!F21="Empfehlung"),'1.4 Analyse &amp; Synthese'!I21&amp;CHAR(13)&amp;"("&amp;'(Codierung)'!$C$2&amp;" - "&amp;'1.4 Analyse &amp; Synthese'!C21&amp;")","")</f>
        <v/>
      </c>
      <c r="DE20" s="277" t="str">
        <f t="array" ref="DE20">_xlfn.IFNA(INDEX($DD$6:$DD$66,MATCH(0,COUNTIF($DE$4:DE19,$DD$6:$DD$66),0),1),"")</f>
        <v/>
      </c>
      <c r="DF20" s="277" t="str">
        <f>IF(AND('1.4 Analyse &amp; Synthese'!AF21=1,'1.4 Analyse &amp; Synthese'!F21="Methode"),'1.4 Analyse &amp; Synthese'!I21&amp;CHAR(13)&amp;"("&amp;'(Codierung)'!$C$3&amp;" - "&amp;'1.4 Analyse &amp; Synthese'!C21&amp;")","")</f>
        <v>Open-Source Plattform_x000D_(Methode - Ferry)</v>
      </c>
      <c r="DG20" s="277" t="str">
        <f t="array" ref="DG20">_xlfn.IFNA(INDEX($DF$6:$DF$66,MATCH(0,COUNTIF($DG$4:DG19,$DF$6:$DF$66),0),1),"")</f>
        <v/>
      </c>
      <c r="DH20" s="277" t="str">
        <f>IF(AND('1.4 Analyse &amp; Synthese'!AF21=1,'1.4 Analyse &amp; Synthese'!F21="Werkzeug"),'1.4 Analyse &amp; Synthese'!I21&amp;CHAR(13)&amp;"("&amp;'(Codierung)'!$C$4&amp;" - "&amp;'1.4 Analyse &amp; Synthese'!C21&amp;")","")</f>
        <v/>
      </c>
      <c r="DI20" s="277" t="str">
        <f t="array" ref="DI20">_xlfn.IFNA(INDEX($DH$6:$DH$66,MATCH(0,COUNTIF($DI$4:DI19,$DH$6:$DH$66),0),1),"")</f>
        <v/>
      </c>
      <c r="DK20" s="277" t="str">
        <f>IF(AND('1.4 Analyse &amp; Synthese'!AG21=1,'1.4 Analyse &amp; Synthese'!F21="Empfehlung"),'1.4 Analyse &amp; Synthese'!I21&amp;CHAR(13)&amp;"("&amp;'(Codierung)'!$C$2&amp;" - "&amp;'1.4 Analyse &amp; Synthese'!C21&amp;")","")</f>
        <v/>
      </c>
      <c r="DL20" s="277" t="str">
        <f t="array" ref="DL20">_xlfn.IFNA(INDEX($DK$6:$DK$66,MATCH(0,COUNTIF($DL$4:DL19,$DK$6:$DK$66),0),1),"")</f>
        <v/>
      </c>
      <c r="DM20" s="277" t="str">
        <f>IF(AND('1.4 Analyse &amp; Synthese'!AG21=1,'1.4 Analyse &amp; Synthese'!F21="Methode"),'1.4 Analyse &amp; Synthese'!I21&amp;CHAR(13)&amp;"("&amp;'(Codierung)'!$C$3&amp;" - "&amp;'1.4 Analyse &amp; Synthese'!C21&amp;")","")</f>
        <v>Open-Source Plattform_x000D_(Methode - Ferry)</v>
      </c>
      <c r="DN20" s="277" t="str">
        <f t="array" ref="DN20">_xlfn.IFNA(INDEX($DM$6:$DM$66,MATCH(0,COUNTIF($DN$4:DN19,$DM$6:$DM$66),0),1),"")</f>
        <v/>
      </c>
      <c r="DO20" s="277" t="str">
        <f>IF(AND('1.4 Analyse &amp; Synthese'!AG21=1,'1.4 Analyse &amp; Synthese'!F21="Werkzeug"),'1.4 Analyse &amp; Synthese'!I21&amp;CHAR(13)&amp;"("&amp;'(Codierung)'!$C$4&amp;" - "&amp;'1.4 Analyse &amp; Synthese'!C21&amp;")","")</f>
        <v/>
      </c>
      <c r="DP20" s="277" t="str">
        <f t="array" ref="DP20">_xlfn.IFNA(INDEX($DO$6:$DO$66,MATCH(0,COUNTIF($DP$4:DP19,$DO$6:$DO$66),0),1),"")</f>
        <v/>
      </c>
      <c r="DR20" s="277" t="str">
        <f>IF(AND('1.4 Analyse &amp; Synthese'!AH21=1,'1.4 Analyse &amp; Synthese'!F21="Empfehlung"),'1.4 Analyse &amp; Synthese'!I21&amp;CHAR(13)&amp;"("&amp;'(Codierung)'!$C$2&amp;" - "&amp;'1.4 Analyse &amp; Synthese'!C21&amp;")","")</f>
        <v/>
      </c>
      <c r="DS20" s="277" t="str">
        <f t="array" ref="DS20">_xlfn.IFNA(INDEX($DR$6:$DR$66,MATCH(0,COUNTIF($DS$4:DS19,$DR$6:$DR$66),0),1),"")</f>
        <v/>
      </c>
      <c r="DT20" s="277" t="str">
        <f>IF(AND('1.4 Analyse &amp; Synthese'!AH21=1,'1.4 Analyse &amp; Synthese'!F21="Methode"),'1.4 Analyse &amp; Synthese'!I21&amp;CHAR(13)&amp;"("&amp;'(Codierung)'!$C$3&amp;" - "&amp;'1.4 Analyse &amp; Synthese'!C21&amp;")","")</f>
        <v/>
      </c>
      <c r="DU20" s="277" t="str">
        <f t="array" ref="DU20">_xlfn.IFNA(INDEX($DT$6:$DT$66,MATCH(0,COUNTIF($DU$4:DU19,$DT$6:$DT$66),0),1),"")</f>
        <v/>
      </c>
      <c r="DV20" s="277" t="str">
        <f>IF(AND('1.4 Analyse &amp; Synthese'!AH21=1,'1.4 Analyse &amp; Synthese'!F21="Werkzeug"),'1.4 Analyse &amp; Synthese'!I21&amp;CHAR(13)&amp;"("&amp;'(Codierung)'!$C$4&amp;" - "&amp;'1.4 Analyse &amp; Synthese'!C21&amp;")","")</f>
        <v/>
      </c>
      <c r="DW20" s="277" t="str">
        <f t="array" ref="DW20">_xlfn.IFNA(INDEX($DV$6:$DV$66,MATCH(0,COUNTIF($DW$4:DW19,$DV$6:$DV$66),0),1),"")</f>
        <v/>
      </c>
      <c r="DY20" s="277" t="str">
        <f>IF(AND('1.4 Analyse &amp; Synthese'!AI21=1,'1.4 Analyse &amp; Synthese'!F21="Empfehlung"),'1.4 Analyse &amp; Synthese'!I21&amp;CHAR(13)&amp;"("&amp;'(Codierung)'!$C$2&amp;" - "&amp;'1.4 Analyse &amp; Synthese'!C21&amp;")","")</f>
        <v/>
      </c>
      <c r="DZ20" s="277" t="str">
        <f t="array" ref="DZ20">_xlfn.IFNA(INDEX($DY$6:$DY$66,MATCH(0,COUNTIF($DZ$4:DZ19,$DY$6:$DY$66),0),1),"")</f>
        <v/>
      </c>
      <c r="EA20" s="277" t="str">
        <f>IF(AND('1.4 Analyse &amp; Synthese'!AI21=1,'1.4 Analyse &amp; Synthese'!F21="Methode"),'1.4 Analyse &amp; Synthese'!I21&amp;CHAR(13)&amp;"("&amp;'(Codierung)'!$C$3&amp;" - "&amp;'1.4 Analyse &amp; Synthese'!C21&amp;")","")</f>
        <v>Open-Source Plattform_x000D_(Methode - Ferry)</v>
      </c>
      <c r="EB20" s="277" t="str">
        <f t="array" ref="EB20">_xlfn.IFNA(INDEX($EA$6:$EA$66,MATCH(0,COUNTIF($EB$4:EB19,$EA$6:$EA$66),0),1),"")</f>
        <v/>
      </c>
      <c r="EC20" s="277" t="str">
        <f>IF(AND('1.4 Analyse &amp; Synthese'!AI21=1,'1.4 Analyse &amp; Synthese'!F21="Werkzeug"),'1.4 Analyse &amp; Synthese'!I21&amp;CHAR(13)&amp;"("&amp;'(Codierung)'!$C$4&amp;" - "&amp;'1.4 Analyse &amp; Synthese'!C21&amp;")","")</f>
        <v/>
      </c>
      <c r="ED20" s="277" t="str">
        <f t="array" ref="ED20">_xlfn.IFNA(INDEX($EC$6:$EC$66,MATCH(0,COUNTIF($ED$4:ED19,$EC$6:$EC$66),0),1),"")</f>
        <v/>
      </c>
      <c r="EF20" s="277" t="str">
        <f>IF(AND('1.4 Analyse &amp; Synthese'!AJ21=1,'1.4 Analyse &amp; Synthese'!F21="Empfehlung"),'1.4 Analyse &amp; Synthese'!I21&amp;CHAR(13)&amp;"("&amp;'(Codierung)'!$C$2&amp;" - "&amp;'1.4 Analyse &amp; Synthese'!C21&amp;")","")</f>
        <v/>
      </c>
      <c r="EG20" s="277" t="str">
        <f t="array" ref="EG20">_xlfn.IFNA(INDEX($EF$6:$EF$66,MATCH(0,COUNTIF($EG$4:EG19,$EF$6:$EF$66),0),1),"")</f>
        <v/>
      </c>
      <c r="EH20" s="277" t="str">
        <f>IF(AND('1.4 Analyse &amp; Synthese'!AJ21=1,'1.4 Analyse &amp; Synthese'!F21="Methode"),'1.4 Analyse &amp; Synthese'!I21&amp;CHAR(13)&amp;"("&amp;'(Codierung)'!$C$3&amp;" - "&amp;'1.4 Analyse &amp; Synthese'!C21&amp;")","")</f>
        <v>Open-Source Plattform_x000D_(Methode - Ferry)</v>
      </c>
      <c r="EI20" s="277" t="str">
        <f t="array" ref="EI20">_xlfn.IFNA(INDEX($EH$6:$EH$66,MATCH(0,COUNTIF($EI$4:EI19,$EH$6:$EH$66),0),1),"")</f>
        <v/>
      </c>
      <c r="EJ20" s="277" t="str">
        <f>IF(AND('1.4 Analyse &amp; Synthese'!AJ21=1,'1.4 Analyse &amp; Synthese'!F21="Werkzeug"),'1.4 Analyse &amp; Synthese'!I21&amp;CHAR(13)&amp;"("&amp;'(Codierung)'!$C$4&amp;" - "&amp;'1.4 Analyse &amp; Synthese'!C21&amp;")","")</f>
        <v/>
      </c>
      <c r="EK20" s="277" t="str">
        <f t="array" ref="EK20">_xlfn.IFNA(INDEX($EJ$6:$EJ$66,MATCH(0,COUNTIF($EK$4:EK19,$EJ$6:$EJ$66),0),1),"")</f>
        <v/>
      </c>
      <c r="EN20" s="222" t="str">
        <f t="shared" si="0"/>
        <v/>
      </c>
      <c r="EO20" s="277" t="str">
        <f t="shared" si="1"/>
        <v/>
      </c>
      <c r="EP20" s="277" t="str">
        <f t="shared" si="2"/>
        <v/>
      </c>
      <c r="EQ20" s="277" t="str">
        <f>ZahlenInBereich(Tabelle1[[Empfehlung]:[Werkzeug]],ROW()-5)</f>
        <v/>
      </c>
      <c r="ER20" s="277" t="str">
        <f t="shared" si="3"/>
        <v/>
      </c>
      <c r="ES20" s="277" t="str">
        <f t="shared" si="4"/>
        <v/>
      </c>
      <c r="ET20" s="277" t="str">
        <f t="shared" si="5"/>
        <v/>
      </c>
      <c r="EU20" s="277" t="str">
        <f>ZahlenInBereich(Tabelle1[[Empfehlung2]:[Werkzeug4]],ROW()-5)</f>
        <v/>
      </c>
      <c r="EV20" s="277" t="str">
        <f t="shared" si="6"/>
        <v/>
      </c>
      <c r="EW20" s="277" t="str">
        <f t="shared" si="7"/>
        <v/>
      </c>
      <c r="EX20" s="277" t="str">
        <f t="shared" si="8"/>
        <v/>
      </c>
      <c r="EY20" s="277" t="str">
        <f>ZahlenInBereich(Tabelle1[[Empfehlung6]:[Werkzeug8]],ROW()-5)</f>
        <v>Monitoring System_x000D_(Methode - Tata)</v>
      </c>
      <c r="EZ20" s="277" t="str">
        <f t="shared" si="9"/>
        <v/>
      </c>
      <c r="FA20" s="277" t="str">
        <f t="shared" si="10"/>
        <v/>
      </c>
      <c r="FB20" s="277" t="str">
        <f t="shared" si="11"/>
        <v/>
      </c>
      <c r="FC20" s="277" t="str">
        <f>ZahlenInBereich(Tabelle1[[Empfehlung10]:[Werkzeug12]],ROW()-5)</f>
        <v/>
      </c>
      <c r="FD20" s="277" t="str">
        <f t="shared" si="12"/>
        <v/>
      </c>
      <c r="FE20" s="277" t="str">
        <f t="shared" si="13"/>
        <v/>
      </c>
      <c r="FF20" s="277" t="str">
        <f t="shared" si="14"/>
        <v/>
      </c>
      <c r="FG20" s="277" t="str">
        <f>ZahlenInBereich(Tabelle1[[Empfehlung14]:[Werkzeug16]],ROW()-5)</f>
        <v/>
      </c>
      <c r="FH20" s="277" t="str">
        <f t="shared" si="15"/>
        <v/>
      </c>
      <c r="FI20" s="277" t="str">
        <f t="shared" si="16"/>
        <v/>
      </c>
      <c r="FJ20" s="277" t="str">
        <f t="shared" si="17"/>
        <v/>
      </c>
      <c r="FK20" s="277" t="str">
        <f>ZahlenInBereich(Tabelle1[[Empfehlung18]:[Werkzeug20]],ROW()-5)</f>
        <v/>
      </c>
      <c r="FL20" s="277" t="str">
        <f t="shared" si="18"/>
        <v/>
      </c>
      <c r="FM20" s="277" t="str">
        <f t="shared" si="19"/>
        <v/>
      </c>
      <c r="FN20" s="277" t="str">
        <f t="shared" si="20"/>
        <v/>
      </c>
      <c r="FO20" s="277" t="str">
        <f>ZahlenInBereich(Tabelle1[[Empfehlung22]:[Werkzeug24]],ROW()-5)</f>
        <v/>
      </c>
      <c r="FP20" s="277" t="str">
        <f t="shared" si="21"/>
        <v/>
      </c>
      <c r="FQ20" s="277" t="str">
        <f t="shared" si="22"/>
        <v/>
      </c>
      <c r="FR20" s="277" t="str">
        <f t="shared" si="23"/>
        <v/>
      </c>
      <c r="FS20" s="277" t="str">
        <f>ZahlenInBereich(Tabelle1[[Empfehlung26]:[Werkzeug28]],ROW()-5)</f>
        <v/>
      </c>
      <c r="FT20" s="277" t="str">
        <f t="shared" si="24"/>
        <v/>
      </c>
      <c r="FU20" s="277" t="str">
        <f t="shared" si="25"/>
        <v/>
      </c>
      <c r="FV20" s="277" t="str">
        <f t="shared" si="26"/>
        <v/>
      </c>
      <c r="FW20" s="277" t="str">
        <f>ZahlenInBereich(Tabelle1[[Empfehlung30]:[Werkzeug32]],ROW()-5)</f>
        <v/>
      </c>
      <c r="FX20" s="277" t="str">
        <f t="shared" si="27"/>
        <v/>
      </c>
      <c r="FY20" s="277" t="str">
        <f t="shared" si="28"/>
        <v/>
      </c>
      <c r="FZ20" s="277" t="str">
        <f t="shared" si="29"/>
        <v/>
      </c>
      <c r="GA20" s="277" t="str">
        <f>ZahlenInBereich(Tabelle1[[Empfehlung34]:[Werkzeug36]],ROW()-5)</f>
        <v/>
      </c>
      <c r="GB20" s="277" t="str">
        <f t="shared" si="30"/>
        <v/>
      </c>
      <c r="GC20" s="277" t="str">
        <f t="shared" si="31"/>
        <v/>
      </c>
      <c r="GD20" s="277" t="str">
        <f t="shared" si="32"/>
        <v/>
      </c>
      <c r="GE20" s="277" t="str">
        <f>ZahlenInBereich(Tabelle1[[Empfehlung38]:[Werkzeug40]],ROW()-5)</f>
        <v/>
      </c>
      <c r="GF20" s="277" t="str">
        <f t="shared" si="33"/>
        <v/>
      </c>
      <c r="GG20" s="277" t="str">
        <f t="shared" si="34"/>
        <v/>
      </c>
      <c r="GH20" s="277" t="str">
        <f t="shared" si="35"/>
        <v/>
      </c>
      <c r="GI20" s="277" t="str">
        <f>ZahlenInBereich(Tabelle1[[Empfehlung42]:[Werkzeug44]],ROW()-5)</f>
        <v/>
      </c>
      <c r="GJ20" s="277" t="str">
        <f t="shared" si="36"/>
        <v/>
      </c>
      <c r="GK20" s="277" t="str">
        <f t="shared" si="37"/>
        <v/>
      </c>
      <c r="GL20" s="277" t="str">
        <f t="shared" si="38"/>
        <v/>
      </c>
      <c r="GM20" s="277" t="str">
        <f>ZahlenInBereich(Tabelle1[[Empfehlung46]:[Werkzeug48]],ROW()-5)</f>
        <v/>
      </c>
      <c r="GN20" s="277" t="str">
        <f t="shared" si="39"/>
        <v/>
      </c>
      <c r="GO20" s="277" t="str">
        <f t="shared" si="40"/>
        <v/>
      </c>
      <c r="GP20" s="277" t="str">
        <f t="shared" si="41"/>
        <v/>
      </c>
      <c r="GQ20" s="277" t="str">
        <f>ZahlenInBereich(Tabelle1[[Empfehlung50]:[Werkzeug52]],ROW()-5)</f>
        <v/>
      </c>
      <c r="GR20" s="277" t="str">
        <f t="shared" si="42"/>
        <v/>
      </c>
      <c r="GS20" s="277" t="str">
        <f t="shared" si="43"/>
        <v/>
      </c>
      <c r="GT20" s="277" t="str">
        <f t="shared" si="44"/>
        <v/>
      </c>
      <c r="GU20" s="277" t="str">
        <f>ZahlenInBereich(Tabelle1[[Empfehlung54]:[Werkzeug56]],ROW()-5)</f>
        <v/>
      </c>
      <c r="GV20" s="277" t="str">
        <f t="shared" si="45"/>
        <v/>
      </c>
      <c r="GW20" s="277" t="str">
        <f t="shared" si="46"/>
        <v/>
      </c>
      <c r="GX20" s="277" t="str">
        <f t="shared" si="47"/>
        <v/>
      </c>
      <c r="GY20" s="277" t="str">
        <f>ZahlenInBereich(Tabelle1[[Empfehlung58]:[Werkzeug60]],ROW()-5)</f>
        <v/>
      </c>
      <c r="GZ20" s="277" t="str">
        <f t="shared" si="48"/>
        <v/>
      </c>
      <c r="HA20" s="277" t="str">
        <f t="shared" si="49"/>
        <v/>
      </c>
      <c r="HB20" s="277" t="str">
        <f t="shared" si="50"/>
        <v/>
      </c>
      <c r="HC20" s="277" t="str">
        <f>ZahlenInBereich(Tabelle1[[Empfehlung62]:[Werkzeug64]],ROW()-5)</f>
        <v>Monitoring System_x000D_(Methode - Aversa)</v>
      </c>
      <c r="HD20" s="277" t="str">
        <f t="shared" si="51"/>
        <v/>
      </c>
      <c r="HE20" s="277" t="str">
        <f t="shared" si="52"/>
        <v/>
      </c>
      <c r="HF20" s="277" t="str">
        <f t="shared" si="53"/>
        <v/>
      </c>
      <c r="HG20" s="277" t="str">
        <f>ZahlenInBereich(Tabelle1[[Empfehlung66]:[Werkzeug68]],ROW()-5)</f>
        <v/>
      </c>
      <c r="HH20" s="277" t="str">
        <f t="shared" si="54"/>
        <v/>
      </c>
      <c r="HI20" s="277" t="str">
        <f t="shared" si="55"/>
        <v/>
      </c>
      <c r="HJ20" s="277" t="str">
        <f t="shared" si="56"/>
        <v/>
      </c>
      <c r="HK20" s="277" t="str">
        <f>ZahlenInBereich(Tabelle1[[Empfehlung70]:[Werkzeug72]],ROW()-5)</f>
        <v>Monitoring System_x000D_(Methode - Aversa)</v>
      </c>
      <c r="HL20" s="277" t="str">
        <f t="shared" si="57"/>
        <v/>
      </c>
      <c r="HM20" s="277" t="str">
        <f t="shared" si="58"/>
        <v/>
      </c>
      <c r="HN20" s="277" t="str">
        <f t="shared" si="59"/>
        <v/>
      </c>
      <c r="HO20" s="277" t="str">
        <f>ZahlenInBereich(Tabelle1[[Empfehlung74]:[Werkzeug76]],ROW()-5)</f>
        <v/>
      </c>
    </row>
    <row r="21" spans="2:223" ht="32" x14ac:dyDescent="0.2">
      <c r="B21" s="134">
        <f>'1.4 Analyse &amp; Synthese'!B22</f>
        <v>16</v>
      </c>
      <c r="C21" s="277" t="str">
        <f>IF(AND('1.4 Analyse &amp; Synthese'!Q22=1,'1.4 Analyse &amp; Synthese'!F22="Empfehlung"),'1.4 Analyse &amp; Synthese'!I22&amp;CHAR(13)&amp;"("&amp;'(Codierung)'!$C$2&amp;" - "&amp;'1.4 Analyse &amp; Synthese'!C22&amp;")","")</f>
        <v/>
      </c>
      <c r="D21" s="222" t="str">
        <f t="array" ref="D21">_xlfn.IFNA(INDEX($C$6:$C$66,MATCH(0,COUNTIF($D$4:D20,$C$6:$C$66),0),1),"")</f>
        <v/>
      </c>
      <c r="E21" s="277" t="str">
        <f>IF(AND('1.4 Analyse &amp; Synthese'!Q22=1,'1.4 Analyse &amp; Synthese'!F22="Methode"),'1.4 Analyse &amp; Synthese'!I22&amp;CHAR(13)&amp;"("&amp;'(Codierung)'!$C$3&amp;" - "&amp;'1.4 Analyse &amp; Synthese'!C22&amp;")","")</f>
        <v/>
      </c>
      <c r="F21" s="277" t="str">
        <f t="array" ref="F21">_xlfn.IFNA(INDEX($E$6:$E$66,MATCH(0,COUNTIF($F$4:F20,$E$6:$E$66),0),1),"")</f>
        <v/>
      </c>
      <c r="G21" s="277" t="str">
        <f>IF(AND('1.4 Analyse &amp; Synthese'!Q22=1,'1.4 Analyse &amp; Synthese'!F22="Werkzeug"),'1.4 Analyse &amp; Synthese'!I22&amp;CHAR(13)&amp;"("&amp;'(Codierung)'!$C$4&amp;" - "&amp;'1.4 Analyse &amp; Synthese'!C22&amp;")","")</f>
        <v/>
      </c>
      <c r="H21" s="277" t="str">
        <f t="array" ref="H21">_xlfn.IFNA(INDEX($G$6:$G$66,MATCH(0,COUNTIF($H$4:H20,$G$6:$G$66),0),1),"")</f>
        <v/>
      </c>
      <c r="J21" s="277" t="str">
        <f>IF(AND('1.4 Analyse &amp; Synthese'!R22=1,'1.4 Analyse &amp; Synthese'!F22="Empfehlung"),'1.4 Analyse &amp; Synthese'!I22&amp;CHAR(13)&amp;"("&amp;'(Codierung)'!$C$2&amp;" - "&amp;'1.4 Analyse &amp; Synthese'!C22&amp;")","")</f>
        <v/>
      </c>
      <c r="K21" s="277" t="str">
        <f t="array" ref="K21">_xlfn.IFNA(INDEX($J$6:$J$66,MATCH(0,COUNTIF($K$4:K20,$J$6:$J$66),0),1),"")</f>
        <v/>
      </c>
      <c r="L21" s="277" t="str">
        <f>IF(AND('1.4 Analyse &amp; Synthese'!R22=1,'1.4 Analyse &amp; Synthese'!F22="Methode"),'1.4 Analyse &amp; Synthese'!I22&amp;CHAR(13)&amp;"("&amp;'(Codierung)'!$C$3&amp;" - "&amp;'1.4 Analyse &amp; Synthese'!C22&amp;")","")</f>
        <v/>
      </c>
      <c r="M21" s="277" t="str">
        <f t="array" ref="M21">_xlfn.IFNA(INDEX($L$6:$L$66,MATCH(0,COUNTIF($M$4:M20,$L$6:$L$66),0),1),"")</f>
        <v/>
      </c>
      <c r="N21" s="277" t="str">
        <f>IF(AND('1.4 Analyse &amp; Synthese'!R22=1,'1.4 Analyse &amp; Synthese'!F22="Werkzeug"),'1.4 Analyse &amp; Synthese'!I22&amp;CHAR(13)&amp;"("&amp;'(Codierung)'!$C$4&amp;" - "&amp;'1.4 Analyse &amp; Synthese'!C22&amp;")","")</f>
        <v/>
      </c>
      <c r="O21" s="277" t="str">
        <f t="array" ref="O21">_xlfn.IFNA(INDEX($N$6:$N$66,MATCH(0,COUNTIF($O$4:O20,$N$6:$N$66),0),1),"")</f>
        <v/>
      </c>
      <c r="Q21" s="277" t="str">
        <f>IF(AND('1.4 Analyse &amp; Synthese'!S22=1,'1.4 Analyse &amp; Synthese'!F22="Empfehlung"),'1.4 Analyse &amp; Synthese'!I22&amp;CHAR(13)&amp;"("&amp;'(Codierung)'!$C$2&amp;" - "&amp;'1.4 Analyse &amp; Synthese'!C22&amp;")","")</f>
        <v/>
      </c>
      <c r="R21" s="277" t="str">
        <f t="array" ref="R21">_xlfn.IFNA(INDEX($Q$6:$Q$66,MATCH(0,COUNTIF($R$4:R20,$Q$6:$Q$66),0),1),"")</f>
        <v/>
      </c>
      <c r="S21" s="277" t="str">
        <f>IF(AND('1.4 Analyse &amp; Synthese'!S22=1,'1.4 Analyse &amp; Synthese'!F22="Methode"),'1.4 Analyse &amp; Synthese'!I22&amp;CHAR(13)&amp;"("&amp;'(Codierung)'!$C$3&amp;" - "&amp;'1.4 Analyse &amp; Synthese'!C22&amp;")","")</f>
        <v/>
      </c>
      <c r="T21" s="277" t="str">
        <f t="array" ref="T21">_xlfn.IFNA(INDEX($S$6:$S$66,MATCH(0,COUNTIF($T$4:T20,$S$6:$S$66),0),1),"")</f>
        <v/>
      </c>
      <c r="U21" s="277" t="str">
        <f>IF(AND('1.4 Analyse &amp; Synthese'!S22=1,'1.4 Analyse &amp; Synthese'!F22="Werkzeug"),'1.4 Analyse &amp; Synthese'!I22&amp;CHAR(13)&amp;"("&amp;'(Codierung)'!$C$4&amp;" - "&amp;'1.4 Analyse &amp; Synthese'!C22&amp;")","")</f>
        <v/>
      </c>
      <c r="V21" s="277" t="str">
        <f t="array" ref="V21">_xlfn.IFNA(INDEX($U$6:$U$66,MATCH(0,COUNTIF($V$4:V20,$U$6:$U$66),0),1),"")</f>
        <v/>
      </c>
      <c r="X21" s="277" t="str">
        <f>IF(AND('1.4 Analyse &amp; Synthese'!T22=1,'1.4 Analyse &amp; Synthese'!F22="Empfehlung"),'1.4 Analyse &amp; Synthese'!I22&amp;CHAR(13)&amp;"("&amp;'(Codierung)'!$C$2&amp;" - "&amp;'1.4 Analyse &amp; Synthese'!C22&amp;")","")</f>
        <v/>
      </c>
      <c r="Y21" s="277" t="str">
        <f t="array" ref="Y21">_xlfn.IFNA(INDEX($X$6:$X$66,MATCH(0,COUNTIF($Y$4:Y20,$X$6:$X$66),0),1),"")</f>
        <v/>
      </c>
      <c r="Z21" s="277" t="str">
        <f>IF(AND('1.4 Analyse &amp; Synthese'!T22=1,'1.4 Analyse &amp; Synthese'!F22="Methode"),'1.4 Analyse &amp; Synthese'!I22&amp;CHAR(13)&amp;"("&amp;'(Codierung)'!$C$3&amp;" - "&amp;'1.4 Analyse &amp; Synthese'!C22&amp;")","")</f>
        <v/>
      </c>
      <c r="AA21" s="277" t="str">
        <f t="array" ref="AA21">_xlfn.IFNA(INDEX($Z$6:$Z$66,MATCH(0,COUNTIF($AA$4:AA20,$Z$6:$Z$66),0),1),"")</f>
        <v/>
      </c>
      <c r="AB21" s="277" t="str">
        <f>IF(AND('1.4 Analyse &amp; Synthese'!T22=1,'1.4 Analyse &amp; Synthese'!F22="Werkzeug"),'1.4 Analyse &amp; Synthese'!I22&amp;CHAR(13)&amp;"("&amp;'(Codierung)'!$C$4&amp;" - "&amp;'1.4 Analyse &amp; Synthese'!C22&amp;")","")</f>
        <v/>
      </c>
      <c r="AC21" s="277" t="str">
        <f t="array" ref="AC21">_xlfn.IFNA(INDEX($AB$6:$AB$66,MATCH(0,COUNTIF($AC$4:AC20,$AB$6:$AB$66),0),1),"")</f>
        <v/>
      </c>
      <c r="AE21" s="277" t="str">
        <f>IF(AND('1.4 Analyse &amp; Synthese'!U22=1,'1.4 Analyse &amp; Synthese'!F22="Empfehlung"),'1.4 Analyse &amp; Synthese'!I22&amp;CHAR(13)&amp;"("&amp;'(Codierung)'!$C$2&amp;" - "&amp;'1.4 Analyse &amp; Synthese'!C22&amp;")","")</f>
        <v/>
      </c>
      <c r="AF21" s="277" t="str">
        <f t="array" ref="AF21">_xlfn.IFNA(INDEX($AE$6:$AE$66,MATCH(0,COUNTIF($AF$4:AF20,$AE$6:$AE$66),0),1),"")</f>
        <v/>
      </c>
      <c r="AG21" s="277" t="str">
        <f>IF(AND('1.4 Analyse &amp; Synthese'!U22=1,'1.4 Analyse &amp; Synthese'!F22="Methode"),'1.4 Analyse &amp; Synthese'!I22&amp;CHAR(13)&amp;"("&amp;'(Codierung)'!$C$3&amp;" - "&amp;'1.4 Analyse &amp; Synthese'!C22&amp;")","")</f>
        <v/>
      </c>
      <c r="AH21" s="277" t="str">
        <f t="array" ref="AH21">_xlfn.IFNA(INDEX($AG$6:$AG$66,MATCH(0,COUNTIF($AH$4:AH20,$AG$6:$AG$66),0),1),"")</f>
        <v/>
      </c>
      <c r="AI21" s="277" t="str">
        <f>IF(AND('1.4 Analyse &amp; Synthese'!U22=1,'1.4 Analyse &amp; Synthese'!F22="Werkzeug"),'1.4 Analyse &amp; Synthese'!I22&amp;CHAR(13)&amp;"("&amp;'(Codierung)'!$C$4&amp;" - "&amp;'1.4 Analyse &amp; Synthese'!C22&amp;")","")</f>
        <v/>
      </c>
      <c r="AJ21" s="277" t="str">
        <f t="array" ref="AJ21">_xlfn.IFNA(INDEX($AI$6:$AI$66,MATCH(0,COUNTIF($AJ$4:AJ20,$AI$6:$AI$66),0),1),"")</f>
        <v/>
      </c>
      <c r="AL21" s="277" t="str">
        <f>IF(AND('1.4 Analyse &amp; Synthese'!V22=1,'1.4 Analyse &amp; Synthese'!F22="Empfehlung"),'1.4 Analyse &amp; Synthese'!I22&amp;CHAR(13)&amp;"("&amp;'(Codierung)'!$C$2&amp;" - "&amp;'1.4 Analyse &amp; Synthese'!C22&amp;")","")</f>
        <v>Datenintegration_x000D_(Empfehlung - Ghafour)</v>
      </c>
      <c r="AM21" s="277" t="str">
        <f t="array" ref="AM21">_xlfn.IFNA(INDEX($AL$6:$AL$66,MATCH(0,COUNTIF($AM$4:AM20,$AL$6:$AL$66),0),1),"")</f>
        <v/>
      </c>
      <c r="AN21" s="277" t="str">
        <f>IF(AND('1.4 Analyse &amp; Synthese'!V22=1,'1.4 Analyse &amp; Synthese'!F22="Methode"),'1.4 Analyse &amp; Synthese'!I22&amp;CHAR(13)&amp;"("&amp;'(Codierung)'!$C$3&amp;" - "&amp;'1.4 Analyse &amp; Synthese'!C22&amp;")","")</f>
        <v/>
      </c>
      <c r="AO21" s="277" t="str">
        <f t="array" ref="AO21">_xlfn.IFNA(INDEX($AN$6:$AN$66,MATCH(0,COUNTIF($AO$4:AO20,$AN$6:$AN$66),0),1),"")</f>
        <v/>
      </c>
      <c r="AP21" s="277" t="str">
        <f>IF(AND('1.4 Analyse &amp; Synthese'!V22=1,'1.4 Analyse &amp; Synthese'!F22="Werkzeug"),'1.4 Analyse &amp; Synthese'!I22&amp;CHAR(13)&amp;"("&amp;'(Codierung)'!$C$4&amp;" - "&amp;'1.4 Analyse &amp; Synthese'!C22&amp;")","")</f>
        <v/>
      </c>
      <c r="AQ21" s="277" t="str">
        <f t="array" ref="AQ21">_xlfn.IFNA(INDEX($AP$6:$AP$66,MATCH(0,COUNTIF($AQ$4:AQ20,$AP$6:$AP$66),0),1),"")</f>
        <v/>
      </c>
      <c r="AS21" s="277" t="str">
        <f>IF(AND('1.4 Analyse &amp; Synthese'!W22=1,'1.4 Analyse &amp; Synthese'!F22="Empfehlung"),'1.4 Analyse &amp; Synthese'!I22&amp;CHAR(13)&amp;"("&amp;'(Codierung)'!$C$2&amp;" - "&amp;'1.4 Analyse &amp; Synthese'!C22&amp;")","")</f>
        <v/>
      </c>
      <c r="AT21" s="277" t="str">
        <f t="array" ref="AT21">_xlfn.IFNA(INDEX($AS$6:$AS$66,MATCH(0,COUNTIF($AT$4:AT20,$AS$6:$AS$66),0),1),"")</f>
        <v/>
      </c>
      <c r="AU21" s="277" t="str">
        <f>IF(AND('1.4 Analyse &amp; Synthese'!W22=1,'1.4 Analyse &amp; Synthese'!F22="Methode"),'1.4 Analyse &amp; Synthese'!I22&amp;CHAR(13)&amp;"("&amp;'(Codierung)'!$C$3&amp;" - "&amp;'1.4 Analyse &amp; Synthese'!C22&amp;")","")</f>
        <v/>
      </c>
      <c r="AV21" s="277" t="str">
        <f t="array" ref="AV21">_xlfn.IFNA(INDEX($AU$6:$AU$66,MATCH(0,COUNTIF($AV$4:AV20,$AU$6:$AU$66),0),1),"")</f>
        <v/>
      </c>
      <c r="AW21" s="277" t="str">
        <f>IF(AND('1.4 Analyse &amp; Synthese'!W22=1,'1.4 Analyse &amp; Synthese'!F22="Werkzeug"),'1.4 Analyse &amp; Synthese'!I22&amp;CHAR(13)&amp;"("&amp;'(Codierung)'!$C$4&amp;" - "&amp;'1.4 Analyse &amp; Synthese'!C22&amp;")","")</f>
        <v/>
      </c>
      <c r="AX21" s="277" t="str">
        <f t="array" ref="AX21">_xlfn.IFNA(INDEX($AW$6:$AW$66,MATCH(0,COUNTIF($AX$4:AX20,$AW$6:$AW$66),0),1),"")</f>
        <v/>
      </c>
      <c r="AZ21" s="277" t="str">
        <f>IF(AND('1.4 Analyse &amp; Synthese'!X22=1,'1.4 Analyse &amp; Synthese'!F22="Empfehlung"),'1.4 Analyse &amp; Synthese'!I22&amp;CHAR(13)&amp;"("&amp;'(Codierung)'!$C$2&amp;" - "&amp;'1.4 Analyse &amp; Synthese'!C22&amp;")","")</f>
        <v/>
      </c>
      <c r="BA21" s="277" t="str">
        <f t="array" ref="BA21">_xlfn.IFNA(INDEX($AZ$6:$AZ$66,MATCH(0,COUNTIF($BA$4:BA20,$AZ$6:$AZ$66),0),1),"")</f>
        <v/>
      </c>
      <c r="BB21" s="277" t="str">
        <f>IF(AND('1.4 Analyse &amp; Synthese'!X22=1,'1.4 Analyse &amp; Synthese'!F22="Methode"),'1.4 Analyse &amp; Synthese'!I22&amp;CHAR(13)&amp;"("&amp;'(Codierung)'!$C$3&amp;" - "&amp;'1.4 Analyse &amp; Synthese'!C22&amp;")","")</f>
        <v/>
      </c>
      <c r="BC21" s="277" t="str">
        <f t="array" ref="BC21">_xlfn.IFNA(INDEX($BB$6:$BB$66,MATCH(0,COUNTIF($BC$4:BC20,$BB$6:$BB$66),0),1),"")</f>
        <v/>
      </c>
      <c r="BD21" s="277" t="str">
        <f>IF(AND('1.4 Analyse &amp; Synthese'!X22=1,'1.4 Analyse &amp; Synthese'!F22="Werkzeug"),'1.4 Analyse &amp; Synthese'!I22&amp;CHAR(13)&amp;"("&amp;'(Codierung)'!$C$4&amp;" - "&amp;'1.4 Analyse &amp; Synthese'!C22&amp;")","")</f>
        <v/>
      </c>
      <c r="BE21" s="277" t="str">
        <f t="array" ref="BE21">_xlfn.IFNA(INDEX($BD$6:$BD$66,MATCH(0,COUNTIF($BE$4:BE20,$BD$6:$BD$66),0),1),"")</f>
        <v/>
      </c>
      <c r="BG21" s="277" t="str">
        <f>IF(AND('1.4 Analyse &amp; Synthese'!Y22=1,'1.4 Analyse &amp; Synthese'!F22="Empfehlung"),'1.4 Analyse &amp; Synthese'!I22&amp;CHAR(13)&amp;"("&amp;'(Codierung)'!$C$2&amp;" - "&amp;'1.4 Analyse &amp; Synthese'!C22&amp;")","")</f>
        <v/>
      </c>
      <c r="BH21" s="277" t="str">
        <f t="array" ref="BH21">_xlfn.IFNA(INDEX($BG$6:$BG$66,MATCH(0,COUNTIF($BH$4:BH20,$BG$6:$BG$66),0),1),"")</f>
        <v/>
      </c>
      <c r="BI21" s="277" t="str">
        <f>IF(AND('1.4 Analyse &amp; Synthese'!Y22=1,'1.4 Analyse &amp; Synthese'!F22="Methode"),'1.4 Analyse &amp; Synthese'!I22&amp;CHAR(13)&amp;"("&amp;'(Codierung)'!$C$3&amp;" - "&amp;'1.4 Analyse &amp; Synthese'!C22&amp;")","")</f>
        <v/>
      </c>
      <c r="BJ21" s="277" t="str">
        <f t="array" ref="BJ21">_xlfn.IFNA(INDEX($BI$6:$BI$66,MATCH(0,COUNTIF($BJ$4:BJ20,$BI$6:$BI$66),0),1),"")</f>
        <v/>
      </c>
      <c r="BK21" s="277" t="str">
        <f>IF(AND('1.4 Analyse &amp; Synthese'!Y22=1,'1.4 Analyse &amp; Synthese'!F22="Werkzeug"),'1.4 Analyse &amp; Synthese'!I22&amp;CHAR(13)&amp;"("&amp;'(Codierung)'!$C$4&amp;" - "&amp;'1.4 Analyse &amp; Synthese'!C22&amp;")","")</f>
        <v/>
      </c>
      <c r="BL21" s="277" t="str">
        <f t="array" ref="BL21">_xlfn.IFNA(INDEX($BK$6:$BK$66,MATCH(0,COUNTIF($BL$4:BL20,$BK$6:$BK$66),0),1),"")</f>
        <v/>
      </c>
      <c r="BN21" s="277" t="str">
        <f>IF(AND('1.4 Analyse &amp; Synthese'!Z22=1,'1.4 Analyse &amp; Synthese'!F22="Empfehlung"),'1.4 Analyse &amp; Synthese'!I22&amp;CHAR(13)&amp;"("&amp;'(Codierung)'!$C$2&amp;" - "&amp;'1.4 Analyse &amp; Synthese'!C22&amp;")","")</f>
        <v/>
      </c>
      <c r="BO21" s="277" t="str">
        <f t="array" ref="BO21">_xlfn.IFNA(INDEX($BN$6:$BN$66,MATCH(0,COUNTIF($BO$4:BO20,$BN$6:$BN$66),0),1),"")</f>
        <v/>
      </c>
      <c r="BP21" s="277" t="str">
        <f>IF(AND('1.4 Analyse &amp; Synthese'!Z22=1,'1.4 Analyse &amp; Synthese'!F22="Methode"),'1.4 Analyse &amp; Synthese'!I22&amp;CHAR(13)&amp;"("&amp;'(Codierung)'!$C$3&amp;" - "&amp;'1.4 Analyse &amp; Synthese'!C22&amp;")","")</f>
        <v/>
      </c>
      <c r="BQ21" s="277" t="str">
        <f t="array" ref="BQ21">_xlfn.IFNA(INDEX($BP$6:$BP$66,MATCH(0,COUNTIF($BQ$4:BQ20,$BP$6:$BP$66),0),1),"")</f>
        <v/>
      </c>
      <c r="BR21" s="277" t="str">
        <f>IF(AND('1.4 Analyse &amp; Synthese'!Z22=1,'1.4 Analyse &amp; Synthese'!F22="Werkzeug"),'1.4 Analyse &amp; Synthese'!I22&amp;CHAR(13)&amp;"("&amp;'(Codierung)'!$C$4&amp;" - "&amp;'1.4 Analyse &amp; Synthese'!C22&amp;")","")</f>
        <v/>
      </c>
      <c r="BS21" s="277" t="str">
        <f t="array" ref="BS21">_xlfn.IFNA(INDEX($BR$6:$BR$66,MATCH(0,COUNTIF($BS$4:BS20,$BR$6:$BR$66),0),1),"")</f>
        <v/>
      </c>
      <c r="BU21" s="277" t="str">
        <f>IF(AND('1.4 Analyse &amp; Synthese'!AA22=1,'1.4 Analyse &amp; Synthese'!F22="Empfehlung"),'1.4 Analyse &amp; Synthese'!I22&amp;CHAR(13)&amp;"("&amp;'(Codierung)'!$C$2&amp;" - "&amp;'1.4 Analyse &amp; Synthese'!C22&amp;")","")</f>
        <v/>
      </c>
      <c r="BV21" s="277" t="str">
        <f t="array" ref="BV21">_xlfn.IFNA(INDEX($BU$6:$BU$66,MATCH(0,COUNTIF($BV$4:BV20,$BU$6:$BU$66),0),1),"")</f>
        <v/>
      </c>
      <c r="BW21" s="277" t="str">
        <f>IF(AND('1.4 Analyse &amp; Synthese'!AA22=1,'1.4 Analyse &amp; Synthese'!F22="Methode"),'1.4 Analyse &amp; Synthese'!I22&amp;CHAR(13)&amp;"("&amp;'(Codierung)'!$C$3&amp;" - "&amp;'1.4 Analyse &amp; Synthese'!C22&amp;")","")</f>
        <v/>
      </c>
      <c r="BX21" s="277" t="str">
        <f t="array" ref="BX21">_xlfn.IFNA(INDEX($BW$6:$BW$66,MATCH(0,COUNTIF($BX$4:BX20,$BW$6:$BW$66),0),1),"")</f>
        <v/>
      </c>
      <c r="BY21" s="277" t="str">
        <f>IF(AND('1.4 Analyse &amp; Synthese'!AA22=1,'1.4 Analyse &amp; Synthese'!F22="Werkzeug"),'1.4 Analyse &amp; Synthese'!I22&amp;CHAR(13)&amp;"("&amp;'(Codierung)'!$C$4&amp;" - "&amp;'1.4 Analyse &amp; Synthese'!C22&amp;")","")</f>
        <v/>
      </c>
      <c r="BZ21" s="277" t="str">
        <f t="array" ref="BZ21">_xlfn.IFNA(INDEX($BY$6:$BY$66,MATCH(0,COUNTIF($BZ$4:BZ20,$BY$6:$BY$66),0),1),"")</f>
        <v/>
      </c>
      <c r="CB21" s="277" t="str">
        <f>IF(AND('1.4 Analyse &amp; Synthese'!AB22=1,'1.4 Analyse &amp; Synthese'!F22="Empfehlung"),'1.4 Analyse &amp; Synthese'!I22&amp;CHAR(13)&amp;"("&amp;'(Codierung)'!$C$2&amp;" - "&amp;'1.4 Analyse &amp; Synthese'!C22&amp;")","")</f>
        <v/>
      </c>
      <c r="CC21" s="277" t="str">
        <f t="array" ref="CC21">_xlfn.IFNA(INDEX($CB$6:$CB$66,MATCH(0,COUNTIF($CC$4:CC20,$CB$6:$CB$66),0),1),"")</f>
        <v/>
      </c>
      <c r="CD21" s="277" t="str">
        <f>IF(AND('1.4 Analyse &amp; Synthese'!AB22=1,'1.4 Analyse &amp; Synthese'!F22="Methode"),'1.4 Analyse &amp; Synthese'!I22&amp;CHAR(13)&amp;"("&amp;'(Codierung)'!$C$3&amp;" - "&amp;'1.4 Analyse &amp; Synthese'!C22&amp;")","")</f>
        <v/>
      </c>
      <c r="CE21" s="277" t="str">
        <f t="array" ref="CE21">_xlfn.IFNA(INDEX($CD$6:$CD$66,MATCH(0,COUNTIF($CE$4:CE20,$CD$6:$CD$66),0),1),"")</f>
        <v/>
      </c>
      <c r="CF21" s="277" t="str">
        <f>IF(AND('1.4 Analyse &amp; Synthese'!AB22=1,'1.4 Analyse &amp; Synthese'!F22="Werkzeug"),'1.4 Analyse &amp; Synthese'!I22&amp;CHAR(13)&amp;"("&amp;'(Codierung)'!$C$4&amp;" - "&amp;'1.4 Analyse &amp; Synthese'!C22&amp;")","")</f>
        <v/>
      </c>
      <c r="CG21" s="277" t="str">
        <f t="array" ref="CG21">_xlfn.IFNA(INDEX($CF$6:$CF$66,MATCH(0,COUNTIF($CG$4:CG20,$CF$6:$CF$66),0),1),"")</f>
        <v/>
      </c>
      <c r="CI21" s="277" t="str">
        <f>IF(AND('1.4 Analyse &amp; Synthese'!AC22=1,'1.4 Analyse &amp; Synthese'!F22="Empfehlung"),'1.4 Analyse &amp; Synthese'!I22&amp;CHAR(13)&amp;"("&amp;'(Codierung)'!$C$2&amp;" - "&amp;'1.4 Analyse &amp; Synthese'!C22&amp;")","")</f>
        <v/>
      </c>
      <c r="CJ21" s="277" t="str">
        <f t="array" ref="CJ21">_xlfn.IFNA(INDEX($CI$6:$CI$66,MATCH(0,COUNTIF($CJ$4:CJ20,$CI$6:$CI$66),0),1),"")</f>
        <v/>
      </c>
      <c r="CK21" s="277" t="str">
        <f>IF(AND('1.4 Analyse &amp; Synthese'!AC22=1,'1.4 Analyse &amp; Synthese'!F22="Methode"),'1.4 Analyse &amp; Synthese'!I22&amp;CHAR(13)&amp;"("&amp;'(Codierung)'!$C$3&amp;" - "&amp;'1.4 Analyse &amp; Synthese'!C22&amp;")","")</f>
        <v/>
      </c>
      <c r="CL21" s="277" t="str">
        <f t="array" ref="CL21">_xlfn.IFNA(INDEX($CK$6:$CK$66,MATCH(0,COUNTIF($CL$4:CL20,$CK$6:$CK$66),0),1),"")</f>
        <v/>
      </c>
      <c r="CM21" s="277" t="str">
        <f>IF(AND('1.4 Analyse &amp; Synthese'!AC22=1,'1.4 Analyse &amp; Synthese'!F22="Werkzeug"),'1.4 Analyse &amp; Synthese'!I22&amp;CHAR(13)&amp;"("&amp;'(Codierung)'!$C$4&amp;" - "&amp;'1.4 Analyse &amp; Synthese'!C22&amp;")","")</f>
        <v/>
      </c>
      <c r="CN21" s="277" t="str">
        <f t="array" ref="CN21">_xlfn.IFNA(INDEX($CM$6:$CM$66,MATCH(0,COUNTIF($CN$4:CN20,$CM$6:$CM$66),0),1),"")</f>
        <v/>
      </c>
      <c r="CP21" s="277" t="str">
        <f>IF(AND('1.4 Analyse &amp; Synthese'!AD22=1,'1.4 Analyse &amp; Synthese'!F22="Empfehlung"),'1.4 Analyse &amp; Synthese'!I22&amp;CHAR(13)&amp;"("&amp;'(Codierung)'!$C$2&amp;" - "&amp;'1.4 Analyse &amp; Synthese'!C22&amp;")","")</f>
        <v/>
      </c>
      <c r="CQ21" s="277" t="str">
        <f t="array" ref="CQ21">_xlfn.IFNA(INDEX($CP$6:$CP$66,MATCH(0,COUNTIF($CQ$4:CQ20,$CP$6:$CP$66),0),1),"")</f>
        <v/>
      </c>
      <c r="CR21" s="277" t="str">
        <f>IF(AND('1.4 Analyse &amp; Synthese'!AD22=1,'1.4 Analyse &amp; Synthese'!F22="Methode"),'1.4 Analyse &amp; Synthese'!I22&amp;CHAR(13)&amp;"("&amp;'(Codierung)'!$C$3&amp;" - "&amp;'1.4 Analyse &amp; Synthese'!C22&amp;")","")</f>
        <v/>
      </c>
      <c r="CS21" s="277" t="str">
        <f t="array" ref="CS21">_xlfn.IFNA(INDEX($CR$6:$CR$66,MATCH(0,COUNTIF($CS$4:CS20,$CR$6:$CR$66),0),1),"")</f>
        <v/>
      </c>
      <c r="CT21" s="277" t="str">
        <f>IF(AND('1.4 Analyse &amp; Synthese'!AD22=1,'1.4 Analyse &amp; Synthese'!F22="Werkzeug"),'1.4 Analyse &amp; Synthese'!I22&amp;CHAR(13)&amp;"("&amp;'(Codierung)'!$C$4&amp;" - "&amp;'1.4 Analyse &amp; Synthese'!C22&amp;")","")</f>
        <v/>
      </c>
      <c r="CU21" s="277" t="str">
        <f t="array" ref="CU21">_xlfn.IFNA(INDEX($CT$6:$CT$66,MATCH(0,COUNTIF($CU$4:CU20,$CT$6:$CT$66),0),1),"")</f>
        <v/>
      </c>
      <c r="CW21" s="277" t="str">
        <f>IF(AND('1.4 Analyse &amp; Synthese'!AE22=1,'1.4 Analyse &amp; Synthese'!F22="Empfehlung"),'1.4 Analyse &amp; Synthese'!I22&amp;CHAR(13)&amp;"("&amp;'(Codierung)'!$C$2&amp;" - "&amp;'1.4 Analyse &amp; Synthese'!C22&amp;")","")</f>
        <v>Datenintegration_x000D_(Empfehlung - Ghafour)</v>
      </c>
      <c r="CX21" s="277" t="str">
        <f t="array" ref="CX21">_xlfn.IFNA(INDEX($CW$6:$CW$66,MATCH(0,COUNTIF($CX$4:CX20,$CW$6:$CW$66),0),1),"")</f>
        <v/>
      </c>
      <c r="CY21" s="277" t="str">
        <f>IF(AND('1.4 Analyse &amp; Synthese'!AE22=1,'1.4 Analyse &amp; Synthese'!F22="Methode"),'1.4 Analyse &amp; Synthese'!I22&amp;CHAR(13)&amp;"("&amp;'(Codierung)'!$C$3&amp;" - "&amp;'1.4 Analyse &amp; Synthese'!C22&amp;")","")</f>
        <v/>
      </c>
      <c r="CZ21" s="277" t="str">
        <f t="array" ref="CZ21">_xlfn.IFNA(INDEX($CY$6:$CY$66,MATCH(0,COUNTIF($CZ$4:CZ20,$CY$6:$CY$66),0),1),"")</f>
        <v/>
      </c>
      <c r="DA21" s="277" t="str">
        <f>IF(AND('1.4 Analyse &amp; Synthese'!AE22=1,'1.4 Analyse &amp; Synthese'!F22="Werkzeug"),'1.4 Analyse &amp; Synthese'!I22&amp;CHAR(13)&amp;"("&amp;'(Codierung)'!$C$4&amp;" - "&amp;'1.4 Analyse &amp; Synthese'!C22&amp;")","")</f>
        <v/>
      </c>
      <c r="DB21" s="277" t="str">
        <f t="array" ref="DB21">_xlfn.IFNA(INDEX($DA$6:$DA$66,MATCH(0,COUNTIF($DB$4:DB20,$DA$6:$DA$66),0),1),"")</f>
        <v/>
      </c>
      <c r="DD21" s="277" t="str">
        <f>IF(AND('1.4 Analyse &amp; Synthese'!AF22=1,'1.4 Analyse &amp; Synthese'!F22="Empfehlung"),'1.4 Analyse &amp; Synthese'!I22&amp;CHAR(13)&amp;"("&amp;'(Codierung)'!$C$2&amp;" - "&amp;'1.4 Analyse &amp; Synthese'!C22&amp;")","")</f>
        <v/>
      </c>
      <c r="DE21" s="277" t="str">
        <f t="array" ref="DE21">_xlfn.IFNA(INDEX($DD$6:$DD$66,MATCH(0,COUNTIF($DE$4:DE20,$DD$6:$DD$66),0),1),"")</f>
        <v/>
      </c>
      <c r="DF21" s="277" t="str">
        <f>IF(AND('1.4 Analyse &amp; Synthese'!AF22=1,'1.4 Analyse &amp; Synthese'!F22="Methode"),'1.4 Analyse &amp; Synthese'!I22&amp;CHAR(13)&amp;"("&amp;'(Codierung)'!$C$3&amp;" - "&amp;'1.4 Analyse &amp; Synthese'!C22&amp;")","")</f>
        <v/>
      </c>
      <c r="DG21" s="277" t="str">
        <f t="array" ref="DG21">_xlfn.IFNA(INDEX($DF$6:$DF$66,MATCH(0,COUNTIF($DG$4:DG20,$DF$6:$DF$66),0),1),"")</f>
        <v/>
      </c>
      <c r="DH21" s="277" t="str">
        <f>IF(AND('1.4 Analyse &amp; Synthese'!AF22=1,'1.4 Analyse &amp; Synthese'!F22="Werkzeug"),'1.4 Analyse &amp; Synthese'!I22&amp;CHAR(13)&amp;"("&amp;'(Codierung)'!$C$4&amp;" - "&amp;'1.4 Analyse &amp; Synthese'!C22&amp;")","")</f>
        <v/>
      </c>
      <c r="DI21" s="277" t="str">
        <f t="array" ref="DI21">_xlfn.IFNA(INDEX($DH$6:$DH$66,MATCH(0,COUNTIF($DI$4:DI20,$DH$6:$DH$66),0),1),"")</f>
        <v/>
      </c>
      <c r="DK21" s="277" t="str">
        <f>IF(AND('1.4 Analyse &amp; Synthese'!AG22=1,'1.4 Analyse &amp; Synthese'!F22="Empfehlung"),'1.4 Analyse &amp; Synthese'!I22&amp;CHAR(13)&amp;"("&amp;'(Codierung)'!$C$2&amp;" - "&amp;'1.4 Analyse &amp; Synthese'!C22&amp;")","")</f>
        <v>Datenintegration_x000D_(Empfehlung - Ghafour)</v>
      </c>
      <c r="DL21" s="277" t="str">
        <f t="array" ref="DL21">_xlfn.IFNA(INDEX($DK$6:$DK$66,MATCH(0,COUNTIF($DL$4:DL20,$DK$6:$DK$66),0),1),"")</f>
        <v/>
      </c>
      <c r="DM21" s="277" t="str">
        <f>IF(AND('1.4 Analyse &amp; Synthese'!AG22=1,'1.4 Analyse &amp; Synthese'!F22="Methode"),'1.4 Analyse &amp; Synthese'!I22&amp;CHAR(13)&amp;"("&amp;'(Codierung)'!$C$3&amp;" - "&amp;'1.4 Analyse &amp; Synthese'!C22&amp;")","")</f>
        <v/>
      </c>
      <c r="DN21" s="277" t="str">
        <f t="array" ref="DN21">_xlfn.IFNA(INDEX($DM$6:$DM$66,MATCH(0,COUNTIF($DN$4:DN20,$DM$6:$DM$66),0),1),"")</f>
        <v/>
      </c>
      <c r="DO21" s="277" t="str">
        <f>IF(AND('1.4 Analyse &amp; Synthese'!AG22=1,'1.4 Analyse &amp; Synthese'!F22="Werkzeug"),'1.4 Analyse &amp; Synthese'!I22&amp;CHAR(13)&amp;"("&amp;'(Codierung)'!$C$4&amp;" - "&amp;'1.4 Analyse &amp; Synthese'!C22&amp;")","")</f>
        <v/>
      </c>
      <c r="DP21" s="277" t="str">
        <f t="array" ref="DP21">_xlfn.IFNA(INDEX($DO$6:$DO$66,MATCH(0,COUNTIF($DP$4:DP20,$DO$6:$DO$66),0),1),"")</f>
        <v/>
      </c>
      <c r="DR21" s="277" t="str">
        <f>IF(AND('1.4 Analyse &amp; Synthese'!AH22=1,'1.4 Analyse &amp; Synthese'!F22="Empfehlung"),'1.4 Analyse &amp; Synthese'!I22&amp;CHAR(13)&amp;"("&amp;'(Codierung)'!$C$2&amp;" - "&amp;'1.4 Analyse &amp; Synthese'!C22&amp;")","")</f>
        <v/>
      </c>
      <c r="DS21" s="277" t="str">
        <f t="array" ref="DS21">_xlfn.IFNA(INDEX($DR$6:$DR$66,MATCH(0,COUNTIF($DS$4:DS20,$DR$6:$DR$66),0),1),"")</f>
        <v/>
      </c>
      <c r="DT21" s="277" t="str">
        <f>IF(AND('1.4 Analyse &amp; Synthese'!AH22=1,'1.4 Analyse &amp; Synthese'!F22="Methode"),'1.4 Analyse &amp; Synthese'!I22&amp;CHAR(13)&amp;"("&amp;'(Codierung)'!$C$3&amp;" - "&amp;'1.4 Analyse &amp; Synthese'!C22&amp;")","")</f>
        <v/>
      </c>
      <c r="DU21" s="277" t="str">
        <f t="array" ref="DU21">_xlfn.IFNA(INDEX($DT$6:$DT$66,MATCH(0,COUNTIF($DU$4:DU20,$DT$6:$DT$66),0),1),"")</f>
        <v/>
      </c>
      <c r="DV21" s="277" t="str">
        <f>IF(AND('1.4 Analyse &amp; Synthese'!AH22=1,'1.4 Analyse &amp; Synthese'!F22="Werkzeug"),'1.4 Analyse &amp; Synthese'!I22&amp;CHAR(13)&amp;"("&amp;'(Codierung)'!$C$4&amp;" - "&amp;'1.4 Analyse &amp; Synthese'!C22&amp;")","")</f>
        <v/>
      </c>
      <c r="DW21" s="277" t="str">
        <f t="array" ref="DW21">_xlfn.IFNA(INDEX($DV$6:$DV$66,MATCH(0,COUNTIF($DW$4:DW20,$DV$6:$DV$66),0),1),"")</f>
        <v/>
      </c>
      <c r="DY21" s="277" t="str">
        <f>IF(AND('1.4 Analyse &amp; Synthese'!AI22=1,'1.4 Analyse &amp; Synthese'!F22="Empfehlung"),'1.4 Analyse &amp; Synthese'!I22&amp;CHAR(13)&amp;"("&amp;'(Codierung)'!$C$2&amp;" - "&amp;'1.4 Analyse &amp; Synthese'!C22&amp;")","")</f>
        <v>Datenintegration_x000D_(Empfehlung - Ghafour)</v>
      </c>
      <c r="DZ21" s="277" t="str">
        <f t="array" ref="DZ21">_xlfn.IFNA(INDEX($DY$6:$DY$66,MATCH(0,COUNTIF($DZ$4:DZ20,$DY$6:$DY$66),0),1),"")</f>
        <v/>
      </c>
      <c r="EA21" s="277" t="str">
        <f>IF(AND('1.4 Analyse &amp; Synthese'!AI22=1,'1.4 Analyse &amp; Synthese'!F22="Methode"),'1.4 Analyse &amp; Synthese'!I22&amp;CHAR(13)&amp;"("&amp;'(Codierung)'!$C$3&amp;" - "&amp;'1.4 Analyse &amp; Synthese'!C22&amp;")","")</f>
        <v/>
      </c>
      <c r="EB21" s="277" t="str">
        <f t="array" ref="EB21">_xlfn.IFNA(INDEX($EA$6:$EA$66,MATCH(0,COUNTIF($EB$4:EB20,$EA$6:$EA$66),0),1),"")</f>
        <v/>
      </c>
      <c r="EC21" s="277" t="str">
        <f>IF(AND('1.4 Analyse &amp; Synthese'!AI22=1,'1.4 Analyse &amp; Synthese'!F22="Werkzeug"),'1.4 Analyse &amp; Synthese'!I22&amp;CHAR(13)&amp;"("&amp;'(Codierung)'!$C$4&amp;" - "&amp;'1.4 Analyse &amp; Synthese'!C22&amp;")","")</f>
        <v/>
      </c>
      <c r="ED21" s="277" t="str">
        <f t="array" ref="ED21">_xlfn.IFNA(INDEX($EC$6:$EC$66,MATCH(0,COUNTIF($ED$4:ED20,$EC$6:$EC$66),0),1),"")</f>
        <v/>
      </c>
      <c r="EF21" s="277" t="str">
        <f>IF(AND('1.4 Analyse &amp; Synthese'!AJ22=1,'1.4 Analyse &amp; Synthese'!F22="Empfehlung"),'1.4 Analyse &amp; Synthese'!I22&amp;CHAR(13)&amp;"("&amp;'(Codierung)'!$C$2&amp;" - "&amp;'1.4 Analyse &amp; Synthese'!C22&amp;")","")</f>
        <v>Datenintegration_x000D_(Empfehlung - Ghafour)</v>
      </c>
      <c r="EG21" s="277" t="str">
        <f t="array" ref="EG21">_xlfn.IFNA(INDEX($EF$6:$EF$66,MATCH(0,COUNTIF($EG$4:EG20,$EF$6:$EF$66),0),1),"")</f>
        <v/>
      </c>
      <c r="EH21" s="277" t="str">
        <f>IF(AND('1.4 Analyse &amp; Synthese'!AJ22=1,'1.4 Analyse &amp; Synthese'!F22="Methode"),'1.4 Analyse &amp; Synthese'!I22&amp;CHAR(13)&amp;"("&amp;'(Codierung)'!$C$3&amp;" - "&amp;'1.4 Analyse &amp; Synthese'!C22&amp;")","")</f>
        <v/>
      </c>
      <c r="EI21" s="277" t="str">
        <f t="array" ref="EI21">_xlfn.IFNA(INDEX($EH$6:$EH$66,MATCH(0,COUNTIF($EI$4:EI20,$EH$6:$EH$66),0),1),"")</f>
        <v/>
      </c>
      <c r="EJ21" s="277" t="str">
        <f>IF(AND('1.4 Analyse &amp; Synthese'!AJ22=1,'1.4 Analyse &amp; Synthese'!F22="Werkzeug"),'1.4 Analyse &amp; Synthese'!I22&amp;CHAR(13)&amp;"("&amp;'(Codierung)'!$C$4&amp;" - "&amp;'1.4 Analyse &amp; Synthese'!C22&amp;")","")</f>
        <v/>
      </c>
      <c r="EK21" s="277" t="str">
        <f t="array" ref="EK21">_xlfn.IFNA(INDEX($EJ$6:$EJ$66,MATCH(0,COUNTIF($EK$4:EK20,$EJ$6:$EJ$66),0),1),"")</f>
        <v/>
      </c>
      <c r="EN21" s="222" t="str">
        <f t="shared" si="0"/>
        <v/>
      </c>
      <c r="EO21" s="277" t="str">
        <f t="shared" si="1"/>
        <v/>
      </c>
      <c r="EP21" s="277" t="str">
        <f t="shared" si="2"/>
        <v/>
      </c>
      <c r="EQ21" s="277" t="str">
        <f>ZahlenInBereich(Tabelle1[[Empfehlung]:[Werkzeug]],ROW()-5)</f>
        <v/>
      </c>
      <c r="ER21" s="277" t="str">
        <f t="shared" si="3"/>
        <v/>
      </c>
      <c r="ES21" s="277" t="str">
        <f t="shared" si="4"/>
        <v/>
      </c>
      <c r="ET21" s="277" t="str">
        <f t="shared" si="5"/>
        <v/>
      </c>
      <c r="EU21" s="277" t="str">
        <f>ZahlenInBereich(Tabelle1[[Empfehlung2]:[Werkzeug4]],ROW()-5)</f>
        <v/>
      </c>
      <c r="EV21" s="277" t="str">
        <f t="shared" si="6"/>
        <v/>
      </c>
      <c r="EW21" s="277" t="str">
        <f t="shared" si="7"/>
        <v/>
      </c>
      <c r="EX21" s="277" t="str">
        <f t="shared" si="8"/>
        <v/>
      </c>
      <c r="EY21" s="277" t="str">
        <f>ZahlenInBereich(Tabelle1[[Empfehlung6]:[Werkzeug8]],ROW()-5)</f>
        <v>SLA Management Aggregation_x000D_(Methode - Ul Haq)</v>
      </c>
      <c r="EZ21" s="277" t="str">
        <f t="shared" si="9"/>
        <v/>
      </c>
      <c r="FA21" s="277" t="str">
        <f t="shared" si="10"/>
        <v/>
      </c>
      <c r="FB21" s="277" t="str">
        <f t="shared" si="11"/>
        <v/>
      </c>
      <c r="FC21" s="277" t="str">
        <f>ZahlenInBereich(Tabelle1[[Empfehlung10]:[Werkzeug12]],ROW()-5)</f>
        <v/>
      </c>
      <c r="FD21" s="277" t="str">
        <f t="shared" si="12"/>
        <v/>
      </c>
      <c r="FE21" s="277" t="str">
        <f t="shared" si="13"/>
        <v/>
      </c>
      <c r="FF21" s="277" t="str">
        <f t="shared" si="14"/>
        <v/>
      </c>
      <c r="FG21" s="277" t="str">
        <f>ZahlenInBereich(Tabelle1[[Empfehlung14]:[Werkzeug16]],ROW()-5)</f>
        <v/>
      </c>
      <c r="FH21" s="277" t="str">
        <f t="shared" si="15"/>
        <v/>
      </c>
      <c r="FI21" s="277" t="str">
        <f t="shared" si="16"/>
        <v/>
      </c>
      <c r="FJ21" s="277" t="str">
        <f t="shared" si="17"/>
        <v/>
      </c>
      <c r="FK21" s="277" t="str">
        <f>ZahlenInBereich(Tabelle1[[Empfehlung18]:[Werkzeug20]],ROW()-5)</f>
        <v/>
      </c>
      <c r="FL21" s="277" t="str">
        <f t="shared" si="18"/>
        <v/>
      </c>
      <c r="FM21" s="277" t="str">
        <f t="shared" si="19"/>
        <v/>
      </c>
      <c r="FN21" s="277" t="str">
        <f t="shared" si="20"/>
        <v/>
      </c>
      <c r="FO21" s="277" t="str">
        <f>ZahlenInBereich(Tabelle1[[Empfehlung22]:[Werkzeug24]],ROW()-5)</f>
        <v/>
      </c>
      <c r="FP21" s="277" t="str">
        <f t="shared" si="21"/>
        <v/>
      </c>
      <c r="FQ21" s="277" t="str">
        <f t="shared" si="22"/>
        <v/>
      </c>
      <c r="FR21" s="277" t="str">
        <f t="shared" si="23"/>
        <v/>
      </c>
      <c r="FS21" s="277" t="str">
        <f>ZahlenInBereich(Tabelle1[[Empfehlung26]:[Werkzeug28]],ROW()-5)</f>
        <v/>
      </c>
      <c r="FT21" s="277" t="str">
        <f t="shared" si="24"/>
        <v/>
      </c>
      <c r="FU21" s="277" t="str">
        <f t="shared" si="25"/>
        <v/>
      </c>
      <c r="FV21" s="277" t="str">
        <f t="shared" si="26"/>
        <v/>
      </c>
      <c r="FW21" s="277" t="str">
        <f>ZahlenInBereich(Tabelle1[[Empfehlung30]:[Werkzeug32]],ROW()-5)</f>
        <v/>
      </c>
      <c r="FX21" s="277" t="str">
        <f t="shared" si="27"/>
        <v/>
      </c>
      <c r="FY21" s="277" t="str">
        <f t="shared" si="28"/>
        <v/>
      </c>
      <c r="FZ21" s="277" t="str">
        <f t="shared" si="29"/>
        <v/>
      </c>
      <c r="GA21" s="277" t="str">
        <f>ZahlenInBereich(Tabelle1[[Empfehlung34]:[Werkzeug36]],ROW()-5)</f>
        <v/>
      </c>
      <c r="GB21" s="277" t="str">
        <f t="shared" si="30"/>
        <v/>
      </c>
      <c r="GC21" s="277" t="str">
        <f t="shared" si="31"/>
        <v/>
      </c>
      <c r="GD21" s="277" t="str">
        <f t="shared" si="32"/>
        <v/>
      </c>
      <c r="GE21" s="277" t="str">
        <f>ZahlenInBereich(Tabelle1[[Empfehlung38]:[Werkzeug40]],ROW()-5)</f>
        <v/>
      </c>
      <c r="GF21" s="277" t="str">
        <f t="shared" si="33"/>
        <v/>
      </c>
      <c r="GG21" s="277" t="str">
        <f t="shared" si="34"/>
        <v/>
      </c>
      <c r="GH21" s="277" t="str">
        <f t="shared" si="35"/>
        <v/>
      </c>
      <c r="GI21" s="277" t="str">
        <f>ZahlenInBereich(Tabelle1[[Empfehlung42]:[Werkzeug44]],ROW()-5)</f>
        <v/>
      </c>
      <c r="GJ21" s="277" t="str">
        <f t="shared" si="36"/>
        <v/>
      </c>
      <c r="GK21" s="277" t="str">
        <f t="shared" si="37"/>
        <v/>
      </c>
      <c r="GL21" s="277" t="str">
        <f t="shared" si="38"/>
        <v/>
      </c>
      <c r="GM21" s="277" t="str">
        <f>ZahlenInBereich(Tabelle1[[Empfehlung46]:[Werkzeug48]],ROW()-5)</f>
        <v/>
      </c>
      <c r="GN21" s="277" t="str">
        <f t="shared" si="39"/>
        <v/>
      </c>
      <c r="GO21" s="277" t="str">
        <f t="shared" si="40"/>
        <v/>
      </c>
      <c r="GP21" s="277" t="str">
        <f t="shared" si="41"/>
        <v/>
      </c>
      <c r="GQ21" s="277" t="str">
        <f>ZahlenInBereich(Tabelle1[[Empfehlung50]:[Werkzeug52]],ROW()-5)</f>
        <v/>
      </c>
      <c r="GR21" s="277" t="str">
        <f t="shared" si="42"/>
        <v/>
      </c>
      <c r="GS21" s="277" t="str">
        <f t="shared" si="43"/>
        <v/>
      </c>
      <c r="GT21" s="277" t="str">
        <f t="shared" si="44"/>
        <v/>
      </c>
      <c r="GU21" s="277" t="str">
        <f>ZahlenInBereich(Tabelle1[[Empfehlung54]:[Werkzeug56]],ROW()-5)</f>
        <v/>
      </c>
      <c r="GV21" s="277" t="str">
        <f t="shared" si="45"/>
        <v/>
      </c>
      <c r="GW21" s="277" t="str">
        <f t="shared" si="46"/>
        <v/>
      </c>
      <c r="GX21" s="277" t="str">
        <f t="shared" si="47"/>
        <v/>
      </c>
      <c r="GY21" s="277" t="str">
        <f>ZahlenInBereich(Tabelle1[[Empfehlung58]:[Werkzeug60]],ROW()-5)</f>
        <v/>
      </c>
      <c r="GZ21" s="277" t="str">
        <f t="shared" si="48"/>
        <v/>
      </c>
      <c r="HA21" s="277" t="str">
        <f t="shared" si="49"/>
        <v/>
      </c>
      <c r="HB21" s="277" t="str">
        <f t="shared" si="50"/>
        <v/>
      </c>
      <c r="HC21" s="277" t="str">
        <f>ZahlenInBereich(Tabelle1[[Empfehlung62]:[Werkzeug64]],ROW()-5)</f>
        <v>Open-Source Plattform_x000D_(Methode - Ferry)</v>
      </c>
      <c r="HD21" s="277" t="str">
        <f t="shared" si="51"/>
        <v/>
      </c>
      <c r="HE21" s="277" t="str">
        <f t="shared" si="52"/>
        <v/>
      </c>
      <c r="HF21" s="277" t="str">
        <f t="shared" si="53"/>
        <v/>
      </c>
      <c r="HG21" s="277" t="str">
        <f>ZahlenInBereich(Tabelle1[[Empfehlung66]:[Werkzeug68]],ROW()-5)</f>
        <v/>
      </c>
      <c r="HH21" s="277" t="str">
        <f t="shared" si="54"/>
        <v/>
      </c>
      <c r="HI21" s="277" t="str">
        <f t="shared" si="55"/>
        <v/>
      </c>
      <c r="HJ21" s="277" t="str">
        <f t="shared" si="56"/>
        <v/>
      </c>
      <c r="HK21" s="277" t="str">
        <f>ZahlenInBereich(Tabelle1[[Empfehlung70]:[Werkzeug72]],ROW()-5)</f>
        <v>Open-Source Plattform_x000D_(Methode - Ferry)</v>
      </c>
      <c r="HL21" s="277" t="str">
        <f t="shared" si="57"/>
        <v/>
      </c>
      <c r="HM21" s="277" t="str">
        <f t="shared" si="58"/>
        <v/>
      </c>
      <c r="HN21" s="277" t="str">
        <f t="shared" si="59"/>
        <v/>
      </c>
      <c r="HO21" s="277" t="str">
        <f>ZahlenInBereich(Tabelle1[[Empfehlung74]:[Werkzeug76]],ROW()-5)</f>
        <v/>
      </c>
    </row>
    <row r="22" spans="2:223" ht="32" x14ac:dyDescent="0.2">
      <c r="B22" s="134">
        <f>'1.4 Analyse &amp; Synthese'!B23</f>
        <v>17</v>
      </c>
      <c r="C22" s="277" t="str">
        <f>IF(AND('1.4 Analyse &amp; Synthese'!Q23=1,'1.4 Analyse &amp; Synthese'!F23="Empfehlung"),'1.4 Analyse &amp; Synthese'!I23&amp;CHAR(13)&amp;"("&amp;'(Codierung)'!$C$2&amp;" - "&amp;'1.4 Analyse &amp; Synthese'!C23&amp;")","")</f>
        <v/>
      </c>
      <c r="D22" s="222" t="str">
        <f t="array" ref="D22">_xlfn.IFNA(INDEX($C$6:$C$66,MATCH(0,COUNTIF($D$4:D21,$C$6:$C$66),0),1),"")</f>
        <v/>
      </c>
      <c r="E22" s="277" t="str">
        <f>IF(AND('1.4 Analyse &amp; Synthese'!Q23=1,'1.4 Analyse &amp; Synthese'!F23="Methode"),'1.4 Analyse &amp; Synthese'!I23&amp;CHAR(13)&amp;"("&amp;'(Codierung)'!$C$3&amp;" - "&amp;'1.4 Analyse &amp; Synthese'!C23&amp;")","")</f>
        <v/>
      </c>
      <c r="F22" s="277" t="str">
        <f t="array" ref="F22">_xlfn.IFNA(INDEX($E$6:$E$66,MATCH(0,COUNTIF($F$4:F21,$E$6:$E$66),0),1),"")</f>
        <v/>
      </c>
      <c r="G22" s="277" t="str">
        <f>IF(AND('1.4 Analyse &amp; Synthese'!Q23=1,'1.4 Analyse &amp; Synthese'!F23="Werkzeug"),'1.4 Analyse &amp; Synthese'!I23&amp;CHAR(13)&amp;"("&amp;'(Codierung)'!$C$4&amp;" - "&amp;'1.4 Analyse &amp; Synthese'!C23&amp;")","")</f>
        <v/>
      </c>
      <c r="H22" s="277" t="str">
        <f t="array" ref="H22">_xlfn.IFNA(INDEX($G$6:$G$66,MATCH(0,COUNTIF($H$4:H21,$G$6:$G$66),0),1),"")</f>
        <v/>
      </c>
      <c r="J22" s="277" t="str">
        <f>IF(AND('1.4 Analyse &amp; Synthese'!R23=1,'1.4 Analyse &amp; Synthese'!F23="Empfehlung"),'1.4 Analyse &amp; Synthese'!I23&amp;CHAR(13)&amp;"("&amp;'(Codierung)'!$C$2&amp;" - "&amp;'1.4 Analyse &amp; Synthese'!C23&amp;")","")</f>
        <v/>
      </c>
      <c r="K22" s="277" t="str">
        <f t="array" ref="K22">_xlfn.IFNA(INDEX($J$6:$J$66,MATCH(0,COUNTIF($K$4:K21,$J$6:$J$66),0),1),"")</f>
        <v/>
      </c>
      <c r="L22" s="277" t="str">
        <f>IF(AND('1.4 Analyse &amp; Synthese'!R23=1,'1.4 Analyse &amp; Synthese'!F23="Methode"),'1.4 Analyse &amp; Synthese'!I23&amp;CHAR(13)&amp;"("&amp;'(Codierung)'!$C$3&amp;" - "&amp;'1.4 Analyse &amp; Synthese'!C23&amp;")","")</f>
        <v/>
      </c>
      <c r="M22" s="277" t="str">
        <f t="array" ref="M22">_xlfn.IFNA(INDEX($L$6:$L$66,MATCH(0,COUNTIF($M$4:M21,$L$6:$L$66),0),1),"")</f>
        <v/>
      </c>
      <c r="N22" s="277" t="str">
        <f>IF(AND('1.4 Analyse &amp; Synthese'!R23=1,'1.4 Analyse &amp; Synthese'!F23="Werkzeug"),'1.4 Analyse &amp; Synthese'!I23&amp;CHAR(13)&amp;"("&amp;'(Codierung)'!$C$4&amp;" - "&amp;'1.4 Analyse &amp; Synthese'!C23&amp;")","")</f>
        <v/>
      </c>
      <c r="O22" s="277" t="str">
        <f t="array" ref="O22">_xlfn.IFNA(INDEX($N$6:$N$66,MATCH(0,COUNTIF($O$4:O21,$N$6:$N$66),0),1),"")</f>
        <v/>
      </c>
      <c r="Q22" s="277" t="str">
        <f>IF(AND('1.4 Analyse &amp; Synthese'!S23=1,'1.4 Analyse &amp; Synthese'!F23="Empfehlung"),'1.4 Analyse &amp; Synthese'!I23&amp;CHAR(13)&amp;"("&amp;'(Codierung)'!$C$2&amp;" - "&amp;'1.4 Analyse &amp; Synthese'!C23&amp;")","")</f>
        <v/>
      </c>
      <c r="R22" s="277" t="str">
        <f t="array" ref="R22">_xlfn.IFNA(INDEX($Q$6:$Q$66,MATCH(0,COUNTIF($R$4:R21,$Q$6:$Q$66),0),1),"")</f>
        <v/>
      </c>
      <c r="S22" s="277" t="str">
        <f>IF(AND('1.4 Analyse &amp; Synthese'!S23=1,'1.4 Analyse &amp; Synthese'!F23="Methode"),'1.4 Analyse &amp; Synthese'!I23&amp;CHAR(13)&amp;"("&amp;'(Codierung)'!$C$3&amp;" - "&amp;'1.4 Analyse &amp; Synthese'!C23&amp;")","")</f>
        <v/>
      </c>
      <c r="T22" s="277" t="str">
        <f t="array" ref="T22">_xlfn.IFNA(INDEX($S$6:$S$66,MATCH(0,COUNTIF($T$4:T21,$S$6:$S$66),0),1),"")</f>
        <v/>
      </c>
      <c r="U22" s="277" t="str">
        <f>IF(AND('1.4 Analyse &amp; Synthese'!S23=1,'1.4 Analyse &amp; Synthese'!F23="Werkzeug"),'1.4 Analyse &amp; Synthese'!I23&amp;CHAR(13)&amp;"("&amp;'(Codierung)'!$C$4&amp;" - "&amp;'1.4 Analyse &amp; Synthese'!C23&amp;")","")</f>
        <v/>
      </c>
      <c r="V22" s="277" t="str">
        <f t="array" ref="V22">_xlfn.IFNA(INDEX($U$6:$U$66,MATCH(0,COUNTIF($V$4:V21,$U$6:$U$66),0),1),"")</f>
        <v/>
      </c>
      <c r="X22" s="277" t="str">
        <f>IF(AND('1.4 Analyse &amp; Synthese'!T23=1,'1.4 Analyse &amp; Synthese'!F23="Empfehlung"),'1.4 Analyse &amp; Synthese'!I23&amp;CHAR(13)&amp;"("&amp;'(Codierung)'!$C$2&amp;" - "&amp;'1.4 Analyse &amp; Synthese'!C23&amp;")","")</f>
        <v/>
      </c>
      <c r="Y22" s="277" t="str">
        <f t="array" ref="Y22">_xlfn.IFNA(INDEX($X$6:$X$66,MATCH(0,COUNTIF($Y$4:Y21,$X$6:$X$66),0),1),"")</f>
        <v/>
      </c>
      <c r="Z22" s="277" t="str">
        <f>IF(AND('1.4 Analyse &amp; Synthese'!T23=1,'1.4 Analyse &amp; Synthese'!F23="Methode"),'1.4 Analyse &amp; Synthese'!I23&amp;CHAR(13)&amp;"("&amp;'(Codierung)'!$C$3&amp;" - "&amp;'1.4 Analyse &amp; Synthese'!C23&amp;")","")</f>
        <v/>
      </c>
      <c r="AA22" s="277" t="str">
        <f t="array" ref="AA22">_xlfn.IFNA(INDEX($Z$6:$Z$66,MATCH(0,COUNTIF($AA$4:AA21,$Z$6:$Z$66),0),1),"")</f>
        <v/>
      </c>
      <c r="AB22" s="277" t="str">
        <f>IF(AND('1.4 Analyse &amp; Synthese'!T23=1,'1.4 Analyse &amp; Synthese'!F23="Werkzeug"),'1.4 Analyse &amp; Synthese'!I23&amp;CHAR(13)&amp;"("&amp;'(Codierung)'!$C$4&amp;" - "&amp;'1.4 Analyse &amp; Synthese'!C23&amp;")","")</f>
        <v/>
      </c>
      <c r="AC22" s="277" t="str">
        <f t="array" ref="AC22">_xlfn.IFNA(INDEX($AB$6:$AB$66,MATCH(0,COUNTIF($AC$4:AC21,$AB$6:$AB$66),0),1),"")</f>
        <v/>
      </c>
      <c r="AE22" s="277" t="str">
        <f>IF(AND('1.4 Analyse &amp; Synthese'!U23=1,'1.4 Analyse &amp; Synthese'!F23="Empfehlung"),'1.4 Analyse &amp; Synthese'!I23&amp;CHAR(13)&amp;"("&amp;'(Codierung)'!$C$2&amp;" - "&amp;'1.4 Analyse &amp; Synthese'!C23&amp;")","")</f>
        <v/>
      </c>
      <c r="AF22" s="277" t="str">
        <f t="array" ref="AF22">_xlfn.IFNA(INDEX($AE$6:$AE$66,MATCH(0,COUNTIF($AF$4:AF21,$AE$6:$AE$66),0),1),"")</f>
        <v/>
      </c>
      <c r="AG22" s="277" t="str">
        <f>IF(AND('1.4 Analyse &amp; Synthese'!U23=1,'1.4 Analyse &amp; Synthese'!F23="Methode"),'1.4 Analyse &amp; Synthese'!I23&amp;CHAR(13)&amp;"("&amp;'(Codierung)'!$C$3&amp;" - "&amp;'1.4 Analyse &amp; Synthese'!C23&amp;")","")</f>
        <v/>
      </c>
      <c r="AH22" s="277" t="str">
        <f t="array" ref="AH22">_xlfn.IFNA(INDEX($AG$6:$AG$66,MATCH(0,COUNTIF($AH$4:AH21,$AG$6:$AG$66),0),1),"")</f>
        <v/>
      </c>
      <c r="AI22" s="277" t="str">
        <f>IF(AND('1.4 Analyse &amp; Synthese'!U23=1,'1.4 Analyse &amp; Synthese'!F23="Werkzeug"),'1.4 Analyse &amp; Synthese'!I23&amp;CHAR(13)&amp;"("&amp;'(Codierung)'!$C$4&amp;" - "&amp;'1.4 Analyse &amp; Synthese'!C23&amp;")","")</f>
        <v/>
      </c>
      <c r="AJ22" s="277" t="str">
        <f t="array" ref="AJ22">_xlfn.IFNA(INDEX($AI$6:$AI$66,MATCH(0,COUNTIF($AJ$4:AJ21,$AI$6:$AI$66),0),1),"")</f>
        <v/>
      </c>
      <c r="AL22" s="277" t="str">
        <f>IF(AND('1.4 Analyse &amp; Synthese'!V23=1,'1.4 Analyse &amp; Synthese'!F23="Empfehlung"),'1.4 Analyse &amp; Synthese'!I23&amp;CHAR(13)&amp;"("&amp;'(Codierung)'!$C$2&amp;" - "&amp;'1.4 Analyse &amp; Synthese'!C23&amp;")","")</f>
        <v>Cloud Service Komposition_x000D_(Empfehlung - Gonidis )</v>
      </c>
      <c r="AM22" s="277" t="str">
        <f t="array" ref="AM22">_xlfn.IFNA(INDEX($AL$6:$AL$66,MATCH(0,COUNTIF($AM$4:AM21,$AL$6:$AL$66),0),1),"")</f>
        <v/>
      </c>
      <c r="AN22" s="277" t="str">
        <f>IF(AND('1.4 Analyse &amp; Synthese'!V23=1,'1.4 Analyse &amp; Synthese'!F23="Methode"),'1.4 Analyse &amp; Synthese'!I23&amp;CHAR(13)&amp;"("&amp;'(Codierung)'!$C$3&amp;" - "&amp;'1.4 Analyse &amp; Synthese'!C23&amp;")","")</f>
        <v/>
      </c>
      <c r="AO22" s="277" t="str">
        <f t="array" ref="AO22">_xlfn.IFNA(INDEX($AN$6:$AN$66,MATCH(0,COUNTIF($AO$4:AO21,$AN$6:$AN$66),0),1),"")</f>
        <v/>
      </c>
      <c r="AP22" s="277" t="str">
        <f>IF(AND('1.4 Analyse &amp; Synthese'!V23=1,'1.4 Analyse &amp; Synthese'!F23="Werkzeug"),'1.4 Analyse &amp; Synthese'!I23&amp;CHAR(13)&amp;"("&amp;'(Codierung)'!$C$4&amp;" - "&amp;'1.4 Analyse &amp; Synthese'!C23&amp;")","")</f>
        <v/>
      </c>
      <c r="AQ22" s="277" t="str">
        <f t="array" ref="AQ22">_xlfn.IFNA(INDEX($AP$6:$AP$66,MATCH(0,COUNTIF($AQ$4:AQ21,$AP$6:$AP$66),0),1),"")</f>
        <v/>
      </c>
      <c r="AS22" s="277" t="str">
        <f>IF(AND('1.4 Analyse &amp; Synthese'!W23=1,'1.4 Analyse &amp; Synthese'!F23="Empfehlung"),'1.4 Analyse &amp; Synthese'!I23&amp;CHAR(13)&amp;"("&amp;'(Codierung)'!$C$2&amp;" - "&amp;'1.4 Analyse &amp; Synthese'!C23&amp;")","")</f>
        <v>Cloud Service Komposition_x000D_(Empfehlung - Gonidis )</v>
      </c>
      <c r="AT22" s="277" t="str">
        <f t="array" ref="AT22">_xlfn.IFNA(INDEX($AS$6:$AS$66,MATCH(0,COUNTIF($AT$4:AT21,$AS$6:$AS$66),0),1),"")</f>
        <v/>
      </c>
      <c r="AU22" s="277" t="str">
        <f>IF(AND('1.4 Analyse &amp; Synthese'!W23=1,'1.4 Analyse &amp; Synthese'!F23="Methode"),'1.4 Analyse &amp; Synthese'!I23&amp;CHAR(13)&amp;"("&amp;'(Codierung)'!$C$3&amp;" - "&amp;'1.4 Analyse &amp; Synthese'!C23&amp;")","")</f>
        <v/>
      </c>
      <c r="AV22" s="277" t="str">
        <f t="array" ref="AV22">_xlfn.IFNA(INDEX($AU$6:$AU$66,MATCH(0,COUNTIF($AV$4:AV21,$AU$6:$AU$66),0),1),"")</f>
        <v/>
      </c>
      <c r="AW22" s="277" t="str">
        <f>IF(AND('1.4 Analyse &amp; Synthese'!W23=1,'1.4 Analyse &amp; Synthese'!F23="Werkzeug"),'1.4 Analyse &amp; Synthese'!I23&amp;CHAR(13)&amp;"("&amp;'(Codierung)'!$C$4&amp;" - "&amp;'1.4 Analyse &amp; Synthese'!C23&amp;")","")</f>
        <v/>
      </c>
      <c r="AX22" s="277" t="str">
        <f t="array" ref="AX22">_xlfn.IFNA(INDEX($AW$6:$AW$66,MATCH(0,COUNTIF($AX$4:AX21,$AW$6:$AW$66),0),1),"")</f>
        <v/>
      </c>
      <c r="AZ22" s="277" t="str">
        <f>IF(AND('1.4 Analyse &amp; Synthese'!X23=1,'1.4 Analyse &amp; Synthese'!F23="Empfehlung"),'1.4 Analyse &amp; Synthese'!I23&amp;CHAR(13)&amp;"("&amp;'(Codierung)'!$C$2&amp;" - "&amp;'1.4 Analyse &amp; Synthese'!C23&amp;")","")</f>
        <v/>
      </c>
      <c r="BA22" s="277" t="str">
        <f t="array" ref="BA22">_xlfn.IFNA(INDEX($AZ$6:$AZ$66,MATCH(0,COUNTIF($BA$4:BA21,$AZ$6:$AZ$66),0),1),"")</f>
        <v/>
      </c>
      <c r="BB22" s="277" t="str">
        <f>IF(AND('1.4 Analyse &amp; Synthese'!X23=1,'1.4 Analyse &amp; Synthese'!F23="Methode"),'1.4 Analyse &amp; Synthese'!I23&amp;CHAR(13)&amp;"("&amp;'(Codierung)'!$C$3&amp;" - "&amp;'1.4 Analyse &amp; Synthese'!C23&amp;")","")</f>
        <v/>
      </c>
      <c r="BC22" s="277" t="str">
        <f t="array" ref="BC22">_xlfn.IFNA(INDEX($BB$6:$BB$66,MATCH(0,COUNTIF($BC$4:BC21,$BB$6:$BB$66),0),1),"")</f>
        <v/>
      </c>
      <c r="BD22" s="277" t="str">
        <f>IF(AND('1.4 Analyse &amp; Synthese'!X23=1,'1.4 Analyse &amp; Synthese'!F23="Werkzeug"),'1.4 Analyse &amp; Synthese'!I23&amp;CHAR(13)&amp;"("&amp;'(Codierung)'!$C$4&amp;" - "&amp;'1.4 Analyse &amp; Synthese'!C23&amp;")","")</f>
        <v/>
      </c>
      <c r="BE22" s="277" t="str">
        <f t="array" ref="BE22">_xlfn.IFNA(INDEX($BD$6:$BD$66,MATCH(0,COUNTIF($BE$4:BE21,$BD$6:$BD$66),0),1),"")</f>
        <v/>
      </c>
      <c r="BG22" s="277" t="str">
        <f>IF(AND('1.4 Analyse &amp; Synthese'!Y23=1,'1.4 Analyse &amp; Synthese'!F23="Empfehlung"),'1.4 Analyse &amp; Synthese'!I23&amp;CHAR(13)&amp;"("&amp;'(Codierung)'!$C$2&amp;" - "&amp;'1.4 Analyse &amp; Synthese'!C23&amp;")","")</f>
        <v/>
      </c>
      <c r="BH22" s="277" t="str">
        <f t="array" ref="BH22">_xlfn.IFNA(INDEX($BG$6:$BG$66,MATCH(0,COUNTIF($BH$4:BH21,$BG$6:$BG$66),0),1),"")</f>
        <v/>
      </c>
      <c r="BI22" s="277" t="str">
        <f>IF(AND('1.4 Analyse &amp; Synthese'!Y23=1,'1.4 Analyse &amp; Synthese'!F23="Methode"),'1.4 Analyse &amp; Synthese'!I23&amp;CHAR(13)&amp;"("&amp;'(Codierung)'!$C$3&amp;" - "&amp;'1.4 Analyse &amp; Synthese'!C23&amp;")","")</f>
        <v/>
      </c>
      <c r="BJ22" s="277" t="str">
        <f t="array" ref="BJ22">_xlfn.IFNA(INDEX($BI$6:$BI$66,MATCH(0,COUNTIF($BJ$4:BJ21,$BI$6:$BI$66),0),1),"")</f>
        <v/>
      </c>
      <c r="BK22" s="277" t="str">
        <f>IF(AND('1.4 Analyse &amp; Synthese'!Y23=1,'1.4 Analyse &amp; Synthese'!F23="Werkzeug"),'1.4 Analyse &amp; Synthese'!I23&amp;CHAR(13)&amp;"("&amp;'(Codierung)'!$C$4&amp;" - "&amp;'1.4 Analyse &amp; Synthese'!C23&amp;")","")</f>
        <v/>
      </c>
      <c r="BL22" s="277" t="str">
        <f t="array" ref="BL22">_xlfn.IFNA(INDEX($BK$6:$BK$66,MATCH(0,COUNTIF($BL$4:BL21,$BK$6:$BK$66),0),1),"")</f>
        <v/>
      </c>
      <c r="BN22" s="277" t="str">
        <f>IF(AND('1.4 Analyse &amp; Synthese'!Z23=1,'1.4 Analyse &amp; Synthese'!F23="Empfehlung"),'1.4 Analyse &amp; Synthese'!I23&amp;CHAR(13)&amp;"("&amp;'(Codierung)'!$C$2&amp;" - "&amp;'1.4 Analyse &amp; Synthese'!C23&amp;")","")</f>
        <v/>
      </c>
      <c r="BO22" s="277" t="str">
        <f t="array" ref="BO22">_xlfn.IFNA(INDEX($BN$6:$BN$66,MATCH(0,COUNTIF($BO$4:BO21,$BN$6:$BN$66),0),1),"")</f>
        <v/>
      </c>
      <c r="BP22" s="277" t="str">
        <f>IF(AND('1.4 Analyse &amp; Synthese'!Z23=1,'1.4 Analyse &amp; Synthese'!F23="Methode"),'1.4 Analyse &amp; Synthese'!I23&amp;CHAR(13)&amp;"("&amp;'(Codierung)'!$C$3&amp;" - "&amp;'1.4 Analyse &amp; Synthese'!C23&amp;")","")</f>
        <v/>
      </c>
      <c r="BQ22" s="277" t="str">
        <f t="array" ref="BQ22">_xlfn.IFNA(INDEX($BP$6:$BP$66,MATCH(0,COUNTIF($BQ$4:BQ21,$BP$6:$BP$66),0),1),"")</f>
        <v/>
      </c>
      <c r="BR22" s="277" t="str">
        <f>IF(AND('1.4 Analyse &amp; Synthese'!Z23=1,'1.4 Analyse &amp; Synthese'!F23="Werkzeug"),'1.4 Analyse &amp; Synthese'!I23&amp;CHAR(13)&amp;"("&amp;'(Codierung)'!$C$4&amp;" - "&amp;'1.4 Analyse &amp; Synthese'!C23&amp;")","")</f>
        <v/>
      </c>
      <c r="BS22" s="277" t="str">
        <f t="array" ref="BS22">_xlfn.IFNA(INDEX($BR$6:$BR$66,MATCH(0,COUNTIF($BS$4:BS21,$BR$6:$BR$66),0),1),"")</f>
        <v/>
      </c>
      <c r="BU22" s="277" t="str">
        <f>IF(AND('1.4 Analyse &amp; Synthese'!AA23=1,'1.4 Analyse &amp; Synthese'!F23="Empfehlung"),'1.4 Analyse &amp; Synthese'!I23&amp;CHAR(13)&amp;"("&amp;'(Codierung)'!$C$2&amp;" - "&amp;'1.4 Analyse &amp; Synthese'!C23&amp;")","")</f>
        <v/>
      </c>
      <c r="BV22" s="277" t="str">
        <f t="array" ref="BV22">_xlfn.IFNA(INDEX($BU$6:$BU$66,MATCH(0,COUNTIF($BV$4:BV21,$BU$6:$BU$66),0),1),"")</f>
        <v/>
      </c>
      <c r="BW22" s="277" t="str">
        <f>IF(AND('1.4 Analyse &amp; Synthese'!AA23=1,'1.4 Analyse &amp; Synthese'!F23="Methode"),'1.4 Analyse &amp; Synthese'!I23&amp;CHAR(13)&amp;"("&amp;'(Codierung)'!$C$3&amp;" - "&amp;'1.4 Analyse &amp; Synthese'!C23&amp;")","")</f>
        <v/>
      </c>
      <c r="BX22" s="277" t="str">
        <f t="array" ref="BX22">_xlfn.IFNA(INDEX($BW$6:$BW$66,MATCH(0,COUNTIF($BX$4:BX21,$BW$6:$BW$66),0),1),"")</f>
        <v/>
      </c>
      <c r="BY22" s="277" t="str">
        <f>IF(AND('1.4 Analyse &amp; Synthese'!AA23=1,'1.4 Analyse &amp; Synthese'!F23="Werkzeug"),'1.4 Analyse &amp; Synthese'!I23&amp;CHAR(13)&amp;"("&amp;'(Codierung)'!$C$4&amp;" - "&amp;'1.4 Analyse &amp; Synthese'!C23&amp;")","")</f>
        <v/>
      </c>
      <c r="BZ22" s="277" t="str">
        <f t="array" ref="BZ22">_xlfn.IFNA(INDEX($BY$6:$BY$66,MATCH(0,COUNTIF($BZ$4:BZ21,$BY$6:$BY$66),0),1),"")</f>
        <v/>
      </c>
      <c r="CB22" s="277" t="str">
        <f>IF(AND('1.4 Analyse &amp; Synthese'!AB23=1,'1.4 Analyse &amp; Synthese'!F23="Empfehlung"),'1.4 Analyse &amp; Synthese'!I23&amp;CHAR(13)&amp;"("&amp;'(Codierung)'!$C$2&amp;" - "&amp;'1.4 Analyse &amp; Synthese'!C23&amp;")","")</f>
        <v/>
      </c>
      <c r="CC22" s="277" t="str">
        <f t="array" ref="CC22">_xlfn.IFNA(INDEX($CB$6:$CB$66,MATCH(0,COUNTIF($CC$4:CC21,$CB$6:$CB$66),0),1),"")</f>
        <v/>
      </c>
      <c r="CD22" s="277" t="str">
        <f>IF(AND('1.4 Analyse &amp; Synthese'!AB23=1,'1.4 Analyse &amp; Synthese'!F23="Methode"),'1.4 Analyse &amp; Synthese'!I23&amp;CHAR(13)&amp;"("&amp;'(Codierung)'!$C$3&amp;" - "&amp;'1.4 Analyse &amp; Synthese'!C23&amp;")","")</f>
        <v/>
      </c>
      <c r="CE22" s="277" t="str">
        <f t="array" ref="CE22">_xlfn.IFNA(INDEX($CD$6:$CD$66,MATCH(0,COUNTIF($CE$4:CE21,$CD$6:$CD$66),0),1),"")</f>
        <v/>
      </c>
      <c r="CF22" s="277" t="str">
        <f>IF(AND('1.4 Analyse &amp; Synthese'!AB23=1,'1.4 Analyse &amp; Synthese'!F23="Werkzeug"),'1.4 Analyse &amp; Synthese'!I23&amp;CHAR(13)&amp;"("&amp;'(Codierung)'!$C$4&amp;" - "&amp;'1.4 Analyse &amp; Synthese'!C23&amp;")","")</f>
        <v/>
      </c>
      <c r="CG22" s="277" t="str">
        <f t="array" ref="CG22">_xlfn.IFNA(INDEX($CF$6:$CF$66,MATCH(0,COUNTIF($CG$4:CG21,$CF$6:$CF$66),0),1),"")</f>
        <v/>
      </c>
      <c r="CI22" s="277" t="str">
        <f>IF(AND('1.4 Analyse &amp; Synthese'!AC23=1,'1.4 Analyse &amp; Synthese'!F23="Empfehlung"),'1.4 Analyse &amp; Synthese'!I23&amp;CHAR(13)&amp;"("&amp;'(Codierung)'!$C$2&amp;" - "&amp;'1.4 Analyse &amp; Synthese'!C23&amp;")","")</f>
        <v/>
      </c>
      <c r="CJ22" s="277" t="str">
        <f t="array" ref="CJ22">_xlfn.IFNA(INDEX($CI$6:$CI$66,MATCH(0,COUNTIF($CJ$4:CJ21,$CI$6:$CI$66),0),1),"")</f>
        <v/>
      </c>
      <c r="CK22" s="277" t="str">
        <f>IF(AND('1.4 Analyse &amp; Synthese'!AC23=1,'1.4 Analyse &amp; Synthese'!F23="Methode"),'1.4 Analyse &amp; Synthese'!I23&amp;CHAR(13)&amp;"("&amp;'(Codierung)'!$C$3&amp;" - "&amp;'1.4 Analyse &amp; Synthese'!C23&amp;")","")</f>
        <v/>
      </c>
      <c r="CL22" s="277" t="str">
        <f t="array" ref="CL22">_xlfn.IFNA(INDEX($CK$6:$CK$66,MATCH(0,COUNTIF($CL$4:CL21,$CK$6:$CK$66),0),1),"")</f>
        <v/>
      </c>
      <c r="CM22" s="277" t="str">
        <f>IF(AND('1.4 Analyse &amp; Synthese'!AC23=1,'1.4 Analyse &amp; Synthese'!F23="Werkzeug"),'1.4 Analyse &amp; Synthese'!I23&amp;CHAR(13)&amp;"("&amp;'(Codierung)'!$C$4&amp;" - "&amp;'1.4 Analyse &amp; Synthese'!C23&amp;")","")</f>
        <v/>
      </c>
      <c r="CN22" s="277" t="str">
        <f t="array" ref="CN22">_xlfn.IFNA(INDEX($CM$6:$CM$66,MATCH(0,COUNTIF($CN$4:CN21,$CM$6:$CM$66),0),1),"")</f>
        <v/>
      </c>
      <c r="CP22" s="277" t="str">
        <f>IF(AND('1.4 Analyse &amp; Synthese'!AD23=1,'1.4 Analyse &amp; Synthese'!F23="Empfehlung"),'1.4 Analyse &amp; Synthese'!I23&amp;CHAR(13)&amp;"("&amp;'(Codierung)'!$C$2&amp;" - "&amp;'1.4 Analyse &amp; Synthese'!C23&amp;")","")</f>
        <v/>
      </c>
      <c r="CQ22" s="277" t="str">
        <f t="array" ref="CQ22">_xlfn.IFNA(INDEX($CP$6:$CP$66,MATCH(0,COUNTIF($CQ$4:CQ21,$CP$6:$CP$66),0),1),"")</f>
        <v/>
      </c>
      <c r="CR22" s="277" t="str">
        <f>IF(AND('1.4 Analyse &amp; Synthese'!AD23=1,'1.4 Analyse &amp; Synthese'!F23="Methode"),'1.4 Analyse &amp; Synthese'!I23&amp;CHAR(13)&amp;"("&amp;'(Codierung)'!$C$3&amp;" - "&amp;'1.4 Analyse &amp; Synthese'!C23&amp;")","")</f>
        <v/>
      </c>
      <c r="CS22" s="277" t="str">
        <f t="array" ref="CS22">_xlfn.IFNA(INDEX($CR$6:$CR$66,MATCH(0,COUNTIF($CS$4:CS21,$CR$6:$CR$66),0),1),"")</f>
        <v/>
      </c>
      <c r="CT22" s="277" t="str">
        <f>IF(AND('1.4 Analyse &amp; Synthese'!AD23=1,'1.4 Analyse &amp; Synthese'!F23="Werkzeug"),'1.4 Analyse &amp; Synthese'!I23&amp;CHAR(13)&amp;"("&amp;'(Codierung)'!$C$4&amp;" - "&amp;'1.4 Analyse &amp; Synthese'!C23&amp;")","")</f>
        <v/>
      </c>
      <c r="CU22" s="277" t="str">
        <f t="array" ref="CU22">_xlfn.IFNA(INDEX($CT$6:$CT$66,MATCH(0,COUNTIF($CU$4:CU21,$CT$6:$CT$66),0),1),"")</f>
        <v/>
      </c>
      <c r="CW22" s="277" t="str">
        <f>IF(AND('1.4 Analyse &amp; Synthese'!AE23=1,'1.4 Analyse &amp; Synthese'!F23="Empfehlung"),'1.4 Analyse &amp; Synthese'!I23&amp;CHAR(13)&amp;"("&amp;'(Codierung)'!$C$2&amp;" - "&amp;'1.4 Analyse &amp; Synthese'!C23&amp;")","")</f>
        <v>Cloud Service Komposition_x000D_(Empfehlung - Gonidis )</v>
      </c>
      <c r="CX22" s="277" t="str">
        <f t="array" ref="CX22">_xlfn.IFNA(INDEX($CW$6:$CW$66,MATCH(0,COUNTIF($CX$4:CX21,$CW$6:$CW$66),0),1),"")</f>
        <v/>
      </c>
      <c r="CY22" s="277" t="str">
        <f>IF(AND('1.4 Analyse &amp; Synthese'!AE23=1,'1.4 Analyse &amp; Synthese'!F23="Methode"),'1.4 Analyse &amp; Synthese'!I23&amp;CHAR(13)&amp;"("&amp;'(Codierung)'!$C$3&amp;" - "&amp;'1.4 Analyse &amp; Synthese'!C23&amp;")","")</f>
        <v/>
      </c>
      <c r="CZ22" s="277" t="str">
        <f t="array" ref="CZ22">_xlfn.IFNA(INDEX($CY$6:$CY$66,MATCH(0,COUNTIF($CZ$4:CZ21,$CY$6:$CY$66),0),1),"")</f>
        <v/>
      </c>
      <c r="DA22" s="277" t="str">
        <f>IF(AND('1.4 Analyse &amp; Synthese'!AE23=1,'1.4 Analyse &amp; Synthese'!F23="Werkzeug"),'1.4 Analyse &amp; Synthese'!I23&amp;CHAR(13)&amp;"("&amp;'(Codierung)'!$C$4&amp;" - "&amp;'1.4 Analyse &amp; Synthese'!C23&amp;")","")</f>
        <v/>
      </c>
      <c r="DB22" s="277" t="str">
        <f t="array" ref="DB22">_xlfn.IFNA(INDEX($DA$6:$DA$66,MATCH(0,COUNTIF($DB$4:DB21,$DA$6:$DA$66),0),1),"")</f>
        <v/>
      </c>
      <c r="DD22" s="277" t="str">
        <f>IF(AND('1.4 Analyse &amp; Synthese'!AF23=1,'1.4 Analyse &amp; Synthese'!F23="Empfehlung"),'1.4 Analyse &amp; Synthese'!I23&amp;CHAR(13)&amp;"("&amp;'(Codierung)'!$C$2&amp;" - "&amp;'1.4 Analyse &amp; Synthese'!C23&amp;")","")</f>
        <v>Cloud Service Komposition_x000D_(Empfehlung - Gonidis )</v>
      </c>
      <c r="DE22" s="277" t="str">
        <f t="array" ref="DE22">_xlfn.IFNA(INDEX($DD$6:$DD$66,MATCH(0,COUNTIF($DE$4:DE21,$DD$6:$DD$66),0),1),"")</f>
        <v/>
      </c>
      <c r="DF22" s="277" t="str">
        <f>IF(AND('1.4 Analyse &amp; Synthese'!AF23=1,'1.4 Analyse &amp; Synthese'!F23="Methode"),'1.4 Analyse &amp; Synthese'!I23&amp;CHAR(13)&amp;"("&amp;'(Codierung)'!$C$3&amp;" - "&amp;'1.4 Analyse &amp; Synthese'!C23&amp;")","")</f>
        <v/>
      </c>
      <c r="DG22" s="277" t="str">
        <f t="array" ref="DG22">_xlfn.IFNA(INDEX($DF$6:$DF$66,MATCH(0,COUNTIF($DG$4:DG21,$DF$6:$DF$66),0),1),"")</f>
        <v/>
      </c>
      <c r="DH22" s="277" t="str">
        <f>IF(AND('1.4 Analyse &amp; Synthese'!AF23=1,'1.4 Analyse &amp; Synthese'!F23="Werkzeug"),'1.4 Analyse &amp; Synthese'!I23&amp;CHAR(13)&amp;"("&amp;'(Codierung)'!$C$4&amp;" - "&amp;'1.4 Analyse &amp; Synthese'!C23&amp;")","")</f>
        <v/>
      </c>
      <c r="DI22" s="277" t="str">
        <f t="array" ref="DI22">_xlfn.IFNA(INDEX($DH$6:$DH$66,MATCH(0,COUNTIF($DI$4:DI21,$DH$6:$DH$66),0),1),"")</f>
        <v/>
      </c>
      <c r="DK22" s="277" t="str">
        <f>IF(AND('1.4 Analyse &amp; Synthese'!AG23=1,'1.4 Analyse &amp; Synthese'!F23="Empfehlung"),'1.4 Analyse &amp; Synthese'!I23&amp;CHAR(13)&amp;"("&amp;'(Codierung)'!$C$2&amp;" - "&amp;'1.4 Analyse &amp; Synthese'!C23&amp;")","")</f>
        <v>Cloud Service Komposition_x000D_(Empfehlung - Gonidis )</v>
      </c>
      <c r="DL22" s="277" t="str">
        <f t="array" ref="DL22">_xlfn.IFNA(INDEX($DK$6:$DK$66,MATCH(0,COUNTIF($DL$4:DL21,$DK$6:$DK$66),0),1),"")</f>
        <v/>
      </c>
      <c r="DM22" s="277" t="str">
        <f>IF(AND('1.4 Analyse &amp; Synthese'!AG23=1,'1.4 Analyse &amp; Synthese'!F23="Methode"),'1.4 Analyse &amp; Synthese'!I23&amp;CHAR(13)&amp;"("&amp;'(Codierung)'!$C$3&amp;" - "&amp;'1.4 Analyse &amp; Synthese'!C23&amp;")","")</f>
        <v/>
      </c>
      <c r="DN22" s="277" t="str">
        <f t="array" ref="DN22">_xlfn.IFNA(INDEX($DM$6:$DM$66,MATCH(0,COUNTIF($DN$4:DN21,$DM$6:$DM$66),0),1),"")</f>
        <v/>
      </c>
      <c r="DO22" s="277" t="str">
        <f>IF(AND('1.4 Analyse &amp; Synthese'!AG23=1,'1.4 Analyse &amp; Synthese'!F23="Werkzeug"),'1.4 Analyse &amp; Synthese'!I23&amp;CHAR(13)&amp;"("&amp;'(Codierung)'!$C$4&amp;" - "&amp;'1.4 Analyse &amp; Synthese'!C23&amp;")","")</f>
        <v/>
      </c>
      <c r="DP22" s="277" t="str">
        <f t="array" ref="DP22">_xlfn.IFNA(INDEX($DO$6:$DO$66,MATCH(0,COUNTIF($DP$4:DP21,$DO$6:$DO$66),0),1),"")</f>
        <v/>
      </c>
      <c r="DR22" s="277" t="str">
        <f>IF(AND('1.4 Analyse &amp; Synthese'!AH23=1,'1.4 Analyse &amp; Synthese'!F23="Empfehlung"),'1.4 Analyse &amp; Synthese'!I23&amp;CHAR(13)&amp;"("&amp;'(Codierung)'!$C$2&amp;" - "&amp;'1.4 Analyse &amp; Synthese'!C23&amp;")","")</f>
        <v/>
      </c>
      <c r="DS22" s="277" t="str">
        <f t="array" ref="DS22">_xlfn.IFNA(INDEX($DR$6:$DR$66,MATCH(0,COUNTIF($DS$4:DS21,$DR$6:$DR$66),0),1),"")</f>
        <v/>
      </c>
      <c r="DT22" s="277" t="str">
        <f>IF(AND('1.4 Analyse &amp; Synthese'!AH23=1,'1.4 Analyse &amp; Synthese'!F23="Methode"),'1.4 Analyse &amp; Synthese'!I23&amp;CHAR(13)&amp;"("&amp;'(Codierung)'!$C$3&amp;" - "&amp;'1.4 Analyse &amp; Synthese'!C23&amp;")","")</f>
        <v/>
      </c>
      <c r="DU22" s="277" t="str">
        <f t="array" ref="DU22">_xlfn.IFNA(INDEX($DT$6:$DT$66,MATCH(0,COUNTIF($DU$4:DU21,$DT$6:$DT$66),0),1),"")</f>
        <v/>
      </c>
      <c r="DV22" s="277" t="str">
        <f>IF(AND('1.4 Analyse &amp; Synthese'!AH23=1,'1.4 Analyse &amp; Synthese'!F23="Werkzeug"),'1.4 Analyse &amp; Synthese'!I23&amp;CHAR(13)&amp;"("&amp;'(Codierung)'!$C$4&amp;" - "&amp;'1.4 Analyse &amp; Synthese'!C23&amp;")","")</f>
        <v/>
      </c>
      <c r="DW22" s="277" t="str">
        <f t="array" ref="DW22">_xlfn.IFNA(INDEX($DV$6:$DV$66,MATCH(0,COUNTIF($DW$4:DW21,$DV$6:$DV$66),0),1),"")</f>
        <v/>
      </c>
      <c r="DY22" s="277" t="str">
        <f>IF(AND('1.4 Analyse &amp; Synthese'!AI23=1,'1.4 Analyse &amp; Synthese'!F23="Empfehlung"),'1.4 Analyse &amp; Synthese'!I23&amp;CHAR(13)&amp;"("&amp;'(Codierung)'!$C$2&amp;" - "&amp;'1.4 Analyse &amp; Synthese'!C23&amp;")","")</f>
        <v>Cloud Service Komposition_x000D_(Empfehlung - Gonidis )</v>
      </c>
      <c r="DZ22" s="277" t="str">
        <f t="array" ref="DZ22">_xlfn.IFNA(INDEX($DY$6:$DY$66,MATCH(0,COUNTIF($DZ$4:DZ21,$DY$6:$DY$66),0),1),"")</f>
        <v/>
      </c>
      <c r="EA22" s="277" t="str">
        <f>IF(AND('1.4 Analyse &amp; Synthese'!AI23=1,'1.4 Analyse &amp; Synthese'!F23="Methode"),'1.4 Analyse &amp; Synthese'!I23&amp;CHAR(13)&amp;"("&amp;'(Codierung)'!$C$3&amp;" - "&amp;'1.4 Analyse &amp; Synthese'!C23&amp;")","")</f>
        <v/>
      </c>
      <c r="EB22" s="277" t="str">
        <f t="array" ref="EB22">_xlfn.IFNA(INDEX($EA$6:$EA$66,MATCH(0,COUNTIF($EB$4:EB21,$EA$6:$EA$66),0),1),"")</f>
        <v/>
      </c>
      <c r="EC22" s="277" t="str">
        <f>IF(AND('1.4 Analyse &amp; Synthese'!AI23=1,'1.4 Analyse &amp; Synthese'!F23="Werkzeug"),'1.4 Analyse &amp; Synthese'!I23&amp;CHAR(13)&amp;"("&amp;'(Codierung)'!$C$4&amp;" - "&amp;'1.4 Analyse &amp; Synthese'!C23&amp;")","")</f>
        <v/>
      </c>
      <c r="ED22" s="277" t="str">
        <f t="array" ref="ED22">_xlfn.IFNA(INDEX($EC$6:$EC$66,MATCH(0,COUNTIF($ED$4:ED21,$EC$6:$EC$66),0),1),"")</f>
        <v/>
      </c>
      <c r="EF22" s="277" t="str">
        <f>IF(AND('1.4 Analyse &amp; Synthese'!AJ23=1,'1.4 Analyse &amp; Synthese'!F23="Empfehlung"),'1.4 Analyse &amp; Synthese'!I23&amp;CHAR(13)&amp;"("&amp;'(Codierung)'!$C$2&amp;" - "&amp;'1.4 Analyse &amp; Synthese'!C23&amp;")","")</f>
        <v/>
      </c>
      <c r="EG22" s="277" t="str">
        <f t="array" ref="EG22">_xlfn.IFNA(INDEX($EF$6:$EF$66,MATCH(0,COUNTIF($EG$4:EG21,$EF$6:$EF$66),0),1),"")</f>
        <v/>
      </c>
      <c r="EH22" s="277" t="str">
        <f>IF(AND('1.4 Analyse &amp; Synthese'!AJ23=1,'1.4 Analyse &amp; Synthese'!F23="Methode"),'1.4 Analyse &amp; Synthese'!I23&amp;CHAR(13)&amp;"("&amp;'(Codierung)'!$C$3&amp;" - "&amp;'1.4 Analyse &amp; Synthese'!C23&amp;")","")</f>
        <v/>
      </c>
      <c r="EI22" s="277" t="str">
        <f t="array" ref="EI22">_xlfn.IFNA(INDEX($EH$6:$EH$66,MATCH(0,COUNTIF($EI$4:EI21,$EH$6:$EH$66),0),1),"")</f>
        <v/>
      </c>
      <c r="EJ22" s="277" t="str">
        <f>IF(AND('1.4 Analyse &amp; Synthese'!AJ23=1,'1.4 Analyse &amp; Synthese'!F23="Werkzeug"),'1.4 Analyse &amp; Synthese'!I23&amp;CHAR(13)&amp;"("&amp;'(Codierung)'!$C$4&amp;" - "&amp;'1.4 Analyse &amp; Synthese'!C23&amp;")","")</f>
        <v/>
      </c>
      <c r="EK22" s="277" t="str">
        <f t="array" ref="EK22">_xlfn.IFNA(INDEX($EJ$6:$EJ$66,MATCH(0,COUNTIF($EK$4:EK21,$EJ$6:$EJ$66),0),1),"")</f>
        <v/>
      </c>
      <c r="EN22" s="222" t="str">
        <f t="shared" si="0"/>
        <v/>
      </c>
      <c r="EO22" s="277" t="str">
        <f t="shared" si="1"/>
        <v/>
      </c>
      <c r="EP22" s="277" t="str">
        <f t="shared" si="2"/>
        <v/>
      </c>
      <c r="EQ22" s="277" t="str">
        <f>ZahlenInBereich(Tabelle1[[Empfehlung]:[Werkzeug]],ROW()-5)</f>
        <v/>
      </c>
      <c r="ER22" s="277" t="str">
        <f t="shared" si="3"/>
        <v/>
      </c>
      <c r="ES22" s="277" t="str">
        <f t="shared" si="4"/>
        <v/>
      </c>
      <c r="ET22" s="277" t="str">
        <f t="shared" si="5"/>
        <v/>
      </c>
      <c r="EU22" s="277" t="str">
        <f>ZahlenInBereich(Tabelle1[[Empfehlung2]:[Werkzeug4]],ROW()-5)</f>
        <v/>
      </c>
      <c r="EV22" s="277" t="str">
        <f t="shared" si="6"/>
        <v/>
      </c>
      <c r="EW22" s="277" t="str">
        <f t="shared" si="7"/>
        <v/>
      </c>
      <c r="EX22" s="277" t="str">
        <f t="shared" si="8"/>
        <v/>
      </c>
      <c r="EY22" s="277" t="str">
        <f>ZahlenInBereich(Tabelle1[[Empfehlung6]:[Werkzeug8]],ROW()-5)</f>
        <v>Cloud Service Komposition_x000D_(Werkzeug - Dastjerdi )</v>
      </c>
      <c r="EZ22" s="277" t="str">
        <f t="shared" si="9"/>
        <v/>
      </c>
      <c r="FA22" s="277" t="str">
        <f t="shared" si="10"/>
        <v/>
      </c>
      <c r="FB22" s="277" t="str">
        <f t="shared" si="11"/>
        <v/>
      </c>
      <c r="FC22" s="277" t="str">
        <f>ZahlenInBereich(Tabelle1[[Empfehlung10]:[Werkzeug12]],ROW()-5)</f>
        <v/>
      </c>
      <c r="FD22" s="277" t="str">
        <f t="shared" si="12"/>
        <v/>
      </c>
      <c r="FE22" s="277" t="str">
        <f t="shared" si="13"/>
        <v/>
      </c>
      <c r="FF22" s="277" t="str">
        <f t="shared" si="14"/>
        <v/>
      </c>
      <c r="FG22" s="277" t="str">
        <f>ZahlenInBereich(Tabelle1[[Empfehlung14]:[Werkzeug16]],ROW()-5)</f>
        <v/>
      </c>
      <c r="FH22" s="277" t="str">
        <f t="shared" si="15"/>
        <v/>
      </c>
      <c r="FI22" s="277" t="str">
        <f t="shared" si="16"/>
        <v/>
      </c>
      <c r="FJ22" s="277" t="str">
        <f t="shared" si="17"/>
        <v/>
      </c>
      <c r="FK22" s="277" t="str">
        <f>ZahlenInBereich(Tabelle1[[Empfehlung18]:[Werkzeug20]],ROW()-5)</f>
        <v/>
      </c>
      <c r="FL22" s="277" t="str">
        <f t="shared" si="18"/>
        <v/>
      </c>
      <c r="FM22" s="277" t="str">
        <f t="shared" si="19"/>
        <v/>
      </c>
      <c r="FN22" s="277" t="str">
        <f t="shared" si="20"/>
        <v/>
      </c>
      <c r="FO22" s="277" t="str">
        <f>ZahlenInBereich(Tabelle1[[Empfehlung22]:[Werkzeug24]],ROW()-5)</f>
        <v/>
      </c>
      <c r="FP22" s="277" t="str">
        <f t="shared" si="21"/>
        <v/>
      </c>
      <c r="FQ22" s="277" t="str">
        <f t="shared" si="22"/>
        <v/>
      </c>
      <c r="FR22" s="277" t="str">
        <f t="shared" si="23"/>
        <v/>
      </c>
      <c r="FS22" s="277" t="str">
        <f>ZahlenInBereich(Tabelle1[[Empfehlung26]:[Werkzeug28]],ROW()-5)</f>
        <v/>
      </c>
      <c r="FT22" s="277" t="str">
        <f t="shared" si="24"/>
        <v/>
      </c>
      <c r="FU22" s="277" t="str">
        <f t="shared" si="25"/>
        <v/>
      </c>
      <c r="FV22" s="277" t="str">
        <f t="shared" si="26"/>
        <v/>
      </c>
      <c r="FW22" s="277" t="str">
        <f>ZahlenInBereich(Tabelle1[[Empfehlung30]:[Werkzeug32]],ROW()-5)</f>
        <v/>
      </c>
      <c r="FX22" s="277" t="str">
        <f t="shared" si="27"/>
        <v/>
      </c>
      <c r="FY22" s="277" t="str">
        <f t="shared" si="28"/>
        <v/>
      </c>
      <c r="FZ22" s="277" t="str">
        <f t="shared" si="29"/>
        <v/>
      </c>
      <c r="GA22" s="277" t="str">
        <f>ZahlenInBereich(Tabelle1[[Empfehlung34]:[Werkzeug36]],ROW()-5)</f>
        <v/>
      </c>
      <c r="GB22" s="277" t="str">
        <f t="shared" si="30"/>
        <v/>
      </c>
      <c r="GC22" s="277" t="str">
        <f t="shared" si="31"/>
        <v/>
      </c>
      <c r="GD22" s="277" t="str">
        <f t="shared" si="32"/>
        <v/>
      </c>
      <c r="GE22" s="277" t="str">
        <f>ZahlenInBereich(Tabelle1[[Empfehlung38]:[Werkzeug40]],ROW()-5)</f>
        <v/>
      </c>
      <c r="GF22" s="277" t="str">
        <f t="shared" si="33"/>
        <v/>
      </c>
      <c r="GG22" s="277" t="str">
        <f t="shared" si="34"/>
        <v/>
      </c>
      <c r="GH22" s="277" t="str">
        <f t="shared" si="35"/>
        <v/>
      </c>
      <c r="GI22" s="277" t="str">
        <f>ZahlenInBereich(Tabelle1[[Empfehlung42]:[Werkzeug44]],ROW()-5)</f>
        <v/>
      </c>
      <c r="GJ22" s="277" t="str">
        <f t="shared" si="36"/>
        <v/>
      </c>
      <c r="GK22" s="277" t="str">
        <f t="shared" si="37"/>
        <v/>
      </c>
      <c r="GL22" s="277" t="str">
        <f t="shared" si="38"/>
        <v/>
      </c>
      <c r="GM22" s="277" t="str">
        <f>ZahlenInBereich(Tabelle1[[Empfehlung46]:[Werkzeug48]],ROW()-5)</f>
        <v/>
      </c>
      <c r="GN22" s="277" t="str">
        <f t="shared" si="39"/>
        <v/>
      </c>
      <c r="GO22" s="277" t="str">
        <f t="shared" si="40"/>
        <v/>
      </c>
      <c r="GP22" s="277" t="str">
        <f t="shared" si="41"/>
        <v/>
      </c>
      <c r="GQ22" s="277" t="str">
        <f>ZahlenInBereich(Tabelle1[[Empfehlung50]:[Werkzeug52]],ROW()-5)</f>
        <v/>
      </c>
      <c r="GR22" s="277" t="str">
        <f t="shared" si="42"/>
        <v/>
      </c>
      <c r="GS22" s="277" t="str">
        <f t="shared" si="43"/>
        <v/>
      </c>
      <c r="GT22" s="277" t="str">
        <f t="shared" si="44"/>
        <v/>
      </c>
      <c r="GU22" s="277" t="str">
        <f>ZahlenInBereich(Tabelle1[[Empfehlung54]:[Werkzeug56]],ROW()-5)</f>
        <v/>
      </c>
      <c r="GV22" s="277" t="str">
        <f t="shared" si="45"/>
        <v/>
      </c>
      <c r="GW22" s="277" t="str">
        <f t="shared" si="46"/>
        <v/>
      </c>
      <c r="GX22" s="277" t="str">
        <f t="shared" si="47"/>
        <v/>
      </c>
      <c r="GY22" s="277" t="str">
        <f>ZahlenInBereich(Tabelle1[[Empfehlung58]:[Werkzeug60]],ROW()-5)</f>
        <v/>
      </c>
      <c r="GZ22" s="277" t="str">
        <f t="shared" si="48"/>
        <v/>
      </c>
      <c r="HA22" s="277" t="str">
        <f t="shared" si="49"/>
        <v/>
      </c>
      <c r="HB22" s="277" t="str">
        <f t="shared" si="50"/>
        <v/>
      </c>
      <c r="HC22" s="277" t="str">
        <f>ZahlenInBereich(Tabelle1[[Empfehlung62]:[Werkzeug64]],ROW()-5)</f>
        <v>Open-Source Plattform_x000D_(Werkzeug - Paraiso)</v>
      </c>
      <c r="HD22" s="277" t="str">
        <f t="shared" si="51"/>
        <v/>
      </c>
      <c r="HE22" s="277" t="str">
        <f t="shared" si="52"/>
        <v/>
      </c>
      <c r="HF22" s="277" t="str">
        <f t="shared" si="53"/>
        <v/>
      </c>
      <c r="HG22" s="277" t="str">
        <f>ZahlenInBereich(Tabelle1[[Empfehlung66]:[Werkzeug68]],ROW()-5)</f>
        <v/>
      </c>
      <c r="HH22" s="277" t="str">
        <f t="shared" si="54"/>
        <v/>
      </c>
      <c r="HI22" s="277" t="str">
        <f t="shared" si="55"/>
        <v/>
      </c>
      <c r="HJ22" s="277" t="str">
        <f t="shared" si="56"/>
        <v/>
      </c>
      <c r="HK22" s="277" t="str">
        <f>ZahlenInBereich(Tabelle1[[Empfehlung70]:[Werkzeug72]],ROW()-5)</f>
        <v>Open-Source Plattform_x000D_(Werkzeug - Paraiso)</v>
      </c>
      <c r="HL22" s="277" t="str">
        <f t="shared" si="57"/>
        <v/>
      </c>
      <c r="HM22" s="277" t="str">
        <f t="shared" si="58"/>
        <v/>
      </c>
      <c r="HN22" s="277" t="str">
        <f t="shared" si="59"/>
        <v/>
      </c>
      <c r="HO22" s="277" t="str">
        <f>ZahlenInBereich(Tabelle1[[Empfehlung74]:[Werkzeug76]],ROW()-5)</f>
        <v/>
      </c>
    </row>
    <row r="23" spans="2:223" ht="32" x14ac:dyDescent="0.2">
      <c r="B23" s="134">
        <f>'1.4 Analyse &amp; Synthese'!B24</f>
        <v>18</v>
      </c>
      <c r="C23" s="277" t="str">
        <f>IF(AND('1.4 Analyse &amp; Synthese'!Q24=1,'1.4 Analyse &amp; Synthese'!F24="Empfehlung"),'1.4 Analyse &amp; Synthese'!I24&amp;CHAR(13)&amp;"("&amp;'(Codierung)'!$C$2&amp;" - "&amp;'1.4 Analyse &amp; Synthese'!C24&amp;")","")</f>
        <v/>
      </c>
      <c r="D23" s="222" t="str">
        <f t="array" ref="D23">_xlfn.IFNA(INDEX($C$6:$C$66,MATCH(0,COUNTIF($D$4:D22,$C$6:$C$66),0),1),"")</f>
        <v/>
      </c>
      <c r="E23" s="277" t="str">
        <f>IF(AND('1.4 Analyse &amp; Synthese'!Q24=1,'1.4 Analyse &amp; Synthese'!F24="Methode"),'1.4 Analyse &amp; Synthese'!I24&amp;CHAR(13)&amp;"("&amp;'(Codierung)'!$C$3&amp;" - "&amp;'1.4 Analyse &amp; Synthese'!C24&amp;")","")</f>
        <v/>
      </c>
      <c r="F23" s="277" t="str">
        <f t="array" ref="F23">_xlfn.IFNA(INDEX($E$6:$E$66,MATCH(0,COUNTIF($F$4:F22,$E$6:$E$66),0),1),"")</f>
        <v/>
      </c>
      <c r="G23" s="277" t="str">
        <f>IF(AND('1.4 Analyse &amp; Synthese'!Q24=1,'1.4 Analyse &amp; Synthese'!F24="Werkzeug"),'1.4 Analyse &amp; Synthese'!I24&amp;CHAR(13)&amp;"("&amp;'(Codierung)'!$C$4&amp;" - "&amp;'1.4 Analyse &amp; Synthese'!C24&amp;")","")</f>
        <v/>
      </c>
      <c r="H23" s="277" t="str">
        <f t="array" ref="H23">_xlfn.IFNA(INDEX($G$6:$G$66,MATCH(0,COUNTIF($H$4:H22,$G$6:$G$66),0),1),"")</f>
        <v/>
      </c>
      <c r="J23" s="277" t="str">
        <f>IF(AND('1.4 Analyse &amp; Synthese'!R24=1,'1.4 Analyse &amp; Synthese'!F24="Empfehlung"),'1.4 Analyse &amp; Synthese'!I24&amp;CHAR(13)&amp;"("&amp;'(Codierung)'!$C$2&amp;" - "&amp;'1.4 Analyse &amp; Synthese'!C24&amp;")","")</f>
        <v/>
      </c>
      <c r="K23" s="277" t="str">
        <f t="array" ref="K23">_xlfn.IFNA(INDEX($J$6:$J$66,MATCH(0,COUNTIF($K$4:K22,$J$6:$J$66),0),1),"")</f>
        <v/>
      </c>
      <c r="L23" s="277" t="str">
        <f>IF(AND('1.4 Analyse &amp; Synthese'!R24=1,'1.4 Analyse &amp; Synthese'!F24="Methode"),'1.4 Analyse &amp; Synthese'!I24&amp;CHAR(13)&amp;"("&amp;'(Codierung)'!$C$3&amp;" - "&amp;'1.4 Analyse &amp; Synthese'!C24&amp;")","")</f>
        <v/>
      </c>
      <c r="M23" s="277" t="str">
        <f t="array" ref="M23">_xlfn.IFNA(INDEX($L$6:$L$66,MATCH(0,COUNTIF($M$4:M22,$L$6:$L$66),0),1),"")</f>
        <v/>
      </c>
      <c r="N23" s="277" t="str">
        <f>IF(AND('1.4 Analyse &amp; Synthese'!R24=1,'1.4 Analyse &amp; Synthese'!F24="Werkzeug"),'1.4 Analyse &amp; Synthese'!I24&amp;CHAR(13)&amp;"("&amp;'(Codierung)'!$C$4&amp;" - "&amp;'1.4 Analyse &amp; Synthese'!C24&amp;")","")</f>
        <v/>
      </c>
      <c r="O23" s="277" t="str">
        <f t="array" ref="O23">_xlfn.IFNA(INDEX($N$6:$N$66,MATCH(0,COUNTIF($O$4:O22,$N$6:$N$66),0),1),"")</f>
        <v/>
      </c>
      <c r="Q23" s="277" t="str">
        <f>IF(AND('1.4 Analyse &amp; Synthese'!S24=1,'1.4 Analyse &amp; Synthese'!F24="Empfehlung"),'1.4 Analyse &amp; Synthese'!I24&amp;CHAR(13)&amp;"("&amp;'(Codierung)'!$C$2&amp;" - "&amp;'1.4 Analyse &amp; Synthese'!C24&amp;")","")</f>
        <v>OVF Erweiterung_x000D_(Empfehlung - Haji)</v>
      </c>
      <c r="R23" s="277" t="str">
        <f t="array" ref="R23">_xlfn.IFNA(INDEX($Q$6:$Q$66,MATCH(0,COUNTIF($R$4:R22,$Q$6:$Q$66),0),1),"")</f>
        <v/>
      </c>
      <c r="S23" s="277" t="str">
        <f>IF(AND('1.4 Analyse &amp; Synthese'!S24=1,'1.4 Analyse &amp; Synthese'!F24="Methode"),'1.4 Analyse &amp; Synthese'!I24&amp;CHAR(13)&amp;"("&amp;'(Codierung)'!$C$3&amp;" - "&amp;'1.4 Analyse &amp; Synthese'!C24&amp;")","")</f>
        <v/>
      </c>
      <c r="T23" s="277" t="str">
        <f t="array" ref="T23">_xlfn.IFNA(INDEX($S$6:$S$66,MATCH(0,COUNTIF($T$4:T22,$S$6:$S$66),0),1),"")</f>
        <v/>
      </c>
      <c r="U23" s="277" t="str">
        <f>IF(AND('1.4 Analyse &amp; Synthese'!S24=1,'1.4 Analyse &amp; Synthese'!F24="Werkzeug"),'1.4 Analyse &amp; Synthese'!I24&amp;CHAR(13)&amp;"("&amp;'(Codierung)'!$C$4&amp;" - "&amp;'1.4 Analyse &amp; Synthese'!C24&amp;")","")</f>
        <v/>
      </c>
      <c r="V23" s="277" t="str">
        <f t="array" ref="V23">_xlfn.IFNA(INDEX($U$6:$U$66,MATCH(0,COUNTIF($V$4:V22,$U$6:$U$66),0),1),"")</f>
        <v/>
      </c>
      <c r="X23" s="277" t="str">
        <f>IF(AND('1.4 Analyse &amp; Synthese'!T24=1,'1.4 Analyse &amp; Synthese'!F24="Empfehlung"),'1.4 Analyse &amp; Synthese'!I24&amp;CHAR(13)&amp;"("&amp;'(Codierung)'!$C$2&amp;" - "&amp;'1.4 Analyse &amp; Synthese'!C24&amp;")","")</f>
        <v/>
      </c>
      <c r="Y23" s="277" t="str">
        <f t="array" ref="Y23">_xlfn.IFNA(INDEX($X$6:$X$66,MATCH(0,COUNTIF($Y$4:Y22,$X$6:$X$66),0),1),"")</f>
        <v/>
      </c>
      <c r="Z23" s="277" t="str">
        <f>IF(AND('1.4 Analyse &amp; Synthese'!T24=1,'1.4 Analyse &amp; Synthese'!F24="Methode"),'1.4 Analyse &amp; Synthese'!I24&amp;CHAR(13)&amp;"("&amp;'(Codierung)'!$C$3&amp;" - "&amp;'1.4 Analyse &amp; Synthese'!C24&amp;")","")</f>
        <v/>
      </c>
      <c r="AA23" s="277" t="str">
        <f t="array" ref="AA23">_xlfn.IFNA(INDEX($Z$6:$Z$66,MATCH(0,COUNTIF($AA$4:AA22,$Z$6:$Z$66),0),1),"")</f>
        <v/>
      </c>
      <c r="AB23" s="277" t="str">
        <f>IF(AND('1.4 Analyse &amp; Synthese'!T24=1,'1.4 Analyse &amp; Synthese'!F24="Werkzeug"),'1.4 Analyse &amp; Synthese'!I24&amp;CHAR(13)&amp;"("&amp;'(Codierung)'!$C$4&amp;" - "&amp;'1.4 Analyse &amp; Synthese'!C24&amp;")","")</f>
        <v/>
      </c>
      <c r="AC23" s="277" t="str">
        <f t="array" ref="AC23">_xlfn.IFNA(INDEX($AB$6:$AB$66,MATCH(0,COUNTIF($AC$4:AC22,$AB$6:$AB$66),0),1),"")</f>
        <v/>
      </c>
      <c r="AE23" s="277" t="str">
        <f>IF(AND('1.4 Analyse &amp; Synthese'!U24=1,'1.4 Analyse &amp; Synthese'!F24="Empfehlung"),'1.4 Analyse &amp; Synthese'!I24&amp;CHAR(13)&amp;"("&amp;'(Codierung)'!$C$2&amp;" - "&amp;'1.4 Analyse &amp; Synthese'!C24&amp;")","")</f>
        <v/>
      </c>
      <c r="AF23" s="277" t="str">
        <f t="array" ref="AF23">_xlfn.IFNA(INDEX($AE$6:$AE$66,MATCH(0,COUNTIF($AF$4:AF22,$AE$6:$AE$66),0),1),"")</f>
        <v/>
      </c>
      <c r="AG23" s="277" t="str">
        <f>IF(AND('1.4 Analyse &amp; Synthese'!U24=1,'1.4 Analyse &amp; Synthese'!F24="Methode"),'1.4 Analyse &amp; Synthese'!I24&amp;CHAR(13)&amp;"("&amp;'(Codierung)'!$C$3&amp;" - "&amp;'1.4 Analyse &amp; Synthese'!C24&amp;")","")</f>
        <v/>
      </c>
      <c r="AH23" s="277" t="str">
        <f t="array" ref="AH23">_xlfn.IFNA(INDEX($AG$6:$AG$66,MATCH(0,COUNTIF($AH$4:AH22,$AG$6:$AG$66),0),1),"")</f>
        <v/>
      </c>
      <c r="AI23" s="277" t="str">
        <f>IF(AND('1.4 Analyse &amp; Synthese'!U24=1,'1.4 Analyse &amp; Synthese'!F24="Werkzeug"),'1.4 Analyse &amp; Synthese'!I24&amp;CHAR(13)&amp;"("&amp;'(Codierung)'!$C$4&amp;" - "&amp;'1.4 Analyse &amp; Synthese'!C24&amp;")","")</f>
        <v/>
      </c>
      <c r="AJ23" s="277" t="str">
        <f t="array" ref="AJ23">_xlfn.IFNA(INDEX($AI$6:$AI$66,MATCH(0,COUNTIF($AJ$4:AJ22,$AI$6:$AI$66),0),1),"")</f>
        <v/>
      </c>
      <c r="AL23" s="277" t="str">
        <f>IF(AND('1.4 Analyse &amp; Synthese'!V24=1,'1.4 Analyse &amp; Synthese'!F24="Empfehlung"),'1.4 Analyse &amp; Synthese'!I24&amp;CHAR(13)&amp;"("&amp;'(Codierung)'!$C$2&amp;" - "&amp;'1.4 Analyse &amp; Synthese'!C24&amp;")","")</f>
        <v/>
      </c>
      <c r="AM23" s="277" t="str">
        <f t="array" ref="AM23">_xlfn.IFNA(INDEX($AL$6:$AL$66,MATCH(0,COUNTIF($AM$4:AM22,$AL$6:$AL$66),0),1),"")</f>
        <v/>
      </c>
      <c r="AN23" s="277" t="str">
        <f>IF(AND('1.4 Analyse &amp; Synthese'!V24=1,'1.4 Analyse &amp; Synthese'!F24="Methode"),'1.4 Analyse &amp; Synthese'!I24&amp;CHAR(13)&amp;"("&amp;'(Codierung)'!$C$3&amp;" - "&amp;'1.4 Analyse &amp; Synthese'!C24&amp;")","")</f>
        <v/>
      </c>
      <c r="AO23" s="277" t="str">
        <f t="array" ref="AO23">_xlfn.IFNA(INDEX($AN$6:$AN$66,MATCH(0,COUNTIF($AO$4:AO22,$AN$6:$AN$66),0),1),"")</f>
        <v/>
      </c>
      <c r="AP23" s="277" t="str">
        <f>IF(AND('1.4 Analyse &amp; Synthese'!V24=1,'1.4 Analyse &amp; Synthese'!F24="Werkzeug"),'1.4 Analyse &amp; Synthese'!I24&amp;CHAR(13)&amp;"("&amp;'(Codierung)'!$C$4&amp;" - "&amp;'1.4 Analyse &amp; Synthese'!C24&amp;")","")</f>
        <v/>
      </c>
      <c r="AQ23" s="277" t="str">
        <f t="array" ref="AQ23">_xlfn.IFNA(INDEX($AP$6:$AP$66,MATCH(0,COUNTIF($AQ$4:AQ22,$AP$6:$AP$66),0),1),"")</f>
        <v/>
      </c>
      <c r="AS23" s="277" t="str">
        <f>IF(AND('1.4 Analyse &amp; Synthese'!W24=1,'1.4 Analyse &amp; Synthese'!F24="Empfehlung"),'1.4 Analyse &amp; Synthese'!I24&amp;CHAR(13)&amp;"("&amp;'(Codierung)'!$C$2&amp;" - "&amp;'1.4 Analyse &amp; Synthese'!C24&amp;")","")</f>
        <v/>
      </c>
      <c r="AT23" s="277" t="str">
        <f t="array" ref="AT23">_xlfn.IFNA(INDEX($AS$6:$AS$66,MATCH(0,COUNTIF($AT$4:AT22,$AS$6:$AS$66),0),1),"")</f>
        <v/>
      </c>
      <c r="AU23" s="277" t="str">
        <f>IF(AND('1.4 Analyse &amp; Synthese'!W24=1,'1.4 Analyse &amp; Synthese'!F24="Methode"),'1.4 Analyse &amp; Synthese'!I24&amp;CHAR(13)&amp;"("&amp;'(Codierung)'!$C$3&amp;" - "&amp;'1.4 Analyse &amp; Synthese'!C24&amp;")","")</f>
        <v/>
      </c>
      <c r="AV23" s="277" t="str">
        <f t="array" ref="AV23">_xlfn.IFNA(INDEX($AU$6:$AU$66,MATCH(0,COUNTIF($AV$4:AV22,$AU$6:$AU$66),0),1),"")</f>
        <v/>
      </c>
      <c r="AW23" s="277" t="str">
        <f>IF(AND('1.4 Analyse &amp; Synthese'!W24=1,'1.4 Analyse &amp; Synthese'!F24="Werkzeug"),'1.4 Analyse &amp; Synthese'!I24&amp;CHAR(13)&amp;"("&amp;'(Codierung)'!$C$4&amp;" - "&amp;'1.4 Analyse &amp; Synthese'!C24&amp;")","")</f>
        <v/>
      </c>
      <c r="AX23" s="277" t="str">
        <f t="array" ref="AX23">_xlfn.IFNA(INDEX($AW$6:$AW$66,MATCH(0,COUNTIF($AX$4:AX22,$AW$6:$AW$66),0),1),"")</f>
        <v/>
      </c>
      <c r="AZ23" s="277" t="str">
        <f>IF(AND('1.4 Analyse &amp; Synthese'!X24=1,'1.4 Analyse &amp; Synthese'!F24="Empfehlung"),'1.4 Analyse &amp; Synthese'!I24&amp;CHAR(13)&amp;"("&amp;'(Codierung)'!$C$2&amp;" - "&amp;'1.4 Analyse &amp; Synthese'!C24&amp;")","")</f>
        <v>OVF Erweiterung_x000D_(Empfehlung - Haji)</v>
      </c>
      <c r="BA23" s="277" t="str">
        <f t="array" ref="BA23">_xlfn.IFNA(INDEX($AZ$6:$AZ$66,MATCH(0,COUNTIF($BA$4:BA22,$AZ$6:$AZ$66),0),1),"")</f>
        <v/>
      </c>
      <c r="BB23" s="277" t="str">
        <f>IF(AND('1.4 Analyse &amp; Synthese'!X24=1,'1.4 Analyse &amp; Synthese'!F24="Methode"),'1.4 Analyse &amp; Synthese'!I24&amp;CHAR(13)&amp;"("&amp;'(Codierung)'!$C$3&amp;" - "&amp;'1.4 Analyse &amp; Synthese'!C24&amp;")","")</f>
        <v/>
      </c>
      <c r="BC23" s="277" t="str">
        <f t="array" ref="BC23">_xlfn.IFNA(INDEX($BB$6:$BB$66,MATCH(0,COUNTIF($BC$4:BC22,$BB$6:$BB$66),0),1),"")</f>
        <v/>
      </c>
      <c r="BD23" s="277" t="str">
        <f>IF(AND('1.4 Analyse &amp; Synthese'!X24=1,'1.4 Analyse &amp; Synthese'!F24="Werkzeug"),'1.4 Analyse &amp; Synthese'!I24&amp;CHAR(13)&amp;"("&amp;'(Codierung)'!$C$4&amp;" - "&amp;'1.4 Analyse &amp; Synthese'!C24&amp;")","")</f>
        <v/>
      </c>
      <c r="BE23" s="277" t="str">
        <f t="array" ref="BE23">_xlfn.IFNA(INDEX($BD$6:$BD$66,MATCH(0,COUNTIF($BE$4:BE22,$BD$6:$BD$66),0),1),"")</f>
        <v/>
      </c>
      <c r="BG23" s="277" t="str">
        <f>IF(AND('1.4 Analyse &amp; Synthese'!Y24=1,'1.4 Analyse &amp; Synthese'!F24="Empfehlung"),'1.4 Analyse &amp; Synthese'!I24&amp;CHAR(13)&amp;"("&amp;'(Codierung)'!$C$2&amp;" - "&amp;'1.4 Analyse &amp; Synthese'!C24&amp;")","")</f>
        <v/>
      </c>
      <c r="BH23" s="277" t="str">
        <f t="array" ref="BH23">_xlfn.IFNA(INDEX($BG$6:$BG$66,MATCH(0,COUNTIF($BH$4:BH22,$BG$6:$BG$66),0),1),"")</f>
        <v/>
      </c>
      <c r="BI23" s="277" t="str">
        <f>IF(AND('1.4 Analyse &amp; Synthese'!Y24=1,'1.4 Analyse &amp; Synthese'!F24="Methode"),'1.4 Analyse &amp; Synthese'!I24&amp;CHAR(13)&amp;"("&amp;'(Codierung)'!$C$3&amp;" - "&amp;'1.4 Analyse &amp; Synthese'!C24&amp;")","")</f>
        <v/>
      </c>
      <c r="BJ23" s="277" t="str">
        <f t="array" ref="BJ23">_xlfn.IFNA(INDEX($BI$6:$BI$66,MATCH(0,COUNTIF($BJ$4:BJ22,$BI$6:$BI$66),0),1),"")</f>
        <v/>
      </c>
      <c r="BK23" s="277" t="str">
        <f>IF(AND('1.4 Analyse &amp; Synthese'!Y24=1,'1.4 Analyse &amp; Synthese'!F24="Werkzeug"),'1.4 Analyse &amp; Synthese'!I24&amp;CHAR(13)&amp;"("&amp;'(Codierung)'!$C$4&amp;" - "&amp;'1.4 Analyse &amp; Synthese'!C24&amp;")","")</f>
        <v/>
      </c>
      <c r="BL23" s="277" t="str">
        <f t="array" ref="BL23">_xlfn.IFNA(INDEX($BK$6:$BK$66,MATCH(0,COUNTIF($BL$4:BL22,$BK$6:$BK$66),0),1),"")</f>
        <v/>
      </c>
      <c r="BN23" s="277" t="str">
        <f>IF(AND('1.4 Analyse &amp; Synthese'!Z24=1,'1.4 Analyse &amp; Synthese'!F24="Empfehlung"),'1.4 Analyse &amp; Synthese'!I24&amp;CHAR(13)&amp;"("&amp;'(Codierung)'!$C$2&amp;" - "&amp;'1.4 Analyse &amp; Synthese'!C24&amp;")","")</f>
        <v/>
      </c>
      <c r="BO23" s="277" t="str">
        <f t="array" ref="BO23">_xlfn.IFNA(INDEX($BN$6:$BN$66,MATCH(0,COUNTIF($BO$4:BO22,$BN$6:$BN$66),0),1),"")</f>
        <v/>
      </c>
      <c r="BP23" s="277" t="str">
        <f>IF(AND('1.4 Analyse &amp; Synthese'!Z24=1,'1.4 Analyse &amp; Synthese'!F24="Methode"),'1.4 Analyse &amp; Synthese'!I24&amp;CHAR(13)&amp;"("&amp;'(Codierung)'!$C$3&amp;" - "&amp;'1.4 Analyse &amp; Synthese'!C24&amp;")","")</f>
        <v/>
      </c>
      <c r="BQ23" s="277" t="str">
        <f t="array" ref="BQ23">_xlfn.IFNA(INDEX($BP$6:$BP$66,MATCH(0,COUNTIF($BQ$4:BQ22,$BP$6:$BP$66),0),1),"")</f>
        <v/>
      </c>
      <c r="BR23" s="277" t="str">
        <f>IF(AND('1.4 Analyse &amp; Synthese'!Z24=1,'1.4 Analyse &amp; Synthese'!F24="Werkzeug"),'1.4 Analyse &amp; Synthese'!I24&amp;CHAR(13)&amp;"("&amp;'(Codierung)'!$C$4&amp;" - "&amp;'1.4 Analyse &amp; Synthese'!C24&amp;")","")</f>
        <v/>
      </c>
      <c r="BS23" s="277" t="str">
        <f t="array" ref="BS23">_xlfn.IFNA(INDEX($BR$6:$BR$66,MATCH(0,COUNTIF($BS$4:BS22,$BR$6:$BR$66),0),1),"")</f>
        <v/>
      </c>
      <c r="BU23" s="277" t="str">
        <f>IF(AND('1.4 Analyse &amp; Synthese'!AA24=1,'1.4 Analyse &amp; Synthese'!F24="Empfehlung"),'1.4 Analyse &amp; Synthese'!I24&amp;CHAR(13)&amp;"("&amp;'(Codierung)'!$C$2&amp;" - "&amp;'1.4 Analyse &amp; Synthese'!C24&amp;")","")</f>
        <v/>
      </c>
      <c r="BV23" s="277" t="str">
        <f t="array" ref="BV23">_xlfn.IFNA(INDEX($BU$6:$BU$66,MATCH(0,COUNTIF($BV$4:BV22,$BU$6:$BU$66),0),1),"")</f>
        <v/>
      </c>
      <c r="BW23" s="277" t="str">
        <f>IF(AND('1.4 Analyse &amp; Synthese'!AA24=1,'1.4 Analyse &amp; Synthese'!F24="Methode"),'1.4 Analyse &amp; Synthese'!I24&amp;CHAR(13)&amp;"("&amp;'(Codierung)'!$C$3&amp;" - "&amp;'1.4 Analyse &amp; Synthese'!C24&amp;")","")</f>
        <v/>
      </c>
      <c r="BX23" s="277" t="str">
        <f t="array" ref="BX23">_xlfn.IFNA(INDEX($BW$6:$BW$66,MATCH(0,COUNTIF($BX$4:BX22,$BW$6:$BW$66),0),1),"")</f>
        <v/>
      </c>
      <c r="BY23" s="277" t="str">
        <f>IF(AND('1.4 Analyse &amp; Synthese'!AA24=1,'1.4 Analyse &amp; Synthese'!F24="Werkzeug"),'1.4 Analyse &amp; Synthese'!I24&amp;CHAR(13)&amp;"("&amp;'(Codierung)'!$C$4&amp;" - "&amp;'1.4 Analyse &amp; Synthese'!C24&amp;")","")</f>
        <v/>
      </c>
      <c r="BZ23" s="277" t="str">
        <f t="array" ref="BZ23">_xlfn.IFNA(INDEX($BY$6:$BY$66,MATCH(0,COUNTIF($BZ$4:BZ22,$BY$6:$BY$66),0),1),"")</f>
        <v/>
      </c>
      <c r="CB23" s="277" t="str">
        <f>IF(AND('1.4 Analyse &amp; Synthese'!AB24=1,'1.4 Analyse &amp; Synthese'!F24="Empfehlung"),'1.4 Analyse &amp; Synthese'!I24&amp;CHAR(13)&amp;"("&amp;'(Codierung)'!$C$2&amp;" - "&amp;'1.4 Analyse &amp; Synthese'!C24&amp;")","")</f>
        <v/>
      </c>
      <c r="CC23" s="277" t="str">
        <f t="array" ref="CC23">_xlfn.IFNA(INDEX($CB$6:$CB$66,MATCH(0,COUNTIF($CC$4:CC22,$CB$6:$CB$66),0),1),"")</f>
        <v/>
      </c>
      <c r="CD23" s="277" t="str">
        <f>IF(AND('1.4 Analyse &amp; Synthese'!AB24=1,'1.4 Analyse &amp; Synthese'!F24="Methode"),'1.4 Analyse &amp; Synthese'!I24&amp;CHAR(13)&amp;"("&amp;'(Codierung)'!$C$3&amp;" - "&amp;'1.4 Analyse &amp; Synthese'!C24&amp;")","")</f>
        <v/>
      </c>
      <c r="CE23" s="277" t="str">
        <f t="array" ref="CE23">_xlfn.IFNA(INDEX($CD$6:$CD$66,MATCH(0,COUNTIF($CE$4:CE22,$CD$6:$CD$66),0),1),"")</f>
        <v/>
      </c>
      <c r="CF23" s="277" t="str">
        <f>IF(AND('1.4 Analyse &amp; Synthese'!AB24=1,'1.4 Analyse &amp; Synthese'!F24="Werkzeug"),'1.4 Analyse &amp; Synthese'!I24&amp;CHAR(13)&amp;"("&amp;'(Codierung)'!$C$4&amp;" - "&amp;'1.4 Analyse &amp; Synthese'!C24&amp;")","")</f>
        <v/>
      </c>
      <c r="CG23" s="277" t="str">
        <f t="array" ref="CG23">_xlfn.IFNA(INDEX($CF$6:$CF$66,MATCH(0,COUNTIF($CG$4:CG22,$CF$6:$CF$66),0),1),"")</f>
        <v/>
      </c>
      <c r="CI23" s="277" t="str">
        <f>IF(AND('1.4 Analyse &amp; Synthese'!AC24=1,'1.4 Analyse &amp; Synthese'!F24="Empfehlung"),'1.4 Analyse &amp; Synthese'!I24&amp;CHAR(13)&amp;"("&amp;'(Codierung)'!$C$2&amp;" - "&amp;'1.4 Analyse &amp; Synthese'!C24&amp;")","")</f>
        <v/>
      </c>
      <c r="CJ23" s="277" t="str">
        <f t="array" ref="CJ23">_xlfn.IFNA(INDEX($CI$6:$CI$66,MATCH(0,COUNTIF($CJ$4:CJ22,$CI$6:$CI$66),0),1),"")</f>
        <v/>
      </c>
      <c r="CK23" s="277" t="str">
        <f>IF(AND('1.4 Analyse &amp; Synthese'!AC24=1,'1.4 Analyse &amp; Synthese'!F24="Methode"),'1.4 Analyse &amp; Synthese'!I24&amp;CHAR(13)&amp;"("&amp;'(Codierung)'!$C$3&amp;" - "&amp;'1.4 Analyse &amp; Synthese'!C24&amp;")","")</f>
        <v/>
      </c>
      <c r="CL23" s="277" t="str">
        <f t="array" ref="CL23">_xlfn.IFNA(INDEX($CK$6:$CK$66,MATCH(0,COUNTIF($CL$4:CL22,$CK$6:$CK$66),0),1),"")</f>
        <v/>
      </c>
      <c r="CM23" s="277" t="str">
        <f>IF(AND('1.4 Analyse &amp; Synthese'!AC24=1,'1.4 Analyse &amp; Synthese'!F24="Werkzeug"),'1.4 Analyse &amp; Synthese'!I24&amp;CHAR(13)&amp;"("&amp;'(Codierung)'!$C$4&amp;" - "&amp;'1.4 Analyse &amp; Synthese'!C24&amp;")","")</f>
        <v/>
      </c>
      <c r="CN23" s="277" t="str">
        <f t="array" ref="CN23">_xlfn.IFNA(INDEX($CM$6:$CM$66,MATCH(0,COUNTIF($CN$4:CN22,$CM$6:$CM$66),0),1),"")</f>
        <v/>
      </c>
      <c r="CP23" s="277" t="str">
        <f>IF(AND('1.4 Analyse &amp; Synthese'!AD24=1,'1.4 Analyse &amp; Synthese'!F24="Empfehlung"),'1.4 Analyse &amp; Synthese'!I24&amp;CHAR(13)&amp;"("&amp;'(Codierung)'!$C$2&amp;" - "&amp;'1.4 Analyse &amp; Synthese'!C24&amp;")","")</f>
        <v>OVF Erweiterung_x000D_(Empfehlung - Haji)</v>
      </c>
      <c r="CQ23" s="277" t="str">
        <f t="array" ref="CQ23">_xlfn.IFNA(INDEX($CP$6:$CP$66,MATCH(0,COUNTIF($CQ$4:CQ22,$CP$6:$CP$66),0),1),"")</f>
        <v/>
      </c>
      <c r="CR23" s="277" t="str">
        <f>IF(AND('1.4 Analyse &amp; Synthese'!AD24=1,'1.4 Analyse &amp; Synthese'!F24="Methode"),'1.4 Analyse &amp; Synthese'!I24&amp;CHAR(13)&amp;"("&amp;'(Codierung)'!$C$3&amp;" - "&amp;'1.4 Analyse &amp; Synthese'!C24&amp;")","")</f>
        <v/>
      </c>
      <c r="CS23" s="277" t="str">
        <f t="array" ref="CS23">_xlfn.IFNA(INDEX($CR$6:$CR$66,MATCH(0,COUNTIF($CS$4:CS22,$CR$6:$CR$66),0),1),"")</f>
        <v/>
      </c>
      <c r="CT23" s="277" t="str">
        <f>IF(AND('1.4 Analyse &amp; Synthese'!AD24=1,'1.4 Analyse &amp; Synthese'!F24="Werkzeug"),'1.4 Analyse &amp; Synthese'!I24&amp;CHAR(13)&amp;"("&amp;'(Codierung)'!$C$4&amp;" - "&amp;'1.4 Analyse &amp; Synthese'!C24&amp;")","")</f>
        <v/>
      </c>
      <c r="CU23" s="277" t="str">
        <f t="array" ref="CU23">_xlfn.IFNA(INDEX($CT$6:$CT$66,MATCH(0,COUNTIF($CU$4:CU22,$CT$6:$CT$66),0),1),"")</f>
        <v/>
      </c>
      <c r="CW23" s="277" t="str">
        <f>IF(AND('1.4 Analyse &amp; Synthese'!AE24=1,'1.4 Analyse &amp; Synthese'!F24="Empfehlung"),'1.4 Analyse &amp; Synthese'!I24&amp;CHAR(13)&amp;"("&amp;'(Codierung)'!$C$2&amp;" - "&amp;'1.4 Analyse &amp; Synthese'!C24&amp;")","")</f>
        <v/>
      </c>
      <c r="CX23" s="277" t="str">
        <f t="array" ref="CX23">_xlfn.IFNA(INDEX($CW$6:$CW$66,MATCH(0,COUNTIF($CX$4:CX22,$CW$6:$CW$66),0),1),"")</f>
        <v/>
      </c>
      <c r="CY23" s="277" t="str">
        <f>IF(AND('1.4 Analyse &amp; Synthese'!AE24=1,'1.4 Analyse &amp; Synthese'!F24="Methode"),'1.4 Analyse &amp; Synthese'!I24&amp;CHAR(13)&amp;"("&amp;'(Codierung)'!$C$3&amp;" - "&amp;'1.4 Analyse &amp; Synthese'!C24&amp;")","")</f>
        <v/>
      </c>
      <c r="CZ23" s="277" t="str">
        <f t="array" ref="CZ23">_xlfn.IFNA(INDEX($CY$6:$CY$66,MATCH(0,COUNTIF($CZ$4:CZ22,$CY$6:$CY$66),0),1),"")</f>
        <v/>
      </c>
      <c r="DA23" s="277" t="str">
        <f>IF(AND('1.4 Analyse &amp; Synthese'!AE24=1,'1.4 Analyse &amp; Synthese'!F24="Werkzeug"),'1.4 Analyse &amp; Synthese'!I24&amp;CHAR(13)&amp;"("&amp;'(Codierung)'!$C$4&amp;" - "&amp;'1.4 Analyse &amp; Synthese'!C24&amp;")","")</f>
        <v/>
      </c>
      <c r="DB23" s="277" t="str">
        <f t="array" ref="DB23">_xlfn.IFNA(INDEX($DA$6:$DA$66,MATCH(0,COUNTIF($DB$4:DB22,$DA$6:$DA$66),0),1),"")</f>
        <v/>
      </c>
      <c r="DD23" s="277" t="str">
        <f>IF(AND('1.4 Analyse &amp; Synthese'!AF24=1,'1.4 Analyse &amp; Synthese'!F24="Empfehlung"),'1.4 Analyse &amp; Synthese'!I24&amp;CHAR(13)&amp;"("&amp;'(Codierung)'!$C$2&amp;" - "&amp;'1.4 Analyse &amp; Synthese'!C24&amp;")","")</f>
        <v/>
      </c>
      <c r="DE23" s="277" t="str">
        <f t="array" ref="DE23">_xlfn.IFNA(INDEX($DD$6:$DD$66,MATCH(0,COUNTIF($DE$4:DE22,$DD$6:$DD$66),0),1),"")</f>
        <v/>
      </c>
      <c r="DF23" s="277" t="str">
        <f>IF(AND('1.4 Analyse &amp; Synthese'!AF24=1,'1.4 Analyse &amp; Synthese'!F24="Methode"),'1.4 Analyse &amp; Synthese'!I24&amp;CHAR(13)&amp;"("&amp;'(Codierung)'!$C$3&amp;" - "&amp;'1.4 Analyse &amp; Synthese'!C24&amp;")","")</f>
        <v/>
      </c>
      <c r="DG23" s="277" t="str">
        <f t="array" ref="DG23">_xlfn.IFNA(INDEX($DF$6:$DF$66,MATCH(0,COUNTIF($DG$4:DG22,$DF$6:$DF$66),0),1),"")</f>
        <v/>
      </c>
      <c r="DH23" s="277" t="str">
        <f>IF(AND('1.4 Analyse &amp; Synthese'!AF24=1,'1.4 Analyse &amp; Synthese'!F24="Werkzeug"),'1.4 Analyse &amp; Synthese'!I24&amp;CHAR(13)&amp;"("&amp;'(Codierung)'!$C$4&amp;" - "&amp;'1.4 Analyse &amp; Synthese'!C24&amp;")","")</f>
        <v/>
      </c>
      <c r="DI23" s="277" t="str">
        <f t="array" ref="DI23">_xlfn.IFNA(INDEX($DH$6:$DH$66,MATCH(0,COUNTIF($DI$4:DI22,$DH$6:$DH$66),0),1),"")</f>
        <v/>
      </c>
      <c r="DK23" s="277" t="str">
        <f>IF(AND('1.4 Analyse &amp; Synthese'!AG24=1,'1.4 Analyse &amp; Synthese'!F24="Empfehlung"),'1.4 Analyse &amp; Synthese'!I24&amp;CHAR(13)&amp;"("&amp;'(Codierung)'!$C$2&amp;" - "&amp;'1.4 Analyse &amp; Synthese'!C24&amp;")","")</f>
        <v>OVF Erweiterung_x000D_(Empfehlung - Haji)</v>
      </c>
      <c r="DL23" s="277" t="str">
        <f t="array" ref="DL23">_xlfn.IFNA(INDEX($DK$6:$DK$66,MATCH(0,COUNTIF($DL$4:DL22,$DK$6:$DK$66),0),1),"")</f>
        <v/>
      </c>
      <c r="DM23" s="277" t="str">
        <f>IF(AND('1.4 Analyse &amp; Synthese'!AG24=1,'1.4 Analyse &amp; Synthese'!F24="Methode"),'1.4 Analyse &amp; Synthese'!I24&amp;CHAR(13)&amp;"("&amp;'(Codierung)'!$C$3&amp;" - "&amp;'1.4 Analyse &amp; Synthese'!C24&amp;")","")</f>
        <v/>
      </c>
      <c r="DN23" s="277" t="str">
        <f t="array" ref="DN23">_xlfn.IFNA(INDEX($DM$6:$DM$66,MATCH(0,COUNTIF($DN$4:DN22,$DM$6:$DM$66),0),1),"")</f>
        <v/>
      </c>
      <c r="DO23" s="277" t="str">
        <f>IF(AND('1.4 Analyse &amp; Synthese'!AG24=1,'1.4 Analyse &amp; Synthese'!F24="Werkzeug"),'1.4 Analyse &amp; Synthese'!I24&amp;CHAR(13)&amp;"("&amp;'(Codierung)'!$C$4&amp;" - "&amp;'1.4 Analyse &amp; Synthese'!C24&amp;")","")</f>
        <v/>
      </c>
      <c r="DP23" s="277" t="str">
        <f t="array" ref="DP23">_xlfn.IFNA(INDEX($DO$6:$DO$66,MATCH(0,COUNTIF($DP$4:DP22,$DO$6:$DO$66),0),1),"")</f>
        <v/>
      </c>
      <c r="DR23" s="277" t="str">
        <f>IF(AND('1.4 Analyse &amp; Synthese'!AH24=1,'1.4 Analyse &amp; Synthese'!F24="Empfehlung"),'1.4 Analyse &amp; Synthese'!I24&amp;CHAR(13)&amp;"("&amp;'(Codierung)'!$C$2&amp;" - "&amp;'1.4 Analyse &amp; Synthese'!C24&amp;")","")</f>
        <v/>
      </c>
      <c r="DS23" s="277" t="str">
        <f t="array" ref="DS23">_xlfn.IFNA(INDEX($DR$6:$DR$66,MATCH(0,COUNTIF($DS$4:DS22,$DR$6:$DR$66),0),1),"")</f>
        <v/>
      </c>
      <c r="DT23" s="277" t="str">
        <f>IF(AND('1.4 Analyse &amp; Synthese'!AH24=1,'1.4 Analyse &amp; Synthese'!F24="Methode"),'1.4 Analyse &amp; Synthese'!I24&amp;CHAR(13)&amp;"("&amp;'(Codierung)'!$C$3&amp;" - "&amp;'1.4 Analyse &amp; Synthese'!C24&amp;")","")</f>
        <v/>
      </c>
      <c r="DU23" s="277" t="str">
        <f t="array" ref="DU23">_xlfn.IFNA(INDEX($DT$6:$DT$66,MATCH(0,COUNTIF($DU$4:DU22,$DT$6:$DT$66),0),1),"")</f>
        <v/>
      </c>
      <c r="DV23" s="277" t="str">
        <f>IF(AND('1.4 Analyse &amp; Synthese'!AH24=1,'1.4 Analyse &amp; Synthese'!F24="Werkzeug"),'1.4 Analyse &amp; Synthese'!I24&amp;CHAR(13)&amp;"("&amp;'(Codierung)'!$C$4&amp;" - "&amp;'1.4 Analyse &amp; Synthese'!C24&amp;")","")</f>
        <v/>
      </c>
      <c r="DW23" s="277" t="str">
        <f t="array" ref="DW23">_xlfn.IFNA(INDEX($DV$6:$DV$66,MATCH(0,COUNTIF($DW$4:DW22,$DV$6:$DV$66),0),1),"")</f>
        <v/>
      </c>
      <c r="DY23" s="277" t="str">
        <f>IF(AND('1.4 Analyse &amp; Synthese'!AI24=1,'1.4 Analyse &amp; Synthese'!F24="Empfehlung"),'1.4 Analyse &amp; Synthese'!I24&amp;CHAR(13)&amp;"("&amp;'(Codierung)'!$C$2&amp;" - "&amp;'1.4 Analyse &amp; Synthese'!C24&amp;")","")</f>
        <v>OVF Erweiterung_x000D_(Empfehlung - Haji)</v>
      </c>
      <c r="DZ23" s="277" t="str">
        <f t="array" ref="DZ23">_xlfn.IFNA(INDEX($DY$6:$DY$66,MATCH(0,COUNTIF($DZ$4:DZ22,$DY$6:$DY$66),0),1),"")</f>
        <v/>
      </c>
      <c r="EA23" s="277" t="str">
        <f>IF(AND('1.4 Analyse &amp; Synthese'!AI24=1,'1.4 Analyse &amp; Synthese'!F24="Methode"),'1.4 Analyse &amp; Synthese'!I24&amp;CHAR(13)&amp;"("&amp;'(Codierung)'!$C$3&amp;" - "&amp;'1.4 Analyse &amp; Synthese'!C24&amp;")","")</f>
        <v/>
      </c>
      <c r="EB23" s="277" t="str">
        <f t="array" ref="EB23">_xlfn.IFNA(INDEX($EA$6:$EA$66,MATCH(0,COUNTIF($EB$4:EB22,$EA$6:$EA$66),0),1),"")</f>
        <v/>
      </c>
      <c r="EC23" s="277" t="str">
        <f>IF(AND('1.4 Analyse &amp; Synthese'!AI24=1,'1.4 Analyse &amp; Synthese'!F24="Werkzeug"),'1.4 Analyse &amp; Synthese'!I24&amp;CHAR(13)&amp;"("&amp;'(Codierung)'!$C$4&amp;" - "&amp;'1.4 Analyse &amp; Synthese'!C24&amp;")","")</f>
        <v/>
      </c>
      <c r="ED23" s="277" t="str">
        <f t="array" ref="ED23">_xlfn.IFNA(INDEX($EC$6:$EC$66,MATCH(0,COUNTIF($ED$4:ED22,$EC$6:$EC$66),0),1),"")</f>
        <v/>
      </c>
      <c r="EF23" s="277" t="str">
        <f>IF(AND('1.4 Analyse &amp; Synthese'!AJ24=1,'1.4 Analyse &amp; Synthese'!F24="Empfehlung"),'1.4 Analyse &amp; Synthese'!I24&amp;CHAR(13)&amp;"("&amp;'(Codierung)'!$C$2&amp;" - "&amp;'1.4 Analyse &amp; Synthese'!C24&amp;")","")</f>
        <v/>
      </c>
      <c r="EG23" s="277" t="str">
        <f t="array" ref="EG23">_xlfn.IFNA(INDEX($EF$6:$EF$66,MATCH(0,COUNTIF($EG$4:EG22,$EF$6:$EF$66),0),1),"")</f>
        <v/>
      </c>
      <c r="EH23" s="277" t="str">
        <f>IF(AND('1.4 Analyse &amp; Synthese'!AJ24=1,'1.4 Analyse &amp; Synthese'!F24="Methode"),'1.4 Analyse &amp; Synthese'!I24&amp;CHAR(13)&amp;"("&amp;'(Codierung)'!$C$3&amp;" - "&amp;'1.4 Analyse &amp; Synthese'!C24&amp;")","")</f>
        <v/>
      </c>
      <c r="EI23" s="277" t="str">
        <f t="array" ref="EI23">_xlfn.IFNA(INDEX($EH$6:$EH$66,MATCH(0,COUNTIF($EI$4:EI22,$EH$6:$EH$66),0),1),"")</f>
        <v/>
      </c>
      <c r="EJ23" s="277" t="str">
        <f>IF(AND('1.4 Analyse &amp; Synthese'!AJ24=1,'1.4 Analyse &amp; Synthese'!F24="Werkzeug"),'1.4 Analyse &amp; Synthese'!I24&amp;CHAR(13)&amp;"("&amp;'(Codierung)'!$C$4&amp;" - "&amp;'1.4 Analyse &amp; Synthese'!C24&amp;")","")</f>
        <v/>
      </c>
      <c r="EK23" s="277" t="str">
        <f t="array" ref="EK23">_xlfn.IFNA(INDEX($EJ$6:$EJ$66,MATCH(0,COUNTIF($EK$4:EK22,$EJ$6:$EJ$66),0),1),"")</f>
        <v/>
      </c>
      <c r="EN23" s="222" t="str">
        <f t="shared" si="0"/>
        <v/>
      </c>
      <c r="EO23" s="277" t="str">
        <f t="shared" si="1"/>
        <v/>
      </c>
      <c r="EP23" s="277" t="str">
        <f t="shared" si="2"/>
        <v/>
      </c>
      <c r="EQ23" s="277" t="str">
        <f>ZahlenInBereich(Tabelle1[[Empfehlung]:[Werkzeug]],ROW()-5)</f>
        <v/>
      </c>
      <c r="ER23" s="277" t="str">
        <f t="shared" si="3"/>
        <v/>
      </c>
      <c r="ES23" s="277" t="str">
        <f t="shared" si="4"/>
        <v/>
      </c>
      <c r="ET23" s="277" t="str">
        <f t="shared" si="5"/>
        <v/>
      </c>
      <c r="EU23" s="277" t="str">
        <f>ZahlenInBereich(Tabelle1[[Empfehlung2]:[Werkzeug4]],ROW()-5)</f>
        <v/>
      </c>
      <c r="EV23" s="277" t="str">
        <f t="shared" si="6"/>
        <v/>
      </c>
      <c r="EW23" s="277" t="str">
        <f t="shared" si="7"/>
        <v/>
      </c>
      <c r="EX23" s="277" t="str">
        <f t="shared" si="8"/>
        <v/>
      </c>
      <c r="EY23" s="277" t="str">
        <f>ZahlenInBereich(Tabelle1[[Empfehlung6]:[Werkzeug8]],ROW()-5)</f>
        <v>Einheitl. Servicebeschreibung_x000D_(Werkzeug - El-Awadi)</v>
      </c>
      <c r="EZ23" s="277" t="str">
        <f t="shared" si="9"/>
        <v/>
      </c>
      <c r="FA23" s="277" t="str">
        <f t="shared" si="10"/>
        <v/>
      </c>
      <c r="FB23" s="277" t="str">
        <f t="shared" si="11"/>
        <v/>
      </c>
      <c r="FC23" s="277" t="str">
        <f>ZahlenInBereich(Tabelle1[[Empfehlung10]:[Werkzeug12]],ROW()-5)</f>
        <v/>
      </c>
      <c r="FD23" s="277" t="str">
        <f t="shared" si="12"/>
        <v/>
      </c>
      <c r="FE23" s="277" t="str">
        <f t="shared" si="13"/>
        <v/>
      </c>
      <c r="FF23" s="277" t="str">
        <f t="shared" si="14"/>
        <v/>
      </c>
      <c r="FG23" s="277" t="str">
        <f>ZahlenInBereich(Tabelle1[[Empfehlung14]:[Werkzeug16]],ROW()-5)</f>
        <v/>
      </c>
      <c r="FH23" s="277" t="str">
        <f t="shared" si="15"/>
        <v/>
      </c>
      <c r="FI23" s="277" t="str">
        <f t="shared" si="16"/>
        <v/>
      </c>
      <c r="FJ23" s="277" t="str">
        <f t="shared" si="17"/>
        <v/>
      </c>
      <c r="FK23" s="277" t="str">
        <f>ZahlenInBereich(Tabelle1[[Empfehlung18]:[Werkzeug20]],ROW()-5)</f>
        <v/>
      </c>
      <c r="FL23" s="277" t="str">
        <f t="shared" si="18"/>
        <v/>
      </c>
      <c r="FM23" s="277" t="str">
        <f t="shared" si="19"/>
        <v/>
      </c>
      <c r="FN23" s="277" t="str">
        <f t="shared" si="20"/>
        <v/>
      </c>
      <c r="FO23" s="277" t="str">
        <f>ZahlenInBereich(Tabelle1[[Empfehlung22]:[Werkzeug24]],ROW()-5)</f>
        <v/>
      </c>
      <c r="FP23" s="277" t="str">
        <f t="shared" si="21"/>
        <v/>
      </c>
      <c r="FQ23" s="277" t="str">
        <f t="shared" si="22"/>
        <v/>
      </c>
      <c r="FR23" s="277" t="str">
        <f t="shared" si="23"/>
        <v/>
      </c>
      <c r="FS23" s="277" t="str">
        <f>ZahlenInBereich(Tabelle1[[Empfehlung26]:[Werkzeug28]],ROW()-5)</f>
        <v/>
      </c>
      <c r="FT23" s="277" t="str">
        <f t="shared" si="24"/>
        <v/>
      </c>
      <c r="FU23" s="277" t="str">
        <f t="shared" si="25"/>
        <v/>
      </c>
      <c r="FV23" s="277" t="str">
        <f t="shared" si="26"/>
        <v/>
      </c>
      <c r="FW23" s="277" t="str">
        <f>ZahlenInBereich(Tabelle1[[Empfehlung30]:[Werkzeug32]],ROW()-5)</f>
        <v/>
      </c>
      <c r="FX23" s="277" t="str">
        <f t="shared" si="27"/>
        <v/>
      </c>
      <c r="FY23" s="277" t="str">
        <f t="shared" si="28"/>
        <v/>
      </c>
      <c r="FZ23" s="277" t="str">
        <f t="shared" si="29"/>
        <v/>
      </c>
      <c r="GA23" s="277" t="str">
        <f>ZahlenInBereich(Tabelle1[[Empfehlung34]:[Werkzeug36]],ROW()-5)</f>
        <v/>
      </c>
      <c r="GB23" s="277" t="str">
        <f t="shared" si="30"/>
        <v/>
      </c>
      <c r="GC23" s="277" t="str">
        <f t="shared" si="31"/>
        <v/>
      </c>
      <c r="GD23" s="277" t="str">
        <f t="shared" si="32"/>
        <v/>
      </c>
      <c r="GE23" s="277" t="str">
        <f>ZahlenInBereich(Tabelle1[[Empfehlung38]:[Werkzeug40]],ROW()-5)</f>
        <v/>
      </c>
      <c r="GF23" s="277" t="str">
        <f t="shared" si="33"/>
        <v/>
      </c>
      <c r="GG23" s="277" t="str">
        <f t="shared" si="34"/>
        <v/>
      </c>
      <c r="GH23" s="277" t="str">
        <f t="shared" si="35"/>
        <v/>
      </c>
      <c r="GI23" s="277" t="str">
        <f>ZahlenInBereich(Tabelle1[[Empfehlung42]:[Werkzeug44]],ROW()-5)</f>
        <v/>
      </c>
      <c r="GJ23" s="277" t="str">
        <f t="shared" si="36"/>
        <v/>
      </c>
      <c r="GK23" s="277" t="str">
        <f t="shared" si="37"/>
        <v/>
      </c>
      <c r="GL23" s="277" t="str">
        <f t="shared" si="38"/>
        <v/>
      </c>
      <c r="GM23" s="277" t="str">
        <f>ZahlenInBereich(Tabelle1[[Empfehlung46]:[Werkzeug48]],ROW()-5)</f>
        <v/>
      </c>
      <c r="GN23" s="277" t="str">
        <f t="shared" si="39"/>
        <v/>
      </c>
      <c r="GO23" s="277" t="str">
        <f t="shared" si="40"/>
        <v/>
      </c>
      <c r="GP23" s="277" t="str">
        <f t="shared" si="41"/>
        <v/>
      </c>
      <c r="GQ23" s="277" t="str">
        <f>ZahlenInBereich(Tabelle1[[Empfehlung50]:[Werkzeug52]],ROW()-5)</f>
        <v/>
      </c>
      <c r="GR23" s="277" t="str">
        <f t="shared" si="42"/>
        <v/>
      </c>
      <c r="GS23" s="277" t="str">
        <f t="shared" si="43"/>
        <v/>
      </c>
      <c r="GT23" s="277" t="str">
        <f t="shared" si="44"/>
        <v/>
      </c>
      <c r="GU23" s="277" t="str">
        <f>ZahlenInBereich(Tabelle1[[Empfehlung54]:[Werkzeug56]],ROW()-5)</f>
        <v/>
      </c>
      <c r="GV23" s="277" t="str">
        <f t="shared" si="45"/>
        <v/>
      </c>
      <c r="GW23" s="277" t="str">
        <f t="shared" si="46"/>
        <v/>
      </c>
      <c r="GX23" s="277" t="str">
        <f t="shared" si="47"/>
        <v/>
      </c>
      <c r="GY23" s="277" t="str">
        <f>ZahlenInBereich(Tabelle1[[Empfehlung58]:[Werkzeug60]],ROW()-5)</f>
        <v/>
      </c>
      <c r="GZ23" s="277" t="str">
        <f t="shared" si="48"/>
        <v/>
      </c>
      <c r="HA23" s="277" t="str">
        <f t="shared" si="49"/>
        <v/>
      </c>
      <c r="HB23" s="277" t="str">
        <f t="shared" si="50"/>
        <v/>
      </c>
      <c r="HC23" s="277" t="str">
        <f>ZahlenInBereich(Tabelle1[[Empfehlung62]:[Werkzeug64]],ROW()-5)</f>
        <v>Datenintegration_x000D_(Werkzeug - Vernik)</v>
      </c>
      <c r="HD23" s="277" t="str">
        <f t="shared" si="51"/>
        <v/>
      </c>
      <c r="HE23" s="277" t="str">
        <f t="shared" si="52"/>
        <v/>
      </c>
      <c r="HF23" s="277" t="str">
        <f t="shared" si="53"/>
        <v/>
      </c>
      <c r="HG23" s="277" t="str">
        <f>ZahlenInBereich(Tabelle1[[Empfehlung66]:[Werkzeug68]],ROW()-5)</f>
        <v/>
      </c>
      <c r="HH23" s="277" t="str">
        <f t="shared" si="54"/>
        <v/>
      </c>
      <c r="HI23" s="277" t="str">
        <f t="shared" si="55"/>
        <v/>
      </c>
      <c r="HJ23" s="277" t="str">
        <f t="shared" si="56"/>
        <v/>
      </c>
      <c r="HK23" s="277" t="str">
        <f>ZahlenInBereich(Tabelle1[[Empfehlung70]:[Werkzeug72]],ROW()-5)</f>
        <v>Datenintegration_x000D_(Werkzeug - Vernik)</v>
      </c>
      <c r="HL23" s="277" t="str">
        <f t="shared" si="57"/>
        <v/>
      </c>
      <c r="HM23" s="277" t="str">
        <f t="shared" si="58"/>
        <v/>
      </c>
      <c r="HN23" s="277" t="str">
        <f t="shared" si="59"/>
        <v/>
      </c>
      <c r="HO23" s="277" t="str">
        <f>ZahlenInBereich(Tabelle1[[Empfehlung74]:[Werkzeug76]],ROW()-5)</f>
        <v/>
      </c>
    </row>
    <row r="24" spans="2:223" ht="32" x14ac:dyDescent="0.2">
      <c r="B24" s="134">
        <f>'1.4 Analyse &amp; Synthese'!B25</f>
        <v>19</v>
      </c>
      <c r="C24" s="277" t="str">
        <f>IF(AND('1.4 Analyse &amp; Synthese'!Q25=1,'1.4 Analyse &amp; Synthese'!F25="Empfehlung"),'1.4 Analyse &amp; Synthese'!I25&amp;CHAR(13)&amp;"("&amp;'(Codierung)'!$C$2&amp;" - "&amp;'1.4 Analyse &amp; Synthese'!C25&amp;")","")</f>
        <v/>
      </c>
      <c r="D24" s="222" t="str">
        <f t="array" ref="D24">_xlfn.IFNA(INDEX($C$6:$C$66,MATCH(0,COUNTIF($D$4:D23,$C$6:$C$66),0),1),"")</f>
        <v/>
      </c>
      <c r="E24" s="277" t="str">
        <f>IF(AND('1.4 Analyse &amp; Synthese'!Q25=1,'1.4 Analyse &amp; Synthese'!F25="Methode"),'1.4 Analyse &amp; Synthese'!I25&amp;CHAR(13)&amp;"("&amp;'(Codierung)'!$C$3&amp;" - "&amp;'1.4 Analyse &amp; Synthese'!C25&amp;")","")</f>
        <v/>
      </c>
      <c r="F24" s="277" t="str">
        <f t="array" ref="F24">_xlfn.IFNA(INDEX($E$6:$E$66,MATCH(0,COUNTIF($F$4:F23,$E$6:$E$66),0),1),"")</f>
        <v/>
      </c>
      <c r="G24" s="277" t="str">
        <f>IF(AND('1.4 Analyse &amp; Synthese'!Q25=1,'1.4 Analyse &amp; Synthese'!F25="Werkzeug"),'1.4 Analyse &amp; Synthese'!I25&amp;CHAR(13)&amp;"("&amp;'(Codierung)'!$C$4&amp;" - "&amp;'1.4 Analyse &amp; Synthese'!C25&amp;")","")</f>
        <v/>
      </c>
      <c r="H24" s="277" t="str">
        <f t="array" ref="H24">_xlfn.IFNA(INDEX($G$6:$G$66,MATCH(0,COUNTIF($H$4:H23,$G$6:$G$66),0),1),"")</f>
        <v/>
      </c>
      <c r="J24" s="277" t="str">
        <f>IF(AND('1.4 Analyse &amp; Synthese'!R25=1,'1.4 Analyse &amp; Synthese'!F25="Empfehlung"),'1.4 Analyse &amp; Synthese'!I25&amp;CHAR(13)&amp;"("&amp;'(Codierung)'!$C$2&amp;" - "&amp;'1.4 Analyse &amp; Synthese'!C25&amp;")","")</f>
        <v/>
      </c>
      <c r="K24" s="277" t="str">
        <f t="array" ref="K24">_xlfn.IFNA(INDEX($J$6:$J$66,MATCH(0,COUNTIF($K$4:K23,$J$6:$J$66),0),1),"")</f>
        <v/>
      </c>
      <c r="L24" s="277" t="str">
        <f>IF(AND('1.4 Analyse &amp; Synthese'!R25=1,'1.4 Analyse &amp; Synthese'!F25="Methode"),'1.4 Analyse &amp; Synthese'!I25&amp;CHAR(13)&amp;"("&amp;'(Codierung)'!$C$3&amp;" - "&amp;'1.4 Analyse &amp; Synthese'!C25&amp;")","")</f>
        <v/>
      </c>
      <c r="M24" s="277" t="str">
        <f t="array" ref="M24">_xlfn.IFNA(INDEX($L$6:$L$66,MATCH(0,COUNTIF($M$4:M23,$L$6:$L$66),0),1),"")</f>
        <v/>
      </c>
      <c r="N24" s="277" t="str">
        <f>IF(AND('1.4 Analyse &amp; Synthese'!R25=1,'1.4 Analyse &amp; Synthese'!F25="Werkzeug"),'1.4 Analyse &amp; Synthese'!I25&amp;CHAR(13)&amp;"("&amp;'(Codierung)'!$C$4&amp;" - "&amp;'1.4 Analyse &amp; Synthese'!C25&amp;")","")</f>
        <v/>
      </c>
      <c r="O24" s="277" t="str">
        <f t="array" ref="O24">_xlfn.IFNA(INDEX($N$6:$N$66,MATCH(0,COUNTIF($O$4:O23,$N$6:$N$66),0),1),"")</f>
        <v/>
      </c>
      <c r="Q24" s="277" t="str">
        <f>IF(AND('1.4 Analyse &amp; Synthese'!S25=1,'1.4 Analyse &amp; Synthese'!F25="Empfehlung"),'1.4 Analyse &amp; Synthese'!I25&amp;CHAR(13)&amp;"("&amp;'(Codierung)'!$C$2&amp;" - "&amp;'1.4 Analyse &amp; Synthese'!C25&amp;")","")</f>
        <v>Cloud Service Broker_x000D_(Empfehlung - Jrad)</v>
      </c>
      <c r="R24" s="277" t="str">
        <f t="array" ref="R24">_xlfn.IFNA(INDEX($Q$6:$Q$66,MATCH(0,COUNTIF($R$4:R23,$Q$6:$Q$66),0),1),"")</f>
        <v/>
      </c>
      <c r="S24" s="277" t="str">
        <f>IF(AND('1.4 Analyse &amp; Synthese'!S25=1,'1.4 Analyse &amp; Synthese'!F25="Methode"),'1.4 Analyse &amp; Synthese'!I25&amp;CHAR(13)&amp;"("&amp;'(Codierung)'!$C$3&amp;" - "&amp;'1.4 Analyse &amp; Synthese'!C25&amp;")","")</f>
        <v/>
      </c>
      <c r="T24" s="277" t="str">
        <f t="array" ref="T24">_xlfn.IFNA(INDEX($S$6:$S$66,MATCH(0,COUNTIF($T$4:T23,$S$6:$S$66),0),1),"")</f>
        <v/>
      </c>
      <c r="U24" s="277" t="str">
        <f>IF(AND('1.4 Analyse &amp; Synthese'!S25=1,'1.4 Analyse &amp; Synthese'!F25="Werkzeug"),'1.4 Analyse &amp; Synthese'!I25&amp;CHAR(13)&amp;"("&amp;'(Codierung)'!$C$4&amp;" - "&amp;'1.4 Analyse &amp; Synthese'!C25&amp;")","")</f>
        <v/>
      </c>
      <c r="V24" s="277" t="str">
        <f t="array" ref="V24">_xlfn.IFNA(INDEX($U$6:$U$66,MATCH(0,COUNTIF($V$4:V23,$U$6:$U$66),0),1),"")</f>
        <v/>
      </c>
      <c r="X24" s="277" t="str">
        <f>IF(AND('1.4 Analyse &amp; Synthese'!T25=1,'1.4 Analyse &amp; Synthese'!F25="Empfehlung"),'1.4 Analyse &amp; Synthese'!I25&amp;CHAR(13)&amp;"("&amp;'(Codierung)'!$C$2&amp;" - "&amp;'1.4 Analyse &amp; Synthese'!C25&amp;")","")</f>
        <v/>
      </c>
      <c r="Y24" s="277" t="str">
        <f t="array" ref="Y24">_xlfn.IFNA(INDEX($X$6:$X$66,MATCH(0,COUNTIF($Y$4:Y23,$X$6:$X$66),0),1),"")</f>
        <v/>
      </c>
      <c r="Z24" s="277" t="str">
        <f>IF(AND('1.4 Analyse &amp; Synthese'!T25=1,'1.4 Analyse &amp; Synthese'!F25="Methode"),'1.4 Analyse &amp; Synthese'!I25&amp;CHAR(13)&amp;"("&amp;'(Codierung)'!$C$3&amp;" - "&amp;'1.4 Analyse &amp; Synthese'!C25&amp;")","")</f>
        <v/>
      </c>
      <c r="AA24" s="277" t="str">
        <f t="array" ref="AA24">_xlfn.IFNA(INDEX($Z$6:$Z$66,MATCH(0,COUNTIF($AA$4:AA23,$Z$6:$Z$66),0),1),"")</f>
        <v/>
      </c>
      <c r="AB24" s="277" t="str">
        <f>IF(AND('1.4 Analyse &amp; Synthese'!T25=1,'1.4 Analyse &amp; Synthese'!F25="Werkzeug"),'1.4 Analyse &amp; Synthese'!I25&amp;CHAR(13)&amp;"("&amp;'(Codierung)'!$C$4&amp;" - "&amp;'1.4 Analyse &amp; Synthese'!C25&amp;")","")</f>
        <v/>
      </c>
      <c r="AC24" s="277" t="str">
        <f t="array" ref="AC24">_xlfn.IFNA(INDEX($AB$6:$AB$66,MATCH(0,COUNTIF($AC$4:AC23,$AB$6:$AB$66),0),1),"")</f>
        <v/>
      </c>
      <c r="AE24" s="277" t="str">
        <f>IF(AND('1.4 Analyse &amp; Synthese'!U25=1,'1.4 Analyse &amp; Synthese'!F25="Empfehlung"),'1.4 Analyse &amp; Synthese'!I25&amp;CHAR(13)&amp;"("&amp;'(Codierung)'!$C$2&amp;" - "&amp;'1.4 Analyse &amp; Synthese'!C25&amp;")","")</f>
        <v/>
      </c>
      <c r="AF24" s="277" t="str">
        <f t="array" ref="AF24">_xlfn.IFNA(INDEX($AE$6:$AE$66,MATCH(0,COUNTIF($AF$4:AF23,$AE$6:$AE$66),0),1),"")</f>
        <v/>
      </c>
      <c r="AG24" s="277" t="str">
        <f>IF(AND('1.4 Analyse &amp; Synthese'!U25=1,'1.4 Analyse &amp; Synthese'!F25="Methode"),'1.4 Analyse &amp; Synthese'!I25&amp;CHAR(13)&amp;"("&amp;'(Codierung)'!$C$3&amp;" - "&amp;'1.4 Analyse &amp; Synthese'!C25&amp;")","")</f>
        <v/>
      </c>
      <c r="AH24" s="277" t="str">
        <f t="array" ref="AH24">_xlfn.IFNA(INDEX($AG$6:$AG$66,MATCH(0,COUNTIF($AH$4:AH23,$AG$6:$AG$66),0),1),"")</f>
        <v/>
      </c>
      <c r="AI24" s="277" t="str">
        <f>IF(AND('1.4 Analyse &amp; Synthese'!U25=1,'1.4 Analyse &amp; Synthese'!F25="Werkzeug"),'1.4 Analyse &amp; Synthese'!I25&amp;CHAR(13)&amp;"("&amp;'(Codierung)'!$C$4&amp;" - "&amp;'1.4 Analyse &amp; Synthese'!C25&amp;")","")</f>
        <v/>
      </c>
      <c r="AJ24" s="277" t="str">
        <f t="array" ref="AJ24">_xlfn.IFNA(INDEX($AI$6:$AI$66,MATCH(0,COUNTIF($AJ$4:AJ23,$AI$6:$AI$66),0),1),"")</f>
        <v/>
      </c>
      <c r="AL24" s="277" t="str">
        <f>IF(AND('1.4 Analyse &amp; Synthese'!V25=1,'1.4 Analyse &amp; Synthese'!F25="Empfehlung"),'1.4 Analyse &amp; Synthese'!I25&amp;CHAR(13)&amp;"("&amp;'(Codierung)'!$C$2&amp;" - "&amp;'1.4 Analyse &amp; Synthese'!C25&amp;")","")</f>
        <v/>
      </c>
      <c r="AM24" s="277" t="str">
        <f t="array" ref="AM24">_xlfn.IFNA(INDEX($AL$6:$AL$66,MATCH(0,COUNTIF($AM$4:AM23,$AL$6:$AL$66),0),1),"")</f>
        <v/>
      </c>
      <c r="AN24" s="277" t="str">
        <f>IF(AND('1.4 Analyse &amp; Synthese'!V25=1,'1.4 Analyse &amp; Synthese'!F25="Methode"),'1.4 Analyse &amp; Synthese'!I25&amp;CHAR(13)&amp;"("&amp;'(Codierung)'!$C$3&amp;" - "&amp;'1.4 Analyse &amp; Synthese'!C25&amp;")","")</f>
        <v/>
      </c>
      <c r="AO24" s="277" t="str">
        <f t="array" ref="AO24">_xlfn.IFNA(INDEX($AN$6:$AN$66,MATCH(0,COUNTIF($AO$4:AO23,$AN$6:$AN$66),0),1),"")</f>
        <v/>
      </c>
      <c r="AP24" s="277" t="str">
        <f>IF(AND('1.4 Analyse &amp; Synthese'!V25=1,'1.4 Analyse &amp; Synthese'!F25="Werkzeug"),'1.4 Analyse &amp; Synthese'!I25&amp;CHAR(13)&amp;"("&amp;'(Codierung)'!$C$4&amp;" - "&amp;'1.4 Analyse &amp; Synthese'!C25&amp;")","")</f>
        <v/>
      </c>
      <c r="AQ24" s="277" t="str">
        <f t="array" ref="AQ24">_xlfn.IFNA(INDEX($AP$6:$AP$66,MATCH(0,COUNTIF($AQ$4:AQ23,$AP$6:$AP$66),0),1),"")</f>
        <v/>
      </c>
      <c r="AS24" s="277" t="str">
        <f>IF(AND('1.4 Analyse &amp; Synthese'!W25=1,'1.4 Analyse &amp; Synthese'!F25="Empfehlung"),'1.4 Analyse &amp; Synthese'!I25&amp;CHAR(13)&amp;"("&amp;'(Codierung)'!$C$2&amp;" - "&amp;'1.4 Analyse &amp; Synthese'!C25&amp;")","")</f>
        <v/>
      </c>
      <c r="AT24" s="277" t="str">
        <f t="array" ref="AT24">_xlfn.IFNA(INDEX($AS$6:$AS$66,MATCH(0,COUNTIF($AT$4:AT23,$AS$6:$AS$66),0),1),"")</f>
        <v/>
      </c>
      <c r="AU24" s="277" t="str">
        <f>IF(AND('1.4 Analyse &amp; Synthese'!W25=1,'1.4 Analyse &amp; Synthese'!F25="Methode"),'1.4 Analyse &amp; Synthese'!I25&amp;CHAR(13)&amp;"("&amp;'(Codierung)'!$C$3&amp;" - "&amp;'1.4 Analyse &amp; Synthese'!C25&amp;")","")</f>
        <v/>
      </c>
      <c r="AV24" s="277" t="str">
        <f t="array" ref="AV24">_xlfn.IFNA(INDEX($AU$6:$AU$66,MATCH(0,COUNTIF($AV$4:AV23,$AU$6:$AU$66),0),1),"")</f>
        <v/>
      </c>
      <c r="AW24" s="277" t="str">
        <f>IF(AND('1.4 Analyse &amp; Synthese'!W25=1,'1.4 Analyse &amp; Synthese'!F25="Werkzeug"),'1.4 Analyse &amp; Synthese'!I25&amp;CHAR(13)&amp;"("&amp;'(Codierung)'!$C$4&amp;" - "&amp;'1.4 Analyse &amp; Synthese'!C25&amp;")","")</f>
        <v/>
      </c>
      <c r="AX24" s="277" t="str">
        <f t="array" ref="AX24">_xlfn.IFNA(INDEX($AW$6:$AW$66,MATCH(0,COUNTIF($AX$4:AX23,$AW$6:$AW$66),0),1),"")</f>
        <v/>
      </c>
      <c r="AZ24" s="277" t="str">
        <f>IF(AND('1.4 Analyse &amp; Synthese'!X25=1,'1.4 Analyse &amp; Synthese'!F25="Empfehlung"),'1.4 Analyse &amp; Synthese'!I25&amp;CHAR(13)&amp;"("&amp;'(Codierung)'!$C$2&amp;" - "&amp;'1.4 Analyse &amp; Synthese'!C25&amp;")","")</f>
        <v/>
      </c>
      <c r="BA24" s="277" t="str">
        <f t="array" ref="BA24">_xlfn.IFNA(INDEX($AZ$6:$AZ$66,MATCH(0,COUNTIF($BA$4:BA23,$AZ$6:$AZ$66),0),1),"")</f>
        <v/>
      </c>
      <c r="BB24" s="277" t="str">
        <f>IF(AND('1.4 Analyse &amp; Synthese'!X25=1,'1.4 Analyse &amp; Synthese'!F25="Methode"),'1.4 Analyse &amp; Synthese'!I25&amp;CHAR(13)&amp;"("&amp;'(Codierung)'!$C$3&amp;" - "&amp;'1.4 Analyse &amp; Synthese'!C25&amp;")","")</f>
        <v/>
      </c>
      <c r="BC24" s="277" t="str">
        <f t="array" ref="BC24">_xlfn.IFNA(INDEX($BB$6:$BB$66,MATCH(0,COUNTIF($BC$4:BC23,$BB$6:$BB$66),0),1),"")</f>
        <v/>
      </c>
      <c r="BD24" s="277" t="str">
        <f>IF(AND('1.4 Analyse &amp; Synthese'!X25=1,'1.4 Analyse &amp; Synthese'!F25="Werkzeug"),'1.4 Analyse &amp; Synthese'!I25&amp;CHAR(13)&amp;"("&amp;'(Codierung)'!$C$4&amp;" - "&amp;'1.4 Analyse &amp; Synthese'!C25&amp;")","")</f>
        <v/>
      </c>
      <c r="BE24" s="277" t="str">
        <f t="array" ref="BE24">_xlfn.IFNA(INDEX($BD$6:$BD$66,MATCH(0,COUNTIF($BE$4:BE23,$BD$6:$BD$66),0),1),"")</f>
        <v/>
      </c>
      <c r="BG24" s="277" t="str">
        <f>IF(AND('1.4 Analyse &amp; Synthese'!Y25=1,'1.4 Analyse &amp; Synthese'!F25="Empfehlung"),'1.4 Analyse &amp; Synthese'!I25&amp;CHAR(13)&amp;"("&amp;'(Codierung)'!$C$2&amp;" - "&amp;'1.4 Analyse &amp; Synthese'!C25&amp;")","")</f>
        <v/>
      </c>
      <c r="BH24" s="277" t="str">
        <f t="array" ref="BH24">_xlfn.IFNA(INDEX($BG$6:$BG$66,MATCH(0,COUNTIF($BH$4:BH23,$BG$6:$BG$66),0),1),"")</f>
        <v/>
      </c>
      <c r="BI24" s="277" t="str">
        <f>IF(AND('1.4 Analyse &amp; Synthese'!Y25=1,'1.4 Analyse &amp; Synthese'!F25="Methode"),'1.4 Analyse &amp; Synthese'!I25&amp;CHAR(13)&amp;"("&amp;'(Codierung)'!$C$3&amp;" - "&amp;'1.4 Analyse &amp; Synthese'!C25&amp;")","")</f>
        <v/>
      </c>
      <c r="BJ24" s="277" t="str">
        <f t="array" ref="BJ24">_xlfn.IFNA(INDEX($BI$6:$BI$66,MATCH(0,COUNTIF($BJ$4:BJ23,$BI$6:$BI$66),0),1),"")</f>
        <v/>
      </c>
      <c r="BK24" s="277" t="str">
        <f>IF(AND('1.4 Analyse &amp; Synthese'!Y25=1,'1.4 Analyse &amp; Synthese'!F25="Werkzeug"),'1.4 Analyse &amp; Synthese'!I25&amp;CHAR(13)&amp;"("&amp;'(Codierung)'!$C$4&amp;" - "&amp;'1.4 Analyse &amp; Synthese'!C25&amp;")","")</f>
        <v/>
      </c>
      <c r="BL24" s="277" t="str">
        <f t="array" ref="BL24">_xlfn.IFNA(INDEX($BK$6:$BK$66,MATCH(0,COUNTIF($BL$4:BL23,$BK$6:$BK$66),0),1),"")</f>
        <v/>
      </c>
      <c r="BN24" s="277" t="str">
        <f>IF(AND('1.4 Analyse &amp; Synthese'!Z25=1,'1.4 Analyse &amp; Synthese'!F25="Empfehlung"),'1.4 Analyse &amp; Synthese'!I25&amp;CHAR(13)&amp;"("&amp;'(Codierung)'!$C$2&amp;" - "&amp;'1.4 Analyse &amp; Synthese'!C25&amp;")","")</f>
        <v>Cloud Service Broker_x000D_(Empfehlung - Jrad)</v>
      </c>
      <c r="BO24" s="277" t="str">
        <f t="array" ref="BO24">_xlfn.IFNA(INDEX($BN$6:$BN$66,MATCH(0,COUNTIF($BO$4:BO23,$BN$6:$BN$66),0),1),"")</f>
        <v/>
      </c>
      <c r="BP24" s="277" t="str">
        <f>IF(AND('1.4 Analyse &amp; Synthese'!Z25=1,'1.4 Analyse &amp; Synthese'!F25="Methode"),'1.4 Analyse &amp; Synthese'!I25&amp;CHAR(13)&amp;"("&amp;'(Codierung)'!$C$3&amp;" - "&amp;'1.4 Analyse &amp; Synthese'!C25&amp;")","")</f>
        <v/>
      </c>
      <c r="BQ24" s="277" t="str">
        <f t="array" ref="BQ24">_xlfn.IFNA(INDEX($BP$6:$BP$66,MATCH(0,COUNTIF($BQ$4:BQ23,$BP$6:$BP$66),0),1),"")</f>
        <v/>
      </c>
      <c r="BR24" s="277" t="str">
        <f>IF(AND('1.4 Analyse &amp; Synthese'!Z25=1,'1.4 Analyse &amp; Synthese'!F25="Werkzeug"),'1.4 Analyse &amp; Synthese'!I25&amp;CHAR(13)&amp;"("&amp;'(Codierung)'!$C$4&amp;" - "&amp;'1.4 Analyse &amp; Synthese'!C25&amp;")","")</f>
        <v/>
      </c>
      <c r="BS24" s="277" t="str">
        <f t="array" ref="BS24">_xlfn.IFNA(INDEX($BR$6:$BR$66,MATCH(0,COUNTIF($BS$4:BS23,$BR$6:$BR$66),0),1),"")</f>
        <v/>
      </c>
      <c r="BU24" s="277" t="str">
        <f>IF(AND('1.4 Analyse &amp; Synthese'!AA25=1,'1.4 Analyse &amp; Synthese'!F25="Empfehlung"),'1.4 Analyse &amp; Synthese'!I25&amp;CHAR(13)&amp;"("&amp;'(Codierung)'!$C$2&amp;" - "&amp;'1.4 Analyse &amp; Synthese'!C25&amp;")","")</f>
        <v/>
      </c>
      <c r="BV24" s="277" t="str">
        <f t="array" ref="BV24">_xlfn.IFNA(INDEX($BU$6:$BU$66,MATCH(0,COUNTIF($BV$4:BV23,$BU$6:$BU$66),0),1),"")</f>
        <v/>
      </c>
      <c r="BW24" s="277" t="str">
        <f>IF(AND('1.4 Analyse &amp; Synthese'!AA25=1,'1.4 Analyse &amp; Synthese'!F25="Methode"),'1.4 Analyse &amp; Synthese'!I25&amp;CHAR(13)&amp;"("&amp;'(Codierung)'!$C$3&amp;" - "&amp;'1.4 Analyse &amp; Synthese'!C25&amp;")","")</f>
        <v/>
      </c>
      <c r="BX24" s="277" t="str">
        <f t="array" ref="BX24">_xlfn.IFNA(INDEX($BW$6:$BW$66,MATCH(0,COUNTIF($BX$4:BX23,$BW$6:$BW$66),0),1),"")</f>
        <v/>
      </c>
      <c r="BY24" s="277" t="str">
        <f>IF(AND('1.4 Analyse &amp; Synthese'!AA25=1,'1.4 Analyse &amp; Synthese'!F25="Werkzeug"),'1.4 Analyse &amp; Synthese'!I25&amp;CHAR(13)&amp;"("&amp;'(Codierung)'!$C$4&amp;" - "&amp;'1.4 Analyse &amp; Synthese'!C25&amp;")","")</f>
        <v/>
      </c>
      <c r="BZ24" s="277" t="str">
        <f t="array" ref="BZ24">_xlfn.IFNA(INDEX($BY$6:$BY$66,MATCH(0,COUNTIF($BZ$4:BZ23,$BY$6:$BY$66),0),1),"")</f>
        <v/>
      </c>
      <c r="CB24" s="277" t="str">
        <f>IF(AND('1.4 Analyse &amp; Synthese'!AB25=1,'1.4 Analyse &amp; Synthese'!F25="Empfehlung"),'1.4 Analyse &amp; Synthese'!I25&amp;CHAR(13)&amp;"("&amp;'(Codierung)'!$C$2&amp;" - "&amp;'1.4 Analyse &amp; Synthese'!C25&amp;")","")</f>
        <v/>
      </c>
      <c r="CC24" s="277" t="str">
        <f t="array" ref="CC24">_xlfn.IFNA(INDEX($CB$6:$CB$66,MATCH(0,COUNTIF($CC$4:CC23,$CB$6:$CB$66),0),1),"")</f>
        <v/>
      </c>
      <c r="CD24" s="277" t="str">
        <f>IF(AND('1.4 Analyse &amp; Synthese'!AB25=1,'1.4 Analyse &amp; Synthese'!F25="Methode"),'1.4 Analyse &amp; Synthese'!I25&amp;CHAR(13)&amp;"("&amp;'(Codierung)'!$C$3&amp;" - "&amp;'1.4 Analyse &amp; Synthese'!C25&amp;")","")</f>
        <v/>
      </c>
      <c r="CE24" s="277" t="str">
        <f t="array" ref="CE24">_xlfn.IFNA(INDEX($CD$6:$CD$66,MATCH(0,COUNTIF($CE$4:CE23,$CD$6:$CD$66),0),1),"")</f>
        <v/>
      </c>
      <c r="CF24" s="277" t="str">
        <f>IF(AND('1.4 Analyse &amp; Synthese'!AB25=1,'1.4 Analyse &amp; Synthese'!F25="Werkzeug"),'1.4 Analyse &amp; Synthese'!I25&amp;CHAR(13)&amp;"("&amp;'(Codierung)'!$C$4&amp;" - "&amp;'1.4 Analyse &amp; Synthese'!C25&amp;")","")</f>
        <v/>
      </c>
      <c r="CG24" s="277" t="str">
        <f t="array" ref="CG24">_xlfn.IFNA(INDEX($CF$6:$CF$66,MATCH(0,COUNTIF($CG$4:CG23,$CF$6:$CF$66),0),1),"")</f>
        <v/>
      </c>
      <c r="CI24" s="277" t="str">
        <f>IF(AND('1.4 Analyse &amp; Synthese'!AC25=1,'1.4 Analyse &amp; Synthese'!F25="Empfehlung"),'1.4 Analyse &amp; Synthese'!I25&amp;CHAR(13)&amp;"("&amp;'(Codierung)'!$C$2&amp;" - "&amp;'1.4 Analyse &amp; Synthese'!C25&amp;")","")</f>
        <v/>
      </c>
      <c r="CJ24" s="277" t="str">
        <f t="array" ref="CJ24">_xlfn.IFNA(INDEX($CI$6:$CI$66,MATCH(0,COUNTIF($CJ$4:CJ23,$CI$6:$CI$66),0),1),"")</f>
        <v/>
      </c>
      <c r="CK24" s="277" t="str">
        <f>IF(AND('1.4 Analyse &amp; Synthese'!AC25=1,'1.4 Analyse &amp; Synthese'!F25="Methode"),'1.4 Analyse &amp; Synthese'!I25&amp;CHAR(13)&amp;"("&amp;'(Codierung)'!$C$3&amp;" - "&amp;'1.4 Analyse &amp; Synthese'!C25&amp;")","")</f>
        <v/>
      </c>
      <c r="CL24" s="277" t="str">
        <f t="array" ref="CL24">_xlfn.IFNA(INDEX($CK$6:$CK$66,MATCH(0,COUNTIF($CL$4:CL23,$CK$6:$CK$66),0),1),"")</f>
        <v/>
      </c>
      <c r="CM24" s="277" t="str">
        <f>IF(AND('1.4 Analyse &amp; Synthese'!AC25=1,'1.4 Analyse &amp; Synthese'!F25="Werkzeug"),'1.4 Analyse &amp; Synthese'!I25&amp;CHAR(13)&amp;"("&amp;'(Codierung)'!$C$4&amp;" - "&amp;'1.4 Analyse &amp; Synthese'!C25&amp;")","")</f>
        <v/>
      </c>
      <c r="CN24" s="277" t="str">
        <f t="array" ref="CN24">_xlfn.IFNA(INDEX($CM$6:$CM$66,MATCH(0,COUNTIF($CN$4:CN23,$CM$6:$CM$66),0),1),"")</f>
        <v/>
      </c>
      <c r="CP24" s="277" t="str">
        <f>IF(AND('1.4 Analyse &amp; Synthese'!AD25=1,'1.4 Analyse &amp; Synthese'!F25="Empfehlung"),'1.4 Analyse &amp; Synthese'!I25&amp;CHAR(13)&amp;"("&amp;'(Codierung)'!$C$2&amp;" - "&amp;'1.4 Analyse &amp; Synthese'!C25&amp;")","")</f>
        <v/>
      </c>
      <c r="CQ24" s="277" t="str">
        <f t="array" ref="CQ24">_xlfn.IFNA(INDEX($CP$6:$CP$66,MATCH(0,COUNTIF($CQ$4:CQ23,$CP$6:$CP$66),0),1),"")</f>
        <v/>
      </c>
      <c r="CR24" s="277" t="str">
        <f>IF(AND('1.4 Analyse &amp; Synthese'!AD25=1,'1.4 Analyse &amp; Synthese'!F25="Methode"),'1.4 Analyse &amp; Synthese'!I25&amp;CHAR(13)&amp;"("&amp;'(Codierung)'!$C$3&amp;" - "&amp;'1.4 Analyse &amp; Synthese'!C25&amp;")","")</f>
        <v/>
      </c>
      <c r="CS24" s="277" t="str">
        <f t="array" ref="CS24">_xlfn.IFNA(INDEX($CR$6:$CR$66,MATCH(0,COUNTIF($CS$4:CS23,$CR$6:$CR$66),0),1),"")</f>
        <v/>
      </c>
      <c r="CT24" s="277" t="str">
        <f>IF(AND('1.4 Analyse &amp; Synthese'!AD25=1,'1.4 Analyse &amp; Synthese'!F25="Werkzeug"),'1.4 Analyse &amp; Synthese'!I25&amp;CHAR(13)&amp;"("&amp;'(Codierung)'!$C$4&amp;" - "&amp;'1.4 Analyse &amp; Synthese'!C25&amp;")","")</f>
        <v/>
      </c>
      <c r="CU24" s="277" t="str">
        <f t="array" ref="CU24">_xlfn.IFNA(INDEX($CT$6:$CT$66,MATCH(0,COUNTIF($CU$4:CU23,$CT$6:$CT$66),0),1),"")</f>
        <v/>
      </c>
      <c r="CW24" s="277" t="str">
        <f>IF(AND('1.4 Analyse &amp; Synthese'!AE25=1,'1.4 Analyse &amp; Synthese'!F25="Empfehlung"),'1.4 Analyse &amp; Synthese'!I25&amp;CHAR(13)&amp;"("&amp;'(Codierung)'!$C$2&amp;" - "&amp;'1.4 Analyse &amp; Synthese'!C25&amp;")","")</f>
        <v/>
      </c>
      <c r="CX24" s="277" t="str">
        <f t="array" ref="CX24">_xlfn.IFNA(INDEX($CW$6:$CW$66,MATCH(0,COUNTIF($CX$4:CX23,$CW$6:$CW$66),0),1),"")</f>
        <v/>
      </c>
      <c r="CY24" s="277" t="str">
        <f>IF(AND('1.4 Analyse &amp; Synthese'!AE25=1,'1.4 Analyse &amp; Synthese'!F25="Methode"),'1.4 Analyse &amp; Synthese'!I25&amp;CHAR(13)&amp;"("&amp;'(Codierung)'!$C$3&amp;" - "&amp;'1.4 Analyse &amp; Synthese'!C25&amp;")","")</f>
        <v/>
      </c>
      <c r="CZ24" s="277" t="str">
        <f t="array" ref="CZ24">_xlfn.IFNA(INDEX($CY$6:$CY$66,MATCH(0,COUNTIF($CZ$4:CZ23,$CY$6:$CY$66),0),1),"")</f>
        <v/>
      </c>
      <c r="DA24" s="277" t="str">
        <f>IF(AND('1.4 Analyse &amp; Synthese'!AE25=1,'1.4 Analyse &amp; Synthese'!F25="Werkzeug"),'1.4 Analyse &amp; Synthese'!I25&amp;CHAR(13)&amp;"("&amp;'(Codierung)'!$C$4&amp;" - "&amp;'1.4 Analyse &amp; Synthese'!C25&amp;")","")</f>
        <v/>
      </c>
      <c r="DB24" s="277" t="str">
        <f t="array" ref="DB24">_xlfn.IFNA(INDEX($DA$6:$DA$66,MATCH(0,COUNTIF($DB$4:DB23,$DA$6:$DA$66),0),1),"")</f>
        <v/>
      </c>
      <c r="DD24" s="277" t="str">
        <f>IF(AND('1.4 Analyse &amp; Synthese'!AF25=1,'1.4 Analyse &amp; Synthese'!F25="Empfehlung"),'1.4 Analyse &amp; Synthese'!I25&amp;CHAR(13)&amp;"("&amp;'(Codierung)'!$C$2&amp;" - "&amp;'1.4 Analyse &amp; Synthese'!C25&amp;")","")</f>
        <v/>
      </c>
      <c r="DE24" s="277" t="str">
        <f t="array" ref="DE24">_xlfn.IFNA(INDEX($DD$6:$DD$66,MATCH(0,COUNTIF($DE$4:DE23,$DD$6:$DD$66),0),1),"")</f>
        <v/>
      </c>
      <c r="DF24" s="277" t="str">
        <f>IF(AND('1.4 Analyse &amp; Synthese'!AF25=1,'1.4 Analyse &amp; Synthese'!F25="Methode"),'1.4 Analyse &amp; Synthese'!I25&amp;CHAR(13)&amp;"("&amp;'(Codierung)'!$C$3&amp;" - "&amp;'1.4 Analyse &amp; Synthese'!C25&amp;")","")</f>
        <v/>
      </c>
      <c r="DG24" s="277" t="str">
        <f t="array" ref="DG24">_xlfn.IFNA(INDEX($DF$6:$DF$66,MATCH(0,COUNTIF($DG$4:DG23,$DF$6:$DF$66),0),1),"")</f>
        <v/>
      </c>
      <c r="DH24" s="277" t="str">
        <f>IF(AND('1.4 Analyse &amp; Synthese'!AF25=1,'1.4 Analyse &amp; Synthese'!F25="Werkzeug"),'1.4 Analyse &amp; Synthese'!I25&amp;CHAR(13)&amp;"("&amp;'(Codierung)'!$C$4&amp;" - "&amp;'1.4 Analyse &amp; Synthese'!C25&amp;")","")</f>
        <v/>
      </c>
      <c r="DI24" s="277" t="str">
        <f t="array" ref="DI24">_xlfn.IFNA(INDEX($DH$6:$DH$66,MATCH(0,COUNTIF($DI$4:DI23,$DH$6:$DH$66),0),1),"")</f>
        <v/>
      </c>
      <c r="DK24" s="277" t="str">
        <f>IF(AND('1.4 Analyse &amp; Synthese'!AG25=1,'1.4 Analyse &amp; Synthese'!F25="Empfehlung"),'1.4 Analyse &amp; Synthese'!I25&amp;CHAR(13)&amp;"("&amp;'(Codierung)'!$C$2&amp;" - "&amp;'1.4 Analyse &amp; Synthese'!C25&amp;")","")</f>
        <v>Cloud Service Broker_x000D_(Empfehlung - Jrad)</v>
      </c>
      <c r="DL24" s="277" t="str">
        <f t="array" ref="DL24">_xlfn.IFNA(INDEX($DK$6:$DK$66,MATCH(0,COUNTIF($DL$4:DL23,$DK$6:$DK$66),0),1),"")</f>
        <v/>
      </c>
      <c r="DM24" s="277" t="str">
        <f>IF(AND('1.4 Analyse &amp; Synthese'!AG25=1,'1.4 Analyse &amp; Synthese'!F25="Methode"),'1.4 Analyse &amp; Synthese'!I25&amp;CHAR(13)&amp;"("&amp;'(Codierung)'!$C$3&amp;" - "&amp;'1.4 Analyse &amp; Synthese'!C25&amp;")","")</f>
        <v/>
      </c>
      <c r="DN24" s="277" t="str">
        <f t="array" ref="DN24">_xlfn.IFNA(INDEX($DM$6:$DM$66,MATCH(0,COUNTIF($DN$4:DN23,$DM$6:$DM$66),0),1),"")</f>
        <v/>
      </c>
      <c r="DO24" s="277" t="str">
        <f>IF(AND('1.4 Analyse &amp; Synthese'!AG25=1,'1.4 Analyse &amp; Synthese'!F25="Werkzeug"),'1.4 Analyse &amp; Synthese'!I25&amp;CHAR(13)&amp;"("&amp;'(Codierung)'!$C$4&amp;" - "&amp;'1.4 Analyse &amp; Synthese'!C25&amp;")","")</f>
        <v/>
      </c>
      <c r="DP24" s="277" t="str">
        <f t="array" ref="DP24">_xlfn.IFNA(INDEX($DO$6:$DO$66,MATCH(0,COUNTIF($DP$4:DP23,$DO$6:$DO$66),0),1),"")</f>
        <v/>
      </c>
      <c r="DR24" s="277" t="str">
        <f>IF(AND('1.4 Analyse &amp; Synthese'!AH25=1,'1.4 Analyse &amp; Synthese'!F25="Empfehlung"),'1.4 Analyse &amp; Synthese'!I25&amp;CHAR(13)&amp;"("&amp;'(Codierung)'!$C$2&amp;" - "&amp;'1.4 Analyse &amp; Synthese'!C25&amp;")","")</f>
        <v/>
      </c>
      <c r="DS24" s="277" t="str">
        <f t="array" ref="DS24">_xlfn.IFNA(INDEX($DR$6:$DR$66,MATCH(0,COUNTIF($DS$4:DS23,$DR$6:$DR$66),0),1),"")</f>
        <v/>
      </c>
      <c r="DT24" s="277" t="str">
        <f>IF(AND('1.4 Analyse &amp; Synthese'!AH25=1,'1.4 Analyse &amp; Synthese'!F25="Methode"),'1.4 Analyse &amp; Synthese'!I25&amp;CHAR(13)&amp;"("&amp;'(Codierung)'!$C$3&amp;" - "&amp;'1.4 Analyse &amp; Synthese'!C25&amp;")","")</f>
        <v/>
      </c>
      <c r="DU24" s="277" t="str">
        <f t="array" ref="DU24">_xlfn.IFNA(INDEX($DT$6:$DT$66,MATCH(0,COUNTIF($DU$4:DU23,$DT$6:$DT$66),0),1),"")</f>
        <v/>
      </c>
      <c r="DV24" s="277" t="str">
        <f>IF(AND('1.4 Analyse &amp; Synthese'!AH25=1,'1.4 Analyse &amp; Synthese'!F25="Werkzeug"),'1.4 Analyse &amp; Synthese'!I25&amp;CHAR(13)&amp;"("&amp;'(Codierung)'!$C$4&amp;" - "&amp;'1.4 Analyse &amp; Synthese'!C25&amp;")","")</f>
        <v/>
      </c>
      <c r="DW24" s="277" t="str">
        <f t="array" ref="DW24">_xlfn.IFNA(INDEX($DV$6:$DV$66,MATCH(0,COUNTIF($DW$4:DW23,$DV$6:$DV$66),0),1),"")</f>
        <v/>
      </c>
      <c r="DY24" s="277" t="str">
        <f>IF(AND('1.4 Analyse &amp; Synthese'!AI25=1,'1.4 Analyse &amp; Synthese'!F25="Empfehlung"),'1.4 Analyse &amp; Synthese'!I25&amp;CHAR(13)&amp;"("&amp;'(Codierung)'!$C$2&amp;" - "&amp;'1.4 Analyse &amp; Synthese'!C25&amp;")","")</f>
        <v>Cloud Service Broker_x000D_(Empfehlung - Jrad)</v>
      </c>
      <c r="DZ24" s="277" t="str">
        <f t="array" ref="DZ24">_xlfn.IFNA(INDEX($DY$6:$DY$66,MATCH(0,COUNTIF($DZ$4:DZ23,$DY$6:$DY$66),0),1),"")</f>
        <v/>
      </c>
      <c r="EA24" s="277" t="str">
        <f>IF(AND('1.4 Analyse &amp; Synthese'!AI25=1,'1.4 Analyse &amp; Synthese'!F25="Methode"),'1.4 Analyse &amp; Synthese'!I25&amp;CHAR(13)&amp;"("&amp;'(Codierung)'!$C$3&amp;" - "&amp;'1.4 Analyse &amp; Synthese'!C25&amp;")","")</f>
        <v/>
      </c>
      <c r="EB24" s="277" t="str">
        <f t="array" ref="EB24">_xlfn.IFNA(INDEX($EA$6:$EA$66,MATCH(0,COUNTIF($EB$4:EB23,$EA$6:$EA$66),0),1),"")</f>
        <v/>
      </c>
      <c r="EC24" s="277" t="str">
        <f>IF(AND('1.4 Analyse &amp; Synthese'!AI25=1,'1.4 Analyse &amp; Synthese'!F25="Werkzeug"),'1.4 Analyse &amp; Synthese'!I25&amp;CHAR(13)&amp;"("&amp;'(Codierung)'!$C$4&amp;" - "&amp;'1.4 Analyse &amp; Synthese'!C25&amp;")","")</f>
        <v/>
      </c>
      <c r="ED24" s="277" t="str">
        <f t="array" ref="ED24">_xlfn.IFNA(INDEX($EC$6:$EC$66,MATCH(0,COUNTIF($ED$4:ED23,$EC$6:$EC$66),0),1),"")</f>
        <v/>
      </c>
      <c r="EF24" s="277" t="str">
        <f>IF(AND('1.4 Analyse &amp; Synthese'!AJ25=1,'1.4 Analyse &amp; Synthese'!F25="Empfehlung"),'1.4 Analyse &amp; Synthese'!I25&amp;CHAR(13)&amp;"("&amp;'(Codierung)'!$C$2&amp;" - "&amp;'1.4 Analyse &amp; Synthese'!C25&amp;")","")</f>
        <v/>
      </c>
      <c r="EG24" s="277" t="str">
        <f t="array" ref="EG24">_xlfn.IFNA(INDEX($EF$6:$EF$66,MATCH(0,COUNTIF($EG$4:EG23,$EF$6:$EF$66),0),1),"")</f>
        <v/>
      </c>
      <c r="EH24" s="277" t="str">
        <f>IF(AND('1.4 Analyse &amp; Synthese'!AJ25=1,'1.4 Analyse &amp; Synthese'!F25="Methode"),'1.4 Analyse &amp; Synthese'!I25&amp;CHAR(13)&amp;"("&amp;'(Codierung)'!$C$3&amp;" - "&amp;'1.4 Analyse &amp; Synthese'!C25&amp;")","")</f>
        <v/>
      </c>
      <c r="EI24" s="277" t="str">
        <f t="array" ref="EI24">_xlfn.IFNA(INDEX($EH$6:$EH$66,MATCH(0,COUNTIF($EI$4:EI23,$EH$6:$EH$66),0),1),"")</f>
        <v/>
      </c>
      <c r="EJ24" s="277" t="str">
        <f>IF(AND('1.4 Analyse &amp; Synthese'!AJ25=1,'1.4 Analyse &amp; Synthese'!F25="Werkzeug"),'1.4 Analyse &amp; Synthese'!I25&amp;CHAR(13)&amp;"("&amp;'(Codierung)'!$C$4&amp;" - "&amp;'1.4 Analyse &amp; Synthese'!C25&amp;")","")</f>
        <v/>
      </c>
      <c r="EK24" s="277" t="str">
        <f t="array" ref="EK24">_xlfn.IFNA(INDEX($EJ$6:$EJ$66,MATCH(0,COUNTIF($EK$4:EK23,$EJ$6:$EJ$66),0),1),"")</f>
        <v/>
      </c>
      <c r="EN24" s="222" t="str">
        <f t="shared" si="0"/>
        <v/>
      </c>
      <c r="EO24" s="277" t="str">
        <f t="shared" si="1"/>
        <v/>
      </c>
      <c r="EP24" s="277" t="str">
        <f t="shared" si="2"/>
        <v/>
      </c>
      <c r="EQ24" s="277" t="str">
        <f>ZahlenInBereich(Tabelle1[[Empfehlung]:[Werkzeug]],ROW()-5)</f>
        <v/>
      </c>
      <c r="ER24" s="277" t="str">
        <f t="shared" si="3"/>
        <v/>
      </c>
      <c r="ES24" s="277" t="str">
        <f t="shared" si="4"/>
        <v/>
      </c>
      <c r="ET24" s="277" t="str">
        <f t="shared" si="5"/>
        <v/>
      </c>
      <c r="EU24" s="277" t="str">
        <f>ZahlenInBereich(Tabelle1[[Empfehlung2]:[Werkzeug4]],ROW()-5)</f>
        <v/>
      </c>
      <c r="EV24" s="277" t="str">
        <f t="shared" si="6"/>
        <v/>
      </c>
      <c r="EW24" s="277" t="str">
        <f t="shared" si="7"/>
        <v/>
      </c>
      <c r="EX24" s="277" t="str">
        <f t="shared" si="8"/>
        <v/>
      </c>
      <c r="EY24" s="277" t="str">
        <f>ZahlenInBereich(Tabelle1[[Empfehlung6]:[Werkzeug8]],ROW()-5)</f>
        <v/>
      </c>
      <c r="EZ24" s="277" t="str">
        <f t="shared" si="9"/>
        <v/>
      </c>
      <c r="FA24" s="277" t="str">
        <f t="shared" si="10"/>
        <v/>
      </c>
      <c r="FB24" s="277" t="str">
        <f t="shared" si="11"/>
        <v/>
      </c>
      <c r="FC24" s="277" t="str">
        <f>ZahlenInBereich(Tabelle1[[Empfehlung10]:[Werkzeug12]],ROW()-5)</f>
        <v/>
      </c>
      <c r="FD24" s="277" t="str">
        <f t="shared" si="12"/>
        <v/>
      </c>
      <c r="FE24" s="277" t="str">
        <f t="shared" si="13"/>
        <v/>
      </c>
      <c r="FF24" s="277" t="str">
        <f t="shared" si="14"/>
        <v/>
      </c>
      <c r="FG24" s="277" t="str">
        <f>ZahlenInBereich(Tabelle1[[Empfehlung14]:[Werkzeug16]],ROW()-5)</f>
        <v/>
      </c>
      <c r="FH24" s="277" t="str">
        <f t="shared" si="15"/>
        <v/>
      </c>
      <c r="FI24" s="277" t="str">
        <f t="shared" si="16"/>
        <v/>
      </c>
      <c r="FJ24" s="277" t="str">
        <f t="shared" si="17"/>
        <v/>
      </c>
      <c r="FK24" s="277" t="str">
        <f>ZahlenInBereich(Tabelle1[[Empfehlung18]:[Werkzeug20]],ROW()-5)</f>
        <v/>
      </c>
      <c r="FL24" s="277" t="str">
        <f t="shared" si="18"/>
        <v/>
      </c>
      <c r="FM24" s="277" t="str">
        <f t="shared" si="19"/>
        <v/>
      </c>
      <c r="FN24" s="277" t="str">
        <f t="shared" si="20"/>
        <v/>
      </c>
      <c r="FO24" s="277" t="str">
        <f>ZahlenInBereich(Tabelle1[[Empfehlung22]:[Werkzeug24]],ROW()-5)</f>
        <v/>
      </c>
      <c r="FP24" s="277" t="str">
        <f t="shared" si="21"/>
        <v/>
      </c>
      <c r="FQ24" s="277" t="str">
        <f t="shared" si="22"/>
        <v/>
      </c>
      <c r="FR24" s="277" t="str">
        <f t="shared" si="23"/>
        <v/>
      </c>
      <c r="FS24" s="277" t="str">
        <f>ZahlenInBereich(Tabelle1[[Empfehlung26]:[Werkzeug28]],ROW()-5)</f>
        <v/>
      </c>
      <c r="FT24" s="277" t="str">
        <f t="shared" si="24"/>
        <v/>
      </c>
      <c r="FU24" s="277" t="str">
        <f t="shared" si="25"/>
        <v/>
      </c>
      <c r="FV24" s="277" t="str">
        <f t="shared" si="26"/>
        <v/>
      </c>
      <c r="FW24" s="277" t="str">
        <f>ZahlenInBereich(Tabelle1[[Empfehlung30]:[Werkzeug32]],ROW()-5)</f>
        <v/>
      </c>
      <c r="FX24" s="277" t="str">
        <f t="shared" si="27"/>
        <v/>
      </c>
      <c r="FY24" s="277" t="str">
        <f t="shared" si="28"/>
        <v/>
      </c>
      <c r="FZ24" s="277" t="str">
        <f t="shared" si="29"/>
        <v/>
      </c>
      <c r="GA24" s="277" t="str">
        <f>ZahlenInBereich(Tabelle1[[Empfehlung34]:[Werkzeug36]],ROW()-5)</f>
        <v/>
      </c>
      <c r="GB24" s="277" t="str">
        <f t="shared" si="30"/>
        <v/>
      </c>
      <c r="GC24" s="277" t="str">
        <f t="shared" si="31"/>
        <v/>
      </c>
      <c r="GD24" s="277" t="str">
        <f t="shared" si="32"/>
        <v/>
      </c>
      <c r="GE24" s="277" t="str">
        <f>ZahlenInBereich(Tabelle1[[Empfehlung38]:[Werkzeug40]],ROW()-5)</f>
        <v/>
      </c>
      <c r="GF24" s="277" t="str">
        <f t="shared" si="33"/>
        <v/>
      </c>
      <c r="GG24" s="277" t="str">
        <f t="shared" si="34"/>
        <v/>
      </c>
      <c r="GH24" s="277" t="str">
        <f t="shared" si="35"/>
        <v/>
      </c>
      <c r="GI24" s="277" t="str">
        <f>ZahlenInBereich(Tabelle1[[Empfehlung42]:[Werkzeug44]],ROW()-5)</f>
        <v/>
      </c>
      <c r="GJ24" s="277" t="str">
        <f t="shared" si="36"/>
        <v/>
      </c>
      <c r="GK24" s="277" t="str">
        <f t="shared" si="37"/>
        <v/>
      </c>
      <c r="GL24" s="277" t="str">
        <f t="shared" si="38"/>
        <v/>
      </c>
      <c r="GM24" s="277" t="str">
        <f>ZahlenInBereich(Tabelle1[[Empfehlung46]:[Werkzeug48]],ROW()-5)</f>
        <v/>
      </c>
      <c r="GN24" s="277" t="str">
        <f t="shared" si="39"/>
        <v/>
      </c>
      <c r="GO24" s="277" t="str">
        <f t="shared" si="40"/>
        <v/>
      </c>
      <c r="GP24" s="277" t="str">
        <f t="shared" si="41"/>
        <v/>
      </c>
      <c r="GQ24" s="277" t="str">
        <f>ZahlenInBereich(Tabelle1[[Empfehlung50]:[Werkzeug52]],ROW()-5)</f>
        <v/>
      </c>
      <c r="GR24" s="277" t="str">
        <f t="shared" si="42"/>
        <v/>
      </c>
      <c r="GS24" s="277" t="str">
        <f t="shared" si="43"/>
        <v/>
      </c>
      <c r="GT24" s="277" t="str">
        <f t="shared" si="44"/>
        <v/>
      </c>
      <c r="GU24" s="277" t="str">
        <f>ZahlenInBereich(Tabelle1[[Empfehlung54]:[Werkzeug56]],ROW()-5)</f>
        <v/>
      </c>
      <c r="GV24" s="277" t="str">
        <f t="shared" si="45"/>
        <v/>
      </c>
      <c r="GW24" s="277" t="str">
        <f t="shared" si="46"/>
        <v/>
      </c>
      <c r="GX24" s="277" t="str">
        <f t="shared" si="47"/>
        <v/>
      </c>
      <c r="GY24" s="277" t="str">
        <f>ZahlenInBereich(Tabelle1[[Empfehlung58]:[Werkzeug60]],ROW()-5)</f>
        <v/>
      </c>
      <c r="GZ24" s="277" t="str">
        <f t="shared" si="48"/>
        <v/>
      </c>
      <c r="HA24" s="277" t="str">
        <f t="shared" si="49"/>
        <v/>
      </c>
      <c r="HB24" s="277" t="str">
        <f t="shared" si="50"/>
        <v/>
      </c>
      <c r="HC24" s="277" t="str">
        <f>ZahlenInBereich(Tabelle1[[Empfehlung62]:[Werkzeug64]],ROW()-5)</f>
        <v>Open-Source Plattform_x000D_(Werkzeug - Yangui)</v>
      </c>
      <c r="HD24" s="277" t="str">
        <f t="shared" si="51"/>
        <v/>
      </c>
      <c r="HE24" s="277" t="str">
        <f t="shared" si="52"/>
        <v/>
      </c>
      <c r="HF24" s="277" t="str">
        <f t="shared" si="53"/>
        <v/>
      </c>
      <c r="HG24" s="277" t="str">
        <f>ZahlenInBereich(Tabelle1[[Empfehlung66]:[Werkzeug68]],ROW()-5)</f>
        <v/>
      </c>
      <c r="HH24" s="277" t="str">
        <f t="shared" si="54"/>
        <v/>
      </c>
      <c r="HI24" s="277" t="str">
        <f t="shared" si="55"/>
        <v/>
      </c>
      <c r="HJ24" s="277" t="str">
        <f t="shared" si="56"/>
        <v/>
      </c>
      <c r="HK24" s="277" t="str">
        <f>ZahlenInBereich(Tabelle1[[Empfehlung70]:[Werkzeug72]],ROW()-5)</f>
        <v>Open-Source Plattform_x000D_(Werkzeug - Yangui)</v>
      </c>
      <c r="HL24" s="277" t="str">
        <f t="shared" si="57"/>
        <v/>
      </c>
      <c r="HM24" s="277" t="str">
        <f t="shared" si="58"/>
        <v/>
      </c>
      <c r="HN24" s="277" t="str">
        <f t="shared" si="59"/>
        <v/>
      </c>
      <c r="HO24" s="277" t="str">
        <f>ZahlenInBereich(Tabelle1[[Empfehlung74]:[Werkzeug76]],ROW()-5)</f>
        <v/>
      </c>
    </row>
    <row r="25" spans="2:223" ht="32" x14ac:dyDescent="0.2">
      <c r="B25" s="134">
        <f>'1.4 Analyse &amp; Synthese'!B26</f>
        <v>20</v>
      </c>
      <c r="C25" s="277" t="str">
        <f>IF(AND('1.4 Analyse &amp; Synthese'!Q26=1,'1.4 Analyse &amp; Synthese'!F26="Empfehlung"),'1.4 Analyse &amp; Synthese'!I26&amp;CHAR(13)&amp;"("&amp;'(Codierung)'!$C$2&amp;" - "&amp;'1.4 Analyse &amp; Synthese'!C26&amp;")","")</f>
        <v/>
      </c>
      <c r="D25" s="222" t="str">
        <f t="array" ref="D25">_xlfn.IFNA(INDEX($C$6:$C$66,MATCH(0,COUNTIF($D$4:D24,$C$6:$C$66),0),1),"")</f>
        <v/>
      </c>
      <c r="E25" s="277" t="str">
        <f>IF(AND('1.4 Analyse &amp; Synthese'!Q26=1,'1.4 Analyse &amp; Synthese'!F26="Methode"),'1.4 Analyse &amp; Synthese'!I26&amp;CHAR(13)&amp;"("&amp;'(Codierung)'!$C$3&amp;" - "&amp;'1.4 Analyse &amp; Synthese'!C26&amp;")","")</f>
        <v/>
      </c>
      <c r="F25" s="277" t="str">
        <f t="array" ref="F25">_xlfn.IFNA(INDEX($E$6:$E$66,MATCH(0,COUNTIF($F$4:F24,$E$6:$E$66),0),1),"")</f>
        <v/>
      </c>
      <c r="G25" s="277" t="str">
        <f>IF(AND('1.4 Analyse &amp; Synthese'!Q26=1,'1.4 Analyse &amp; Synthese'!F26="Werkzeug"),'1.4 Analyse &amp; Synthese'!I26&amp;CHAR(13)&amp;"("&amp;'(Codierung)'!$C$4&amp;" - "&amp;'1.4 Analyse &amp; Synthese'!C26&amp;")","")</f>
        <v/>
      </c>
      <c r="H25" s="277" t="str">
        <f t="array" ref="H25">_xlfn.IFNA(INDEX($G$6:$G$66,MATCH(0,COUNTIF($H$4:H24,$G$6:$G$66),0),1),"")</f>
        <v/>
      </c>
      <c r="J25" s="277" t="str">
        <f>IF(AND('1.4 Analyse &amp; Synthese'!R26=1,'1.4 Analyse &amp; Synthese'!F26="Empfehlung"),'1.4 Analyse &amp; Synthese'!I26&amp;CHAR(13)&amp;"("&amp;'(Codierung)'!$C$2&amp;" - "&amp;'1.4 Analyse &amp; Synthese'!C26&amp;")","")</f>
        <v/>
      </c>
      <c r="K25" s="277" t="str">
        <f t="array" ref="K25">_xlfn.IFNA(INDEX($J$6:$J$66,MATCH(0,COUNTIF($K$4:K24,$J$6:$J$66),0),1),"")</f>
        <v/>
      </c>
      <c r="L25" s="277" t="str">
        <f>IF(AND('1.4 Analyse &amp; Synthese'!R26=1,'1.4 Analyse &amp; Synthese'!F26="Methode"),'1.4 Analyse &amp; Synthese'!I26&amp;CHAR(13)&amp;"("&amp;'(Codierung)'!$C$3&amp;" - "&amp;'1.4 Analyse &amp; Synthese'!C26&amp;")","")</f>
        <v/>
      </c>
      <c r="M25" s="277" t="str">
        <f t="array" ref="M25">_xlfn.IFNA(INDEX($L$6:$L$66,MATCH(0,COUNTIF($M$4:M24,$L$6:$L$66),0),1),"")</f>
        <v/>
      </c>
      <c r="N25" s="277" t="str">
        <f>IF(AND('1.4 Analyse &amp; Synthese'!R26=1,'1.4 Analyse &amp; Synthese'!F26="Werkzeug"),'1.4 Analyse &amp; Synthese'!I26&amp;CHAR(13)&amp;"("&amp;'(Codierung)'!$C$4&amp;" - "&amp;'1.4 Analyse &amp; Synthese'!C26&amp;")","")</f>
        <v/>
      </c>
      <c r="O25" s="277" t="str">
        <f t="array" ref="O25">_xlfn.IFNA(INDEX($N$6:$N$66,MATCH(0,COUNTIF($O$4:O24,$N$6:$N$66),0),1),"")</f>
        <v/>
      </c>
      <c r="Q25" s="277" t="str">
        <f>IF(AND('1.4 Analyse &amp; Synthese'!S26=1,'1.4 Analyse &amp; Synthese'!F26="Empfehlung"),'1.4 Analyse &amp; Synthese'!I26&amp;CHAR(13)&amp;"("&amp;'(Codierung)'!$C$2&amp;" - "&amp;'1.4 Analyse &amp; Synthese'!C26&amp;")","")</f>
        <v>Rechtliche Rahmenbedingung_x000D_(Empfehlung - Kafeza )</v>
      </c>
      <c r="R25" s="277" t="str">
        <f t="array" ref="R25">_xlfn.IFNA(INDEX($Q$6:$Q$66,MATCH(0,COUNTIF($R$4:R24,$Q$6:$Q$66),0),1),"")</f>
        <v/>
      </c>
      <c r="S25" s="277" t="str">
        <f>IF(AND('1.4 Analyse &amp; Synthese'!S26=1,'1.4 Analyse &amp; Synthese'!F26="Methode"),'1.4 Analyse &amp; Synthese'!I26&amp;CHAR(13)&amp;"("&amp;'(Codierung)'!$C$3&amp;" - "&amp;'1.4 Analyse &amp; Synthese'!C26&amp;")","")</f>
        <v/>
      </c>
      <c r="T25" s="277" t="str">
        <f t="array" ref="T25">_xlfn.IFNA(INDEX($S$6:$S$66,MATCH(0,COUNTIF($T$4:T24,$S$6:$S$66),0),1),"")</f>
        <v/>
      </c>
      <c r="U25" s="277" t="str">
        <f>IF(AND('1.4 Analyse &amp; Synthese'!S26=1,'1.4 Analyse &amp; Synthese'!F26="Werkzeug"),'1.4 Analyse &amp; Synthese'!I26&amp;CHAR(13)&amp;"("&amp;'(Codierung)'!$C$4&amp;" - "&amp;'1.4 Analyse &amp; Synthese'!C26&amp;")","")</f>
        <v/>
      </c>
      <c r="V25" s="277" t="str">
        <f t="array" ref="V25">_xlfn.IFNA(INDEX($U$6:$U$66,MATCH(0,COUNTIF($V$4:V24,$U$6:$U$66),0),1),"")</f>
        <v/>
      </c>
      <c r="X25" s="277" t="str">
        <f>IF(AND('1.4 Analyse &amp; Synthese'!T26=1,'1.4 Analyse &amp; Synthese'!F26="Empfehlung"),'1.4 Analyse &amp; Synthese'!I26&amp;CHAR(13)&amp;"("&amp;'(Codierung)'!$C$2&amp;" - "&amp;'1.4 Analyse &amp; Synthese'!C26&amp;")","")</f>
        <v/>
      </c>
      <c r="Y25" s="277" t="str">
        <f t="array" ref="Y25">_xlfn.IFNA(INDEX($X$6:$X$66,MATCH(0,COUNTIF($Y$4:Y24,$X$6:$X$66),0),1),"")</f>
        <v/>
      </c>
      <c r="Z25" s="277" t="str">
        <f>IF(AND('1.4 Analyse &amp; Synthese'!T26=1,'1.4 Analyse &amp; Synthese'!F26="Methode"),'1.4 Analyse &amp; Synthese'!I26&amp;CHAR(13)&amp;"("&amp;'(Codierung)'!$C$3&amp;" - "&amp;'1.4 Analyse &amp; Synthese'!C26&amp;")","")</f>
        <v/>
      </c>
      <c r="AA25" s="277" t="str">
        <f t="array" ref="AA25">_xlfn.IFNA(INDEX($Z$6:$Z$66,MATCH(0,COUNTIF($AA$4:AA24,$Z$6:$Z$66),0),1),"")</f>
        <v/>
      </c>
      <c r="AB25" s="277" t="str">
        <f>IF(AND('1.4 Analyse &amp; Synthese'!T26=1,'1.4 Analyse &amp; Synthese'!F26="Werkzeug"),'1.4 Analyse &amp; Synthese'!I26&amp;CHAR(13)&amp;"("&amp;'(Codierung)'!$C$4&amp;" - "&amp;'1.4 Analyse &amp; Synthese'!C26&amp;")","")</f>
        <v/>
      </c>
      <c r="AC25" s="277" t="str">
        <f t="array" ref="AC25">_xlfn.IFNA(INDEX($AB$6:$AB$66,MATCH(0,COUNTIF($AC$4:AC24,$AB$6:$AB$66),0),1),"")</f>
        <v/>
      </c>
      <c r="AE25" s="277" t="str">
        <f>IF(AND('1.4 Analyse &amp; Synthese'!U26=1,'1.4 Analyse &amp; Synthese'!F26="Empfehlung"),'1.4 Analyse &amp; Synthese'!I26&amp;CHAR(13)&amp;"("&amp;'(Codierung)'!$C$2&amp;" - "&amp;'1.4 Analyse &amp; Synthese'!C26&amp;")","")</f>
        <v/>
      </c>
      <c r="AF25" s="277" t="str">
        <f t="array" ref="AF25">_xlfn.IFNA(INDEX($AE$6:$AE$66,MATCH(0,COUNTIF($AF$4:AF24,$AE$6:$AE$66),0),1),"")</f>
        <v/>
      </c>
      <c r="AG25" s="277" t="str">
        <f>IF(AND('1.4 Analyse &amp; Synthese'!U26=1,'1.4 Analyse &amp; Synthese'!F26="Methode"),'1.4 Analyse &amp; Synthese'!I26&amp;CHAR(13)&amp;"("&amp;'(Codierung)'!$C$3&amp;" - "&amp;'1.4 Analyse &amp; Synthese'!C26&amp;")","")</f>
        <v/>
      </c>
      <c r="AH25" s="277" t="str">
        <f t="array" ref="AH25">_xlfn.IFNA(INDEX($AG$6:$AG$66,MATCH(0,COUNTIF($AH$4:AH24,$AG$6:$AG$66),0),1),"")</f>
        <v/>
      </c>
      <c r="AI25" s="277" t="str">
        <f>IF(AND('1.4 Analyse &amp; Synthese'!U26=1,'1.4 Analyse &amp; Synthese'!F26="Werkzeug"),'1.4 Analyse &amp; Synthese'!I26&amp;CHAR(13)&amp;"("&amp;'(Codierung)'!$C$4&amp;" - "&amp;'1.4 Analyse &amp; Synthese'!C26&amp;")","")</f>
        <v/>
      </c>
      <c r="AJ25" s="277" t="str">
        <f t="array" ref="AJ25">_xlfn.IFNA(INDEX($AI$6:$AI$66,MATCH(0,COUNTIF($AJ$4:AJ24,$AI$6:$AI$66),0),1),"")</f>
        <v/>
      </c>
      <c r="AL25" s="277" t="str">
        <f>IF(AND('1.4 Analyse &amp; Synthese'!V26=1,'1.4 Analyse &amp; Synthese'!F26="Empfehlung"),'1.4 Analyse &amp; Synthese'!I26&amp;CHAR(13)&amp;"("&amp;'(Codierung)'!$C$2&amp;" - "&amp;'1.4 Analyse &amp; Synthese'!C26&amp;")","")</f>
        <v/>
      </c>
      <c r="AM25" s="277" t="str">
        <f t="array" ref="AM25">_xlfn.IFNA(INDEX($AL$6:$AL$66,MATCH(0,COUNTIF($AM$4:AM24,$AL$6:$AL$66),0),1),"")</f>
        <v/>
      </c>
      <c r="AN25" s="277" t="str">
        <f>IF(AND('1.4 Analyse &amp; Synthese'!V26=1,'1.4 Analyse &amp; Synthese'!F26="Methode"),'1.4 Analyse &amp; Synthese'!I26&amp;CHAR(13)&amp;"("&amp;'(Codierung)'!$C$3&amp;" - "&amp;'1.4 Analyse &amp; Synthese'!C26&amp;")","")</f>
        <v/>
      </c>
      <c r="AO25" s="277" t="str">
        <f t="array" ref="AO25">_xlfn.IFNA(INDEX($AN$6:$AN$66,MATCH(0,COUNTIF($AO$4:AO24,$AN$6:$AN$66),0),1),"")</f>
        <v/>
      </c>
      <c r="AP25" s="277" t="str">
        <f>IF(AND('1.4 Analyse &amp; Synthese'!V26=1,'1.4 Analyse &amp; Synthese'!F26="Werkzeug"),'1.4 Analyse &amp; Synthese'!I26&amp;CHAR(13)&amp;"("&amp;'(Codierung)'!$C$4&amp;" - "&amp;'1.4 Analyse &amp; Synthese'!C26&amp;")","")</f>
        <v/>
      </c>
      <c r="AQ25" s="277" t="str">
        <f t="array" ref="AQ25">_xlfn.IFNA(INDEX($AP$6:$AP$66,MATCH(0,COUNTIF($AQ$4:AQ24,$AP$6:$AP$66),0),1),"")</f>
        <v/>
      </c>
      <c r="AS25" s="277" t="str">
        <f>IF(AND('1.4 Analyse &amp; Synthese'!W26=1,'1.4 Analyse &amp; Synthese'!F26="Empfehlung"),'1.4 Analyse &amp; Synthese'!I26&amp;CHAR(13)&amp;"("&amp;'(Codierung)'!$C$2&amp;" - "&amp;'1.4 Analyse &amp; Synthese'!C26&amp;")","")</f>
        <v/>
      </c>
      <c r="AT25" s="277" t="str">
        <f t="array" ref="AT25">_xlfn.IFNA(INDEX($AS$6:$AS$66,MATCH(0,COUNTIF($AT$4:AT24,$AS$6:$AS$66),0),1),"")</f>
        <v/>
      </c>
      <c r="AU25" s="277" t="str">
        <f>IF(AND('1.4 Analyse &amp; Synthese'!W26=1,'1.4 Analyse &amp; Synthese'!F26="Methode"),'1.4 Analyse &amp; Synthese'!I26&amp;CHAR(13)&amp;"("&amp;'(Codierung)'!$C$3&amp;" - "&amp;'1.4 Analyse &amp; Synthese'!C26&amp;")","")</f>
        <v/>
      </c>
      <c r="AV25" s="277" t="str">
        <f t="array" ref="AV25">_xlfn.IFNA(INDEX($AU$6:$AU$66,MATCH(0,COUNTIF($AV$4:AV24,$AU$6:$AU$66),0),1),"")</f>
        <v/>
      </c>
      <c r="AW25" s="277" t="str">
        <f>IF(AND('1.4 Analyse &amp; Synthese'!W26=1,'1.4 Analyse &amp; Synthese'!F26="Werkzeug"),'1.4 Analyse &amp; Synthese'!I26&amp;CHAR(13)&amp;"("&amp;'(Codierung)'!$C$4&amp;" - "&amp;'1.4 Analyse &amp; Synthese'!C26&amp;")","")</f>
        <v/>
      </c>
      <c r="AX25" s="277" t="str">
        <f t="array" ref="AX25">_xlfn.IFNA(INDEX($AW$6:$AW$66,MATCH(0,COUNTIF($AX$4:AX24,$AW$6:$AW$66),0),1),"")</f>
        <v/>
      </c>
      <c r="AZ25" s="277" t="str">
        <f>IF(AND('1.4 Analyse &amp; Synthese'!X26=1,'1.4 Analyse &amp; Synthese'!F26="Empfehlung"),'1.4 Analyse &amp; Synthese'!I26&amp;CHAR(13)&amp;"("&amp;'(Codierung)'!$C$2&amp;" - "&amp;'1.4 Analyse &amp; Synthese'!C26&amp;")","")</f>
        <v/>
      </c>
      <c r="BA25" s="277" t="str">
        <f t="array" ref="BA25">_xlfn.IFNA(INDEX($AZ$6:$AZ$66,MATCH(0,COUNTIF($BA$4:BA24,$AZ$6:$AZ$66),0),1),"")</f>
        <v/>
      </c>
      <c r="BB25" s="277" t="str">
        <f>IF(AND('1.4 Analyse &amp; Synthese'!X26=1,'1.4 Analyse &amp; Synthese'!F26="Methode"),'1.4 Analyse &amp; Synthese'!I26&amp;CHAR(13)&amp;"("&amp;'(Codierung)'!$C$3&amp;" - "&amp;'1.4 Analyse &amp; Synthese'!C26&amp;")","")</f>
        <v/>
      </c>
      <c r="BC25" s="277" t="str">
        <f t="array" ref="BC25">_xlfn.IFNA(INDEX($BB$6:$BB$66,MATCH(0,COUNTIF($BC$4:BC24,$BB$6:$BB$66),0),1),"")</f>
        <v/>
      </c>
      <c r="BD25" s="277" t="str">
        <f>IF(AND('1.4 Analyse &amp; Synthese'!X26=1,'1.4 Analyse &amp; Synthese'!F26="Werkzeug"),'1.4 Analyse &amp; Synthese'!I26&amp;CHAR(13)&amp;"("&amp;'(Codierung)'!$C$4&amp;" - "&amp;'1.4 Analyse &amp; Synthese'!C26&amp;")","")</f>
        <v/>
      </c>
      <c r="BE25" s="277" t="str">
        <f t="array" ref="BE25">_xlfn.IFNA(INDEX($BD$6:$BD$66,MATCH(0,COUNTIF($BE$4:BE24,$BD$6:$BD$66),0),1),"")</f>
        <v/>
      </c>
      <c r="BG25" s="277" t="str">
        <f>IF(AND('1.4 Analyse &amp; Synthese'!Y26=1,'1.4 Analyse &amp; Synthese'!F26="Empfehlung"),'1.4 Analyse &amp; Synthese'!I26&amp;CHAR(13)&amp;"("&amp;'(Codierung)'!$C$2&amp;" - "&amp;'1.4 Analyse &amp; Synthese'!C26&amp;")","")</f>
        <v/>
      </c>
      <c r="BH25" s="277" t="str">
        <f t="array" ref="BH25">_xlfn.IFNA(INDEX($BG$6:$BG$66,MATCH(0,COUNTIF($BH$4:BH24,$BG$6:$BG$66),0),1),"")</f>
        <v/>
      </c>
      <c r="BI25" s="277" t="str">
        <f>IF(AND('1.4 Analyse &amp; Synthese'!Y26=1,'1.4 Analyse &amp; Synthese'!F26="Methode"),'1.4 Analyse &amp; Synthese'!I26&amp;CHAR(13)&amp;"("&amp;'(Codierung)'!$C$3&amp;" - "&amp;'1.4 Analyse &amp; Synthese'!C26&amp;")","")</f>
        <v/>
      </c>
      <c r="BJ25" s="277" t="str">
        <f t="array" ref="BJ25">_xlfn.IFNA(INDEX($BI$6:$BI$66,MATCH(0,COUNTIF($BJ$4:BJ24,$BI$6:$BI$66),0),1),"")</f>
        <v/>
      </c>
      <c r="BK25" s="277" t="str">
        <f>IF(AND('1.4 Analyse &amp; Synthese'!Y26=1,'1.4 Analyse &amp; Synthese'!F26="Werkzeug"),'1.4 Analyse &amp; Synthese'!I26&amp;CHAR(13)&amp;"("&amp;'(Codierung)'!$C$4&amp;" - "&amp;'1.4 Analyse &amp; Synthese'!C26&amp;")","")</f>
        <v/>
      </c>
      <c r="BL25" s="277" t="str">
        <f t="array" ref="BL25">_xlfn.IFNA(INDEX($BK$6:$BK$66,MATCH(0,COUNTIF($BL$4:BL24,$BK$6:$BK$66),0),1),"")</f>
        <v/>
      </c>
      <c r="BN25" s="277" t="str">
        <f>IF(AND('1.4 Analyse &amp; Synthese'!Z26=1,'1.4 Analyse &amp; Synthese'!F26="Empfehlung"),'1.4 Analyse &amp; Synthese'!I26&amp;CHAR(13)&amp;"("&amp;'(Codierung)'!$C$2&amp;" - "&amp;'1.4 Analyse &amp; Synthese'!C26&amp;")","")</f>
        <v/>
      </c>
      <c r="BO25" s="277" t="str">
        <f t="array" ref="BO25">_xlfn.IFNA(INDEX($BN$6:$BN$66,MATCH(0,COUNTIF($BO$4:BO24,$BN$6:$BN$66),0),1),"")</f>
        <v/>
      </c>
      <c r="BP25" s="277" t="str">
        <f>IF(AND('1.4 Analyse &amp; Synthese'!Z26=1,'1.4 Analyse &amp; Synthese'!F26="Methode"),'1.4 Analyse &amp; Synthese'!I26&amp;CHAR(13)&amp;"("&amp;'(Codierung)'!$C$3&amp;" - "&amp;'1.4 Analyse &amp; Synthese'!C26&amp;")","")</f>
        <v/>
      </c>
      <c r="BQ25" s="277" t="str">
        <f t="array" ref="BQ25">_xlfn.IFNA(INDEX($BP$6:$BP$66,MATCH(0,COUNTIF($BQ$4:BQ24,$BP$6:$BP$66),0),1),"")</f>
        <v/>
      </c>
      <c r="BR25" s="277" t="str">
        <f>IF(AND('1.4 Analyse &amp; Synthese'!Z26=1,'1.4 Analyse &amp; Synthese'!F26="Werkzeug"),'1.4 Analyse &amp; Synthese'!I26&amp;CHAR(13)&amp;"("&amp;'(Codierung)'!$C$4&amp;" - "&amp;'1.4 Analyse &amp; Synthese'!C26&amp;")","")</f>
        <v/>
      </c>
      <c r="BS25" s="277" t="str">
        <f t="array" ref="BS25">_xlfn.IFNA(INDEX($BR$6:$BR$66,MATCH(0,COUNTIF($BS$4:BS24,$BR$6:$BR$66),0),1),"")</f>
        <v/>
      </c>
      <c r="BU25" s="277" t="str">
        <f>IF(AND('1.4 Analyse &amp; Synthese'!AA26=1,'1.4 Analyse &amp; Synthese'!F26="Empfehlung"),'1.4 Analyse &amp; Synthese'!I26&amp;CHAR(13)&amp;"("&amp;'(Codierung)'!$C$2&amp;" - "&amp;'1.4 Analyse &amp; Synthese'!C26&amp;")","")</f>
        <v/>
      </c>
      <c r="BV25" s="277" t="str">
        <f t="array" ref="BV25">_xlfn.IFNA(INDEX($BU$6:$BU$66,MATCH(0,COUNTIF($BV$4:BV24,$BU$6:$BU$66),0),1),"")</f>
        <v/>
      </c>
      <c r="BW25" s="277" t="str">
        <f>IF(AND('1.4 Analyse &amp; Synthese'!AA26=1,'1.4 Analyse &amp; Synthese'!F26="Methode"),'1.4 Analyse &amp; Synthese'!I26&amp;CHAR(13)&amp;"("&amp;'(Codierung)'!$C$3&amp;" - "&amp;'1.4 Analyse &amp; Synthese'!C26&amp;")","")</f>
        <v/>
      </c>
      <c r="BX25" s="277" t="str">
        <f t="array" ref="BX25">_xlfn.IFNA(INDEX($BW$6:$BW$66,MATCH(0,COUNTIF($BX$4:BX24,$BW$6:$BW$66),0),1),"")</f>
        <v/>
      </c>
      <c r="BY25" s="277" t="str">
        <f>IF(AND('1.4 Analyse &amp; Synthese'!AA26=1,'1.4 Analyse &amp; Synthese'!F26="Werkzeug"),'1.4 Analyse &amp; Synthese'!I26&amp;CHAR(13)&amp;"("&amp;'(Codierung)'!$C$4&amp;" - "&amp;'1.4 Analyse &amp; Synthese'!C26&amp;")","")</f>
        <v/>
      </c>
      <c r="BZ25" s="277" t="str">
        <f t="array" ref="BZ25">_xlfn.IFNA(INDEX($BY$6:$BY$66,MATCH(0,COUNTIF($BZ$4:BZ24,$BY$6:$BY$66),0),1),"")</f>
        <v/>
      </c>
      <c r="CB25" s="277" t="str">
        <f>IF(AND('1.4 Analyse &amp; Synthese'!AB26=1,'1.4 Analyse &amp; Synthese'!F26="Empfehlung"),'1.4 Analyse &amp; Synthese'!I26&amp;CHAR(13)&amp;"("&amp;'(Codierung)'!$C$2&amp;" - "&amp;'1.4 Analyse &amp; Synthese'!C26&amp;")","")</f>
        <v/>
      </c>
      <c r="CC25" s="277" t="str">
        <f t="array" ref="CC25">_xlfn.IFNA(INDEX($CB$6:$CB$66,MATCH(0,COUNTIF($CC$4:CC24,$CB$6:$CB$66),0),1),"")</f>
        <v/>
      </c>
      <c r="CD25" s="277" t="str">
        <f>IF(AND('1.4 Analyse &amp; Synthese'!AB26=1,'1.4 Analyse &amp; Synthese'!F26="Methode"),'1.4 Analyse &amp; Synthese'!I26&amp;CHAR(13)&amp;"("&amp;'(Codierung)'!$C$3&amp;" - "&amp;'1.4 Analyse &amp; Synthese'!C26&amp;")","")</f>
        <v/>
      </c>
      <c r="CE25" s="277" t="str">
        <f t="array" ref="CE25">_xlfn.IFNA(INDEX($CD$6:$CD$66,MATCH(0,COUNTIF($CE$4:CE24,$CD$6:$CD$66),0),1),"")</f>
        <v/>
      </c>
      <c r="CF25" s="277" t="str">
        <f>IF(AND('1.4 Analyse &amp; Synthese'!AB26=1,'1.4 Analyse &amp; Synthese'!F26="Werkzeug"),'1.4 Analyse &amp; Synthese'!I26&amp;CHAR(13)&amp;"("&amp;'(Codierung)'!$C$4&amp;" - "&amp;'1.4 Analyse &amp; Synthese'!C26&amp;")","")</f>
        <v/>
      </c>
      <c r="CG25" s="277" t="str">
        <f t="array" ref="CG25">_xlfn.IFNA(INDEX($CF$6:$CF$66,MATCH(0,COUNTIF($CG$4:CG24,$CF$6:$CF$66),0),1),"")</f>
        <v/>
      </c>
      <c r="CI25" s="277" t="str">
        <f>IF(AND('1.4 Analyse &amp; Synthese'!AC26=1,'1.4 Analyse &amp; Synthese'!F26="Empfehlung"),'1.4 Analyse &amp; Synthese'!I26&amp;CHAR(13)&amp;"("&amp;'(Codierung)'!$C$2&amp;" - "&amp;'1.4 Analyse &amp; Synthese'!C26&amp;")","")</f>
        <v>Rechtliche Rahmenbedingung_x000D_(Empfehlung - Kafeza )</v>
      </c>
      <c r="CJ25" s="277" t="str">
        <f t="array" ref="CJ25">_xlfn.IFNA(INDEX($CI$6:$CI$66,MATCH(0,COUNTIF($CJ$4:CJ24,$CI$6:$CI$66),0),1),"")</f>
        <v/>
      </c>
      <c r="CK25" s="277" t="str">
        <f>IF(AND('1.4 Analyse &amp; Synthese'!AC26=1,'1.4 Analyse &amp; Synthese'!F26="Methode"),'1.4 Analyse &amp; Synthese'!I26&amp;CHAR(13)&amp;"("&amp;'(Codierung)'!$C$3&amp;" - "&amp;'1.4 Analyse &amp; Synthese'!C26&amp;")","")</f>
        <v/>
      </c>
      <c r="CL25" s="277" t="str">
        <f t="array" ref="CL25">_xlfn.IFNA(INDEX($CK$6:$CK$66,MATCH(0,COUNTIF($CL$4:CL24,$CK$6:$CK$66),0),1),"")</f>
        <v/>
      </c>
      <c r="CM25" s="277" t="str">
        <f>IF(AND('1.4 Analyse &amp; Synthese'!AC26=1,'1.4 Analyse &amp; Synthese'!F26="Werkzeug"),'1.4 Analyse &amp; Synthese'!I26&amp;CHAR(13)&amp;"("&amp;'(Codierung)'!$C$4&amp;" - "&amp;'1.4 Analyse &amp; Synthese'!C26&amp;")","")</f>
        <v/>
      </c>
      <c r="CN25" s="277" t="str">
        <f t="array" ref="CN25">_xlfn.IFNA(INDEX($CM$6:$CM$66,MATCH(0,COUNTIF($CN$4:CN24,$CM$6:$CM$66),0),1),"")</f>
        <v/>
      </c>
      <c r="CP25" s="277" t="str">
        <f>IF(AND('1.4 Analyse &amp; Synthese'!AD26=1,'1.4 Analyse &amp; Synthese'!F26="Empfehlung"),'1.4 Analyse &amp; Synthese'!I26&amp;CHAR(13)&amp;"("&amp;'(Codierung)'!$C$2&amp;" - "&amp;'1.4 Analyse &amp; Synthese'!C26&amp;")","")</f>
        <v/>
      </c>
      <c r="CQ25" s="277" t="str">
        <f t="array" ref="CQ25">_xlfn.IFNA(INDEX($CP$6:$CP$66,MATCH(0,COUNTIF($CQ$4:CQ24,$CP$6:$CP$66),0),1),"")</f>
        <v/>
      </c>
      <c r="CR25" s="277" t="str">
        <f>IF(AND('1.4 Analyse &amp; Synthese'!AD26=1,'1.4 Analyse &amp; Synthese'!F26="Methode"),'1.4 Analyse &amp; Synthese'!I26&amp;CHAR(13)&amp;"("&amp;'(Codierung)'!$C$3&amp;" - "&amp;'1.4 Analyse &amp; Synthese'!C26&amp;")","")</f>
        <v/>
      </c>
      <c r="CS25" s="277" t="str">
        <f t="array" ref="CS25">_xlfn.IFNA(INDEX($CR$6:$CR$66,MATCH(0,COUNTIF($CS$4:CS24,$CR$6:$CR$66),0),1),"")</f>
        <v/>
      </c>
      <c r="CT25" s="277" t="str">
        <f>IF(AND('1.4 Analyse &amp; Synthese'!AD26=1,'1.4 Analyse &amp; Synthese'!F26="Werkzeug"),'1.4 Analyse &amp; Synthese'!I26&amp;CHAR(13)&amp;"("&amp;'(Codierung)'!$C$4&amp;" - "&amp;'1.4 Analyse &amp; Synthese'!C26&amp;")","")</f>
        <v/>
      </c>
      <c r="CU25" s="277" t="str">
        <f t="array" ref="CU25">_xlfn.IFNA(INDEX($CT$6:$CT$66,MATCH(0,COUNTIF($CU$4:CU24,$CT$6:$CT$66),0),1),"")</f>
        <v/>
      </c>
      <c r="CW25" s="277" t="str">
        <f>IF(AND('1.4 Analyse &amp; Synthese'!AE26=1,'1.4 Analyse &amp; Synthese'!F26="Empfehlung"),'1.4 Analyse &amp; Synthese'!I26&amp;CHAR(13)&amp;"("&amp;'(Codierung)'!$C$2&amp;" - "&amp;'1.4 Analyse &amp; Synthese'!C26&amp;")","")</f>
        <v/>
      </c>
      <c r="CX25" s="277" t="str">
        <f t="array" ref="CX25">_xlfn.IFNA(INDEX($CW$6:$CW$66,MATCH(0,COUNTIF($CX$4:CX24,$CW$6:$CW$66),0),1),"")</f>
        <v/>
      </c>
      <c r="CY25" s="277" t="str">
        <f>IF(AND('1.4 Analyse &amp; Synthese'!AE26=1,'1.4 Analyse &amp; Synthese'!F26="Methode"),'1.4 Analyse &amp; Synthese'!I26&amp;CHAR(13)&amp;"("&amp;'(Codierung)'!$C$3&amp;" - "&amp;'1.4 Analyse &amp; Synthese'!C26&amp;")","")</f>
        <v/>
      </c>
      <c r="CZ25" s="277" t="str">
        <f t="array" ref="CZ25">_xlfn.IFNA(INDEX($CY$6:$CY$66,MATCH(0,COUNTIF($CZ$4:CZ24,$CY$6:$CY$66),0),1),"")</f>
        <v/>
      </c>
      <c r="DA25" s="277" t="str">
        <f>IF(AND('1.4 Analyse &amp; Synthese'!AE26=1,'1.4 Analyse &amp; Synthese'!F26="Werkzeug"),'1.4 Analyse &amp; Synthese'!I26&amp;CHAR(13)&amp;"("&amp;'(Codierung)'!$C$4&amp;" - "&amp;'1.4 Analyse &amp; Synthese'!C26&amp;")","")</f>
        <v/>
      </c>
      <c r="DB25" s="277" t="str">
        <f t="array" ref="DB25">_xlfn.IFNA(INDEX($DA$6:$DA$66,MATCH(0,COUNTIF($DB$4:DB24,$DA$6:$DA$66),0),1),"")</f>
        <v/>
      </c>
      <c r="DD25" s="277" t="str">
        <f>IF(AND('1.4 Analyse &amp; Synthese'!AF26=1,'1.4 Analyse &amp; Synthese'!F26="Empfehlung"),'1.4 Analyse &amp; Synthese'!I26&amp;CHAR(13)&amp;"("&amp;'(Codierung)'!$C$2&amp;" - "&amp;'1.4 Analyse &amp; Synthese'!C26&amp;")","")</f>
        <v/>
      </c>
      <c r="DE25" s="277" t="str">
        <f t="array" ref="DE25">_xlfn.IFNA(INDEX($DD$6:$DD$66,MATCH(0,COUNTIF($DE$4:DE24,$DD$6:$DD$66),0),1),"")</f>
        <v/>
      </c>
      <c r="DF25" s="277" t="str">
        <f>IF(AND('1.4 Analyse &amp; Synthese'!AF26=1,'1.4 Analyse &amp; Synthese'!F26="Methode"),'1.4 Analyse &amp; Synthese'!I26&amp;CHAR(13)&amp;"("&amp;'(Codierung)'!$C$3&amp;" - "&amp;'1.4 Analyse &amp; Synthese'!C26&amp;")","")</f>
        <v/>
      </c>
      <c r="DG25" s="277" t="str">
        <f t="array" ref="DG25">_xlfn.IFNA(INDEX($DF$6:$DF$66,MATCH(0,COUNTIF($DG$4:DG24,$DF$6:$DF$66),0),1),"")</f>
        <v/>
      </c>
      <c r="DH25" s="277" t="str">
        <f>IF(AND('1.4 Analyse &amp; Synthese'!AF26=1,'1.4 Analyse &amp; Synthese'!F26="Werkzeug"),'1.4 Analyse &amp; Synthese'!I26&amp;CHAR(13)&amp;"("&amp;'(Codierung)'!$C$4&amp;" - "&amp;'1.4 Analyse &amp; Synthese'!C26&amp;")","")</f>
        <v/>
      </c>
      <c r="DI25" s="277" t="str">
        <f t="array" ref="DI25">_xlfn.IFNA(INDEX($DH$6:$DH$66,MATCH(0,COUNTIF($DI$4:DI24,$DH$6:$DH$66),0),1),"")</f>
        <v/>
      </c>
      <c r="DK25" s="277" t="str">
        <f>IF(AND('1.4 Analyse &amp; Synthese'!AG26=1,'1.4 Analyse &amp; Synthese'!F26="Empfehlung"),'1.4 Analyse &amp; Synthese'!I26&amp;CHAR(13)&amp;"("&amp;'(Codierung)'!$C$2&amp;" - "&amp;'1.4 Analyse &amp; Synthese'!C26&amp;")","")</f>
        <v/>
      </c>
      <c r="DL25" s="277" t="str">
        <f t="array" ref="DL25">_xlfn.IFNA(INDEX($DK$6:$DK$66,MATCH(0,COUNTIF($DL$4:DL24,$DK$6:$DK$66),0),1),"")</f>
        <v/>
      </c>
      <c r="DM25" s="277" t="str">
        <f>IF(AND('1.4 Analyse &amp; Synthese'!AG26=1,'1.4 Analyse &amp; Synthese'!F26="Methode"),'1.4 Analyse &amp; Synthese'!I26&amp;CHAR(13)&amp;"("&amp;'(Codierung)'!$C$3&amp;" - "&amp;'1.4 Analyse &amp; Synthese'!C26&amp;")","")</f>
        <v/>
      </c>
      <c r="DN25" s="277" t="str">
        <f t="array" ref="DN25">_xlfn.IFNA(INDEX($DM$6:$DM$66,MATCH(0,COUNTIF($DN$4:DN24,$DM$6:$DM$66),0),1),"")</f>
        <v/>
      </c>
      <c r="DO25" s="277" t="str">
        <f>IF(AND('1.4 Analyse &amp; Synthese'!AG26=1,'1.4 Analyse &amp; Synthese'!F26="Werkzeug"),'1.4 Analyse &amp; Synthese'!I26&amp;CHAR(13)&amp;"("&amp;'(Codierung)'!$C$4&amp;" - "&amp;'1.4 Analyse &amp; Synthese'!C26&amp;")","")</f>
        <v/>
      </c>
      <c r="DP25" s="277" t="str">
        <f t="array" ref="DP25">_xlfn.IFNA(INDEX($DO$6:$DO$66,MATCH(0,COUNTIF($DP$4:DP24,$DO$6:$DO$66),0),1),"")</f>
        <v/>
      </c>
      <c r="DR25" s="277" t="str">
        <f>IF(AND('1.4 Analyse &amp; Synthese'!AH26=1,'1.4 Analyse &amp; Synthese'!F26="Empfehlung"),'1.4 Analyse &amp; Synthese'!I26&amp;CHAR(13)&amp;"("&amp;'(Codierung)'!$C$2&amp;" - "&amp;'1.4 Analyse &amp; Synthese'!C26&amp;")","")</f>
        <v/>
      </c>
      <c r="DS25" s="277" t="str">
        <f t="array" ref="DS25">_xlfn.IFNA(INDEX($DR$6:$DR$66,MATCH(0,COUNTIF($DS$4:DS24,$DR$6:$DR$66),0),1),"")</f>
        <v/>
      </c>
      <c r="DT25" s="277" t="str">
        <f>IF(AND('1.4 Analyse &amp; Synthese'!AH26=1,'1.4 Analyse &amp; Synthese'!F26="Methode"),'1.4 Analyse &amp; Synthese'!I26&amp;CHAR(13)&amp;"("&amp;'(Codierung)'!$C$3&amp;" - "&amp;'1.4 Analyse &amp; Synthese'!C26&amp;")","")</f>
        <v/>
      </c>
      <c r="DU25" s="277" t="str">
        <f t="array" ref="DU25">_xlfn.IFNA(INDEX($DT$6:$DT$66,MATCH(0,COUNTIF($DU$4:DU24,$DT$6:$DT$66),0),1),"")</f>
        <v/>
      </c>
      <c r="DV25" s="277" t="str">
        <f>IF(AND('1.4 Analyse &amp; Synthese'!AH26=1,'1.4 Analyse &amp; Synthese'!F26="Werkzeug"),'1.4 Analyse &amp; Synthese'!I26&amp;CHAR(13)&amp;"("&amp;'(Codierung)'!$C$4&amp;" - "&amp;'1.4 Analyse &amp; Synthese'!C26&amp;")","")</f>
        <v/>
      </c>
      <c r="DW25" s="277" t="str">
        <f t="array" ref="DW25">_xlfn.IFNA(INDEX($DV$6:$DV$66,MATCH(0,COUNTIF($DW$4:DW24,$DV$6:$DV$66),0),1),"")</f>
        <v/>
      </c>
      <c r="DY25" s="277" t="str">
        <f>IF(AND('1.4 Analyse &amp; Synthese'!AI26=1,'1.4 Analyse &amp; Synthese'!F26="Empfehlung"),'1.4 Analyse &amp; Synthese'!I26&amp;CHAR(13)&amp;"("&amp;'(Codierung)'!$C$2&amp;" - "&amp;'1.4 Analyse &amp; Synthese'!C26&amp;")","")</f>
        <v/>
      </c>
      <c r="DZ25" s="277" t="str">
        <f t="array" ref="DZ25">_xlfn.IFNA(INDEX($DY$6:$DY$66,MATCH(0,COUNTIF($DZ$4:DZ24,$DY$6:$DY$66),0),1),"")</f>
        <v/>
      </c>
      <c r="EA25" s="277" t="str">
        <f>IF(AND('1.4 Analyse &amp; Synthese'!AI26=1,'1.4 Analyse &amp; Synthese'!F26="Methode"),'1.4 Analyse &amp; Synthese'!I26&amp;CHAR(13)&amp;"("&amp;'(Codierung)'!$C$3&amp;" - "&amp;'1.4 Analyse &amp; Synthese'!C26&amp;")","")</f>
        <v/>
      </c>
      <c r="EB25" s="277" t="str">
        <f t="array" ref="EB25">_xlfn.IFNA(INDEX($EA$6:$EA$66,MATCH(0,COUNTIF($EB$4:EB24,$EA$6:$EA$66),0),1),"")</f>
        <v/>
      </c>
      <c r="EC25" s="277" t="str">
        <f>IF(AND('1.4 Analyse &amp; Synthese'!AI26=1,'1.4 Analyse &amp; Synthese'!F26="Werkzeug"),'1.4 Analyse &amp; Synthese'!I26&amp;CHAR(13)&amp;"("&amp;'(Codierung)'!$C$4&amp;" - "&amp;'1.4 Analyse &amp; Synthese'!C26&amp;")","")</f>
        <v/>
      </c>
      <c r="ED25" s="277" t="str">
        <f t="array" ref="ED25">_xlfn.IFNA(INDEX($EC$6:$EC$66,MATCH(0,COUNTIF($ED$4:ED24,$EC$6:$EC$66),0),1),"")</f>
        <v/>
      </c>
      <c r="EF25" s="277" t="str">
        <f>IF(AND('1.4 Analyse &amp; Synthese'!AJ26=1,'1.4 Analyse &amp; Synthese'!F26="Empfehlung"),'1.4 Analyse &amp; Synthese'!I26&amp;CHAR(13)&amp;"("&amp;'(Codierung)'!$C$2&amp;" - "&amp;'1.4 Analyse &amp; Synthese'!C26&amp;")","")</f>
        <v/>
      </c>
      <c r="EG25" s="277" t="str">
        <f t="array" ref="EG25">_xlfn.IFNA(INDEX($EF$6:$EF$66,MATCH(0,COUNTIF($EG$4:EG24,$EF$6:$EF$66),0),1),"")</f>
        <v/>
      </c>
      <c r="EH25" s="277" t="str">
        <f>IF(AND('1.4 Analyse &amp; Synthese'!AJ26=1,'1.4 Analyse &amp; Synthese'!F26="Methode"),'1.4 Analyse &amp; Synthese'!I26&amp;CHAR(13)&amp;"("&amp;'(Codierung)'!$C$3&amp;" - "&amp;'1.4 Analyse &amp; Synthese'!C26&amp;")","")</f>
        <v/>
      </c>
      <c r="EI25" s="277" t="str">
        <f t="array" ref="EI25">_xlfn.IFNA(INDEX($EH$6:$EH$66,MATCH(0,COUNTIF($EI$4:EI24,$EH$6:$EH$66),0),1),"")</f>
        <v/>
      </c>
      <c r="EJ25" s="277" t="str">
        <f>IF(AND('1.4 Analyse &amp; Synthese'!AJ26=1,'1.4 Analyse &amp; Synthese'!F26="Werkzeug"),'1.4 Analyse &amp; Synthese'!I26&amp;CHAR(13)&amp;"("&amp;'(Codierung)'!$C$4&amp;" - "&amp;'1.4 Analyse &amp; Synthese'!C26&amp;")","")</f>
        <v/>
      </c>
      <c r="EK25" s="277" t="str">
        <f t="array" ref="EK25">_xlfn.IFNA(INDEX($EJ$6:$EJ$66,MATCH(0,COUNTIF($EK$4:EK24,$EJ$6:$EJ$66),0),1),"")</f>
        <v/>
      </c>
      <c r="EN25" s="222" t="str">
        <f t="shared" si="0"/>
        <v/>
      </c>
      <c r="EO25" s="277" t="str">
        <f t="shared" si="1"/>
        <v/>
      </c>
      <c r="EP25" s="277" t="str">
        <f t="shared" si="2"/>
        <v/>
      </c>
      <c r="EQ25" s="277" t="str">
        <f>ZahlenInBereich(Tabelle1[[Empfehlung]:[Werkzeug]],ROW()-5)</f>
        <v/>
      </c>
      <c r="ER25" s="277" t="str">
        <f t="shared" si="3"/>
        <v/>
      </c>
      <c r="ES25" s="277" t="str">
        <f t="shared" si="4"/>
        <v/>
      </c>
      <c r="ET25" s="277" t="str">
        <f t="shared" si="5"/>
        <v/>
      </c>
      <c r="EU25" s="277" t="str">
        <f>ZahlenInBereich(Tabelle1[[Empfehlung2]:[Werkzeug4]],ROW()-5)</f>
        <v/>
      </c>
      <c r="EV25" s="277" t="str">
        <f t="shared" si="6"/>
        <v/>
      </c>
      <c r="EW25" s="277" t="str">
        <f t="shared" si="7"/>
        <v/>
      </c>
      <c r="EX25" s="277" t="str">
        <f t="shared" si="8"/>
        <v/>
      </c>
      <c r="EY25" s="277" t="str">
        <f>ZahlenInBereich(Tabelle1[[Empfehlung6]:[Werkzeug8]],ROW()-5)</f>
        <v/>
      </c>
      <c r="EZ25" s="277" t="str">
        <f t="shared" si="9"/>
        <v/>
      </c>
      <c r="FA25" s="277" t="str">
        <f t="shared" si="10"/>
        <v/>
      </c>
      <c r="FB25" s="277" t="str">
        <f t="shared" si="11"/>
        <v/>
      </c>
      <c r="FC25" s="277" t="str">
        <f>ZahlenInBereich(Tabelle1[[Empfehlung10]:[Werkzeug12]],ROW()-5)</f>
        <v/>
      </c>
      <c r="FD25" s="277" t="str">
        <f t="shared" si="12"/>
        <v/>
      </c>
      <c r="FE25" s="277" t="str">
        <f t="shared" si="13"/>
        <v/>
      </c>
      <c r="FF25" s="277" t="str">
        <f t="shared" si="14"/>
        <v/>
      </c>
      <c r="FG25" s="277" t="str">
        <f>ZahlenInBereich(Tabelle1[[Empfehlung14]:[Werkzeug16]],ROW()-5)</f>
        <v/>
      </c>
      <c r="FH25" s="277" t="str">
        <f t="shared" si="15"/>
        <v/>
      </c>
      <c r="FI25" s="277" t="str">
        <f t="shared" si="16"/>
        <v/>
      </c>
      <c r="FJ25" s="277" t="str">
        <f t="shared" si="17"/>
        <v/>
      </c>
      <c r="FK25" s="277" t="str">
        <f>ZahlenInBereich(Tabelle1[[Empfehlung18]:[Werkzeug20]],ROW()-5)</f>
        <v/>
      </c>
      <c r="FL25" s="277" t="str">
        <f t="shared" si="18"/>
        <v/>
      </c>
      <c r="FM25" s="277" t="str">
        <f t="shared" si="19"/>
        <v/>
      </c>
      <c r="FN25" s="277" t="str">
        <f t="shared" si="20"/>
        <v/>
      </c>
      <c r="FO25" s="277" t="str">
        <f>ZahlenInBereich(Tabelle1[[Empfehlung22]:[Werkzeug24]],ROW()-5)</f>
        <v/>
      </c>
      <c r="FP25" s="277" t="str">
        <f t="shared" si="21"/>
        <v/>
      </c>
      <c r="FQ25" s="277" t="str">
        <f t="shared" si="22"/>
        <v/>
      </c>
      <c r="FR25" s="277" t="str">
        <f t="shared" si="23"/>
        <v/>
      </c>
      <c r="FS25" s="277" t="str">
        <f>ZahlenInBereich(Tabelle1[[Empfehlung26]:[Werkzeug28]],ROW()-5)</f>
        <v/>
      </c>
      <c r="FT25" s="277" t="str">
        <f t="shared" si="24"/>
        <v/>
      </c>
      <c r="FU25" s="277" t="str">
        <f t="shared" si="25"/>
        <v/>
      </c>
      <c r="FV25" s="277" t="str">
        <f t="shared" si="26"/>
        <v/>
      </c>
      <c r="FW25" s="277" t="str">
        <f>ZahlenInBereich(Tabelle1[[Empfehlung30]:[Werkzeug32]],ROW()-5)</f>
        <v/>
      </c>
      <c r="FX25" s="277" t="str">
        <f t="shared" si="27"/>
        <v/>
      </c>
      <c r="FY25" s="277" t="str">
        <f t="shared" si="28"/>
        <v/>
      </c>
      <c r="FZ25" s="277" t="str">
        <f t="shared" si="29"/>
        <v/>
      </c>
      <c r="GA25" s="277" t="str">
        <f>ZahlenInBereich(Tabelle1[[Empfehlung34]:[Werkzeug36]],ROW()-5)</f>
        <v/>
      </c>
      <c r="GB25" s="277" t="str">
        <f t="shared" si="30"/>
        <v/>
      </c>
      <c r="GC25" s="277" t="str">
        <f t="shared" si="31"/>
        <v/>
      </c>
      <c r="GD25" s="277" t="str">
        <f t="shared" si="32"/>
        <v/>
      </c>
      <c r="GE25" s="277" t="str">
        <f>ZahlenInBereich(Tabelle1[[Empfehlung38]:[Werkzeug40]],ROW()-5)</f>
        <v/>
      </c>
      <c r="GF25" s="277" t="str">
        <f t="shared" si="33"/>
        <v/>
      </c>
      <c r="GG25" s="277" t="str">
        <f t="shared" si="34"/>
        <v/>
      </c>
      <c r="GH25" s="277" t="str">
        <f t="shared" si="35"/>
        <v/>
      </c>
      <c r="GI25" s="277" t="str">
        <f>ZahlenInBereich(Tabelle1[[Empfehlung42]:[Werkzeug44]],ROW()-5)</f>
        <v/>
      </c>
      <c r="GJ25" s="277" t="str">
        <f t="shared" si="36"/>
        <v/>
      </c>
      <c r="GK25" s="277" t="str">
        <f t="shared" si="37"/>
        <v/>
      </c>
      <c r="GL25" s="277" t="str">
        <f t="shared" si="38"/>
        <v/>
      </c>
      <c r="GM25" s="277" t="str">
        <f>ZahlenInBereich(Tabelle1[[Empfehlung46]:[Werkzeug48]],ROW()-5)</f>
        <v/>
      </c>
      <c r="GN25" s="277" t="str">
        <f t="shared" si="39"/>
        <v/>
      </c>
      <c r="GO25" s="277" t="str">
        <f t="shared" si="40"/>
        <v/>
      </c>
      <c r="GP25" s="277" t="str">
        <f t="shared" si="41"/>
        <v/>
      </c>
      <c r="GQ25" s="277" t="str">
        <f>ZahlenInBereich(Tabelle1[[Empfehlung50]:[Werkzeug52]],ROW()-5)</f>
        <v/>
      </c>
      <c r="GR25" s="277" t="str">
        <f t="shared" si="42"/>
        <v/>
      </c>
      <c r="GS25" s="277" t="str">
        <f t="shared" si="43"/>
        <v/>
      </c>
      <c r="GT25" s="277" t="str">
        <f t="shared" si="44"/>
        <v/>
      </c>
      <c r="GU25" s="277" t="str">
        <f>ZahlenInBereich(Tabelle1[[Empfehlung54]:[Werkzeug56]],ROW()-5)</f>
        <v/>
      </c>
      <c r="GV25" s="277" t="str">
        <f t="shared" si="45"/>
        <v/>
      </c>
      <c r="GW25" s="277" t="str">
        <f t="shared" si="46"/>
        <v/>
      </c>
      <c r="GX25" s="277" t="str">
        <f t="shared" si="47"/>
        <v/>
      </c>
      <c r="GY25" s="277" t="str">
        <f>ZahlenInBereich(Tabelle1[[Empfehlung58]:[Werkzeug60]],ROW()-5)</f>
        <v/>
      </c>
      <c r="GZ25" s="277" t="str">
        <f t="shared" si="48"/>
        <v/>
      </c>
      <c r="HA25" s="277" t="str">
        <f t="shared" si="49"/>
        <v/>
      </c>
      <c r="HB25" s="277" t="str">
        <f t="shared" si="50"/>
        <v/>
      </c>
      <c r="HC25" s="277" t="str">
        <f>ZahlenInBereich(Tabelle1[[Empfehlung62]:[Werkzeug64]],ROW()-5)</f>
        <v/>
      </c>
      <c r="HD25" s="277" t="str">
        <f t="shared" si="51"/>
        <v/>
      </c>
      <c r="HE25" s="277" t="str">
        <f t="shared" si="52"/>
        <v/>
      </c>
      <c r="HF25" s="277" t="str">
        <f t="shared" si="53"/>
        <v/>
      </c>
      <c r="HG25" s="277" t="str">
        <f>ZahlenInBereich(Tabelle1[[Empfehlung66]:[Werkzeug68]],ROW()-5)</f>
        <v/>
      </c>
      <c r="HH25" s="277" t="str">
        <f t="shared" si="54"/>
        <v/>
      </c>
      <c r="HI25" s="277" t="str">
        <f t="shared" si="55"/>
        <v/>
      </c>
      <c r="HJ25" s="277" t="str">
        <f t="shared" si="56"/>
        <v/>
      </c>
      <c r="HK25" s="277" t="str">
        <f>ZahlenInBereich(Tabelle1[[Empfehlung70]:[Werkzeug72]],ROW()-5)</f>
        <v/>
      </c>
      <c r="HL25" s="277" t="str">
        <f t="shared" si="57"/>
        <v/>
      </c>
      <c r="HM25" s="277" t="str">
        <f t="shared" si="58"/>
        <v/>
      </c>
      <c r="HN25" s="277" t="str">
        <f t="shared" si="59"/>
        <v/>
      </c>
      <c r="HO25" s="277" t="str">
        <f>ZahlenInBereich(Tabelle1[[Empfehlung74]:[Werkzeug76]],ROW()-5)</f>
        <v/>
      </c>
    </row>
    <row r="26" spans="2:223" ht="32" x14ac:dyDescent="0.2">
      <c r="B26" s="134">
        <f>'1.4 Analyse &amp; Synthese'!B27</f>
        <v>21</v>
      </c>
      <c r="C26" s="277" t="str">
        <f>IF(AND('1.4 Analyse &amp; Synthese'!Q27=1,'1.4 Analyse &amp; Synthese'!F27="Empfehlung"),'1.4 Analyse &amp; Synthese'!I27&amp;CHAR(13)&amp;"("&amp;'(Codierung)'!$C$2&amp;" - "&amp;'1.4 Analyse &amp; Synthese'!C27&amp;")","")</f>
        <v/>
      </c>
      <c r="D26" s="222" t="str">
        <f t="array" ref="D26">_xlfn.IFNA(INDEX($C$6:$C$66,MATCH(0,COUNTIF($D$4:D25,$C$6:$C$66),0),1),"")</f>
        <v/>
      </c>
      <c r="E26" s="277" t="str">
        <f>IF(AND('1.4 Analyse &amp; Synthese'!Q27=1,'1.4 Analyse &amp; Synthese'!F27="Methode"),'1.4 Analyse &amp; Synthese'!I27&amp;CHAR(13)&amp;"("&amp;'(Codierung)'!$C$3&amp;" - "&amp;'1.4 Analyse &amp; Synthese'!C27&amp;")","")</f>
        <v/>
      </c>
      <c r="F26" s="277" t="str">
        <f t="array" ref="F26">_xlfn.IFNA(INDEX($E$6:$E$66,MATCH(0,COUNTIF($F$4:F25,$E$6:$E$66),0),1),"")</f>
        <v/>
      </c>
      <c r="G26" s="277" t="str">
        <f>IF(AND('1.4 Analyse &amp; Synthese'!Q27=1,'1.4 Analyse &amp; Synthese'!F27="Werkzeug"),'1.4 Analyse &amp; Synthese'!I27&amp;CHAR(13)&amp;"("&amp;'(Codierung)'!$C$4&amp;" - "&amp;'1.4 Analyse &amp; Synthese'!C27&amp;")","")</f>
        <v/>
      </c>
      <c r="H26" s="277" t="str">
        <f t="array" ref="H26">_xlfn.IFNA(INDEX($G$6:$G$66,MATCH(0,COUNTIF($H$4:H25,$G$6:$G$66),0),1),"")</f>
        <v/>
      </c>
      <c r="J26" s="277" t="str">
        <f>IF(AND('1.4 Analyse &amp; Synthese'!R27=1,'1.4 Analyse &amp; Synthese'!F27="Empfehlung"),'1.4 Analyse &amp; Synthese'!I27&amp;CHAR(13)&amp;"("&amp;'(Codierung)'!$C$2&amp;" - "&amp;'1.4 Analyse &amp; Synthese'!C27&amp;")","")</f>
        <v/>
      </c>
      <c r="K26" s="277" t="str">
        <f t="array" ref="K26">_xlfn.IFNA(INDEX($J$6:$J$66,MATCH(0,COUNTIF($K$4:K25,$J$6:$J$66),0),1),"")</f>
        <v/>
      </c>
      <c r="L26" s="277" t="str">
        <f>IF(AND('1.4 Analyse &amp; Synthese'!R27=1,'1.4 Analyse &amp; Synthese'!F27="Methode"),'1.4 Analyse &amp; Synthese'!I27&amp;CHAR(13)&amp;"("&amp;'(Codierung)'!$C$3&amp;" - "&amp;'1.4 Analyse &amp; Synthese'!C27&amp;")","")</f>
        <v/>
      </c>
      <c r="M26" s="277" t="str">
        <f t="array" ref="M26">_xlfn.IFNA(INDEX($L$6:$L$66,MATCH(0,COUNTIF($M$4:M25,$L$6:$L$66),0),1),"")</f>
        <v/>
      </c>
      <c r="N26" s="277" t="str">
        <f>IF(AND('1.4 Analyse &amp; Synthese'!R27=1,'1.4 Analyse &amp; Synthese'!F27="Werkzeug"),'1.4 Analyse &amp; Synthese'!I27&amp;CHAR(13)&amp;"("&amp;'(Codierung)'!$C$4&amp;" - "&amp;'1.4 Analyse &amp; Synthese'!C27&amp;")","")</f>
        <v/>
      </c>
      <c r="O26" s="277" t="str">
        <f t="array" ref="O26">_xlfn.IFNA(INDEX($N$6:$N$66,MATCH(0,COUNTIF($O$4:O25,$N$6:$N$66),0),1),"")</f>
        <v/>
      </c>
      <c r="Q26" s="277" t="str">
        <f>IF(AND('1.4 Analyse &amp; Synthese'!S27=1,'1.4 Analyse &amp; Synthese'!F27="Empfehlung"),'1.4 Analyse &amp; Synthese'!I27&amp;CHAR(13)&amp;"("&amp;'(Codierung)'!$C$2&amp;" - "&amp;'1.4 Analyse &amp; Synthese'!C27&amp;")","")</f>
        <v>Cloud Metrik Evaluierung_x000D_(Empfehlung - Lee)</v>
      </c>
      <c r="R26" s="277" t="str">
        <f t="array" ref="R26">_xlfn.IFNA(INDEX($Q$6:$Q$66,MATCH(0,COUNTIF($R$4:R25,$Q$6:$Q$66),0),1),"")</f>
        <v/>
      </c>
      <c r="S26" s="277" t="str">
        <f>IF(AND('1.4 Analyse &amp; Synthese'!S27=1,'1.4 Analyse &amp; Synthese'!F27="Methode"),'1.4 Analyse &amp; Synthese'!I27&amp;CHAR(13)&amp;"("&amp;'(Codierung)'!$C$3&amp;" - "&amp;'1.4 Analyse &amp; Synthese'!C27&amp;")","")</f>
        <v/>
      </c>
      <c r="T26" s="277" t="str">
        <f t="array" ref="T26">_xlfn.IFNA(INDEX($S$6:$S$66,MATCH(0,COUNTIF($T$4:T25,$S$6:$S$66),0),1),"")</f>
        <v/>
      </c>
      <c r="U26" s="277" t="str">
        <f>IF(AND('1.4 Analyse &amp; Synthese'!S27=1,'1.4 Analyse &amp; Synthese'!F27="Werkzeug"),'1.4 Analyse &amp; Synthese'!I27&amp;CHAR(13)&amp;"("&amp;'(Codierung)'!$C$4&amp;" - "&amp;'1.4 Analyse &amp; Synthese'!C27&amp;")","")</f>
        <v/>
      </c>
      <c r="V26" s="277" t="str">
        <f t="array" ref="V26">_xlfn.IFNA(INDEX($U$6:$U$66,MATCH(0,COUNTIF($V$4:V25,$U$6:$U$66),0),1),"")</f>
        <v/>
      </c>
      <c r="X26" s="277" t="str">
        <f>IF(AND('1.4 Analyse &amp; Synthese'!T27=1,'1.4 Analyse &amp; Synthese'!F27="Empfehlung"),'1.4 Analyse &amp; Synthese'!I27&amp;CHAR(13)&amp;"("&amp;'(Codierung)'!$C$2&amp;" - "&amp;'1.4 Analyse &amp; Synthese'!C27&amp;")","")</f>
        <v/>
      </c>
      <c r="Y26" s="277" t="str">
        <f t="array" ref="Y26">_xlfn.IFNA(INDEX($X$6:$X$66,MATCH(0,COUNTIF($Y$4:Y25,$X$6:$X$66),0),1),"")</f>
        <v/>
      </c>
      <c r="Z26" s="277" t="str">
        <f>IF(AND('1.4 Analyse &amp; Synthese'!T27=1,'1.4 Analyse &amp; Synthese'!F27="Methode"),'1.4 Analyse &amp; Synthese'!I27&amp;CHAR(13)&amp;"("&amp;'(Codierung)'!$C$3&amp;" - "&amp;'1.4 Analyse &amp; Synthese'!C27&amp;")","")</f>
        <v/>
      </c>
      <c r="AA26" s="277" t="str">
        <f t="array" ref="AA26">_xlfn.IFNA(INDEX($Z$6:$Z$66,MATCH(0,COUNTIF($AA$4:AA25,$Z$6:$Z$66),0),1),"")</f>
        <v/>
      </c>
      <c r="AB26" s="277" t="str">
        <f>IF(AND('1.4 Analyse &amp; Synthese'!T27=1,'1.4 Analyse &amp; Synthese'!F27="Werkzeug"),'1.4 Analyse &amp; Synthese'!I27&amp;CHAR(13)&amp;"("&amp;'(Codierung)'!$C$4&amp;" - "&amp;'1.4 Analyse &amp; Synthese'!C27&amp;")","")</f>
        <v/>
      </c>
      <c r="AC26" s="277" t="str">
        <f t="array" ref="AC26">_xlfn.IFNA(INDEX($AB$6:$AB$66,MATCH(0,COUNTIF($AC$4:AC25,$AB$6:$AB$66),0),1),"")</f>
        <v/>
      </c>
      <c r="AE26" s="277" t="str">
        <f>IF(AND('1.4 Analyse &amp; Synthese'!U27=1,'1.4 Analyse &amp; Synthese'!F27="Empfehlung"),'1.4 Analyse &amp; Synthese'!I27&amp;CHAR(13)&amp;"("&amp;'(Codierung)'!$C$2&amp;" - "&amp;'1.4 Analyse &amp; Synthese'!C27&amp;")","")</f>
        <v/>
      </c>
      <c r="AF26" s="277" t="str">
        <f t="array" ref="AF26">_xlfn.IFNA(INDEX($AE$6:$AE$66,MATCH(0,COUNTIF($AF$4:AF25,$AE$6:$AE$66),0),1),"")</f>
        <v/>
      </c>
      <c r="AG26" s="277" t="str">
        <f>IF(AND('1.4 Analyse &amp; Synthese'!U27=1,'1.4 Analyse &amp; Synthese'!F27="Methode"),'1.4 Analyse &amp; Synthese'!I27&amp;CHAR(13)&amp;"("&amp;'(Codierung)'!$C$3&amp;" - "&amp;'1.4 Analyse &amp; Synthese'!C27&amp;")","")</f>
        <v/>
      </c>
      <c r="AH26" s="277" t="str">
        <f t="array" ref="AH26">_xlfn.IFNA(INDEX($AG$6:$AG$66,MATCH(0,COUNTIF($AH$4:AH25,$AG$6:$AG$66),0),1),"")</f>
        <v/>
      </c>
      <c r="AI26" s="277" t="str">
        <f>IF(AND('1.4 Analyse &amp; Synthese'!U27=1,'1.4 Analyse &amp; Synthese'!F27="Werkzeug"),'1.4 Analyse &amp; Synthese'!I27&amp;CHAR(13)&amp;"("&amp;'(Codierung)'!$C$4&amp;" - "&amp;'1.4 Analyse &amp; Synthese'!C27&amp;")","")</f>
        <v/>
      </c>
      <c r="AJ26" s="277" t="str">
        <f t="array" ref="AJ26">_xlfn.IFNA(INDEX($AI$6:$AI$66,MATCH(0,COUNTIF($AJ$4:AJ25,$AI$6:$AI$66),0),1),"")</f>
        <v/>
      </c>
      <c r="AL26" s="277" t="str">
        <f>IF(AND('1.4 Analyse &amp; Synthese'!V27=1,'1.4 Analyse &amp; Synthese'!F27="Empfehlung"),'1.4 Analyse &amp; Synthese'!I27&amp;CHAR(13)&amp;"("&amp;'(Codierung)'!$C$2&amp;" - "&amp;'1.4 Analyse &amp; Synthese'!C27&amp;")","")</f>
        <v/>
      </c>
      <c r="AM26" s="277" t="str">
        <f t="array" ref="AM26">_xlfn.IFNA(INDEX($AL$6:$AL$66,MATCH(0,COUNTIF($AM$4:AM25,$AL$6:$AL$66),0),1),"")</f>
        <v/>
      </c>
      <c r="AN26" s="277" t="str">
        <f>IF(AND('1.4 Analyse &amp; Synthese'!V27=1,'1.4 Analyse &amp; Synthese'!F27="Methode"),'1.4 Analyse &amp; Synthese'!I27&amp;CHAR(13)&amp;"("&amp;'(Codierung)'!$C$3&amp;" - "&amp;'1.4 Analyse &amp; Synthese'!C27&amp;")","")</f>
        <v/>
      </c>
      <c r="AO26" s="277" t="str">
        <f t="array" ref="AO26">_xlfn.IFNA(INDEX($AN$6:$AN$66,MATCH(0,COUNTIF($AO$4:AO25,$AN$6:$AN$66),0),1),"")</f>
        <v/>
      </c>
      <c r="AP26" s="277" t="str">
        <f>IF(AND('1.4 Analyse &amp; Synthese'!V27=1,'1.4 Analyse &amp; Synthese'!F27="Werkzeug"),'1.4 Analyse &amp; Synthese'!I27&amp;CHAR(13)&amp;"("&amp;'(Codierung)'!$C$4&amp;" - "&amp;'1.4 Analyse &amp; Synthese'!C27&amp;")","")</f>
        <v/>
      </c>
      <c r="AQ26" s="277" t="str">
        <f t="array" ref="AQ26">_xlfn.IFNA(INDEX($AP$6:$AP$66,MATCH(0,COUNTIF($AQ$4:AQ25,$AP$6:$AP$66),0),1),"")</f>
        <v/>
      </c>
      <c r="AS26" s="277" t="str">
        <f>IF(AND('1.4 Analyse &amp; Synthese'!W27=1,'1.4 Analyse &amp; Synthese'!F27="Empfehlung"),'1.4 Analyse &amp; Synthese'!I27&amp;CHAR(13)&amp;"("&amp;'(Codierung)'!$C$2&amp;" - "&amp;'1.4 Analyse &amp; Synthese'!C27&amp;")","")</f>
        <v/>
      </c>
      <c r="AT26" s="277" t="str">
        <f t="array" ref="AT26">_xlfn.IFNA(INDEX($AS$6:$AS$66,MATCH(0,COUNTIF($AT$4:AT25,$AS$6:$AS$66),0),1),"")</f>
        <v/>
      </c>
      <c r="AU26" s="277" t="str">
        <f>IF(AND('1.4 Analyse &amp; Synthese'!W27=1,'1.4 Analyse &amp; Synthese'!F27="Methode"),'1.4 Analyse &amp; Synthese'!I27&amp;CHAR(13)&amp;"("&amp;'(Codierung)'!$C$3&amp;" - "&amp;'1.4 Analyse &amp; Synthese'!C27&amp;")","")</f>
        <v/>
      </c>
      <c r="AV26" s="277" t="str">
        <f t="array" ref="AV26">_xlfn.IFNA(INDEX($AU$6:$AU$66,MATCH(0,COUNTIF($AV$4:AV25,$AU$6:$AU$66),0),1),"")</f>
        <v/>
      </c>
      <c r="AW26" s="277" t="str">
        <f>IF(AND('1.4 Analyse &amp; Synthese'!W27=1,'1.4 Analyse &amp; Synthese'!F27="Werkzeug"),'1.4 Analyse &amp; Synthese'!I27&amp;CHAR(13)&amp;"("&amp;'(Codierung)'!$C$4&amp;" - "&amp;'1.4 Analyse &amp; Synthese'!C27&amp;")","")</f>
        <v/>
      </c>
      <c r="AX26" s="277" t="str">
        <f t="array" ref="AX26">_xlfn.IFNA(INDEX($AW$6:$AW$66,MATCH(0,COUNTIF($AX$4:AX25,$AW$6:$AW$66),0),1),"")</f>
        <v/>
      </c>
      <c r="AZ26" s="277" t="str">
        <f>IF(AND('1.4 Analyse &amp; Synthese'!X27=1,'1.4 Analyse &amp; Synthese'!F27="Empfehlung"),'1.4 Analyse &amp; Synthese'!I27&amp;CHAR(13)&amp;"("&amp;'(Codierung)'!$C$2&amp;" - "&amp;'1.4 Analyse &amp; Synthese'!C27&amp;")","")</f>
        <v>Cloud Metrik Evaluierung_x000D_(Empfehlung - Lee)</v>
      </c>
      <c r="BA26" s="277" t="str">
        <f t="array" ref="BA26">_xlfn.IFNA(INDEX($AZ$6:$AZ$66,MATCH(0,COUNTIF($BA$4:BA25,$AZ$6:$AZ$66),0),1),"")</f>
        <v/>
      </c>
      <c r="BB26" s="277" t="str">
        <f>IF(AND('1.4 Analyse &amp; Synthese'!X27=1,'1.4 Analyse &amp; Synthese'!F27="Methode"),'1.4 Analyse &amp; Synthese'!I27&amp;CHAR(13)&amp;"("&amp;'(Codierung)'!$C$3&amp;" - "&amp;'1.4 Analyse &amp; Synthese'!C27&amp;")","")</f>
        <v/>
      </c>
      <c r="BC26" s="277" t="str">
        <f t="array" ref="BC26">_xlfn.IFNA(INDEX($BB$6:$BB$66,MATCH(0,COUNTIF($BC$4:BC25,$BB$6:$BB$66),0),1),"")</f>
        <v/>
      </c>
      <c r="BD26" s="277" t="str">
        <f>IF(AND('1.4 Analyse &amp; Synthese'!X27=1,'1.4 Analyse &amp; Synthese'!F27="Werkzeug"),'1.4 Analyse &amp; Synthese'!I27&amp;CHAR(13)&amp;"("&amp;'(Codierung)'!$C$4&amp;" - "&amp;'1.4 Analyse &amp; Synthese'!C27&amp;")","")</f>
        <v/>
      </c>
      <c r="BE26" s="277" t="str">
        <f t="array" ref="BE26">_xlfn.IFNA(INDEX($BD$6:$BD$66,MATCH(0,COUNTIF($BE$4:BE25,$BD$6:$BD$66),0),1),"")</f>
        <v/>
      </c>
      <c r="BG26" s="277" t="str">
        <f>IF(AND('1.4 Analyse &amp; Synthese'!Y27=1,'1.4 Analyse &amp; Synthese'!F27="Empfehlung"),'1.4 Analyse &amp; Synthese'!I27&amp;CHAR(13)&amp;"("&amp;'(Codierung)'!$C$2&amp;" - "&amp;'1.4 Analyse &amp; Synthese'!C27&amp;")","")</f>
        <v/>
      </c>
      <c r="BH26" s="277" t="str">
        <f t="array" ref="BH26">_xlfn.IFNA(INDEX($BG$6:$BG$66,MATCH(0,COUNTIF($BH$4:BH25,$BG$6:$BG$66),0),1),"")</f>
        <v/>
      </c>
      <c r="BI26" s="277" t="str">
        <f>IF(AND('1.4 Analyse &amp; Synthese'!Y27=1,'1.4 Analyse &amp; Synthese'!F27="Methode"),'1.4 Analyse &amp; Synthese'!I27&amp;CHAR(13)&amp;"("&amp;'(Codierung)'!$C$3&amp;" - "&amp;'1.4 Analyse &amp; Synthese'!C27&amp;")","")</f>
        <v/>
      </c>
      <c r="BJ26" s="277" t="str">
        <f t="array" ref="BJ26">_xlfn.IFNA(INDEX($BI$6:$BI$66,MATCH(0,COUNTIF($BJ$4:BJ25,$BI$6:$BI$66),0),1),"")</f>
        <v/>
      </c>
      <c r="BK26" s="277" t="str">
        <f>IF(AND('1.4 Analyse &amp; Synthese'!Y27=1,'1.4 Analyse &amp; Synthese'!F27="Werkzeug"),'1.4 Analyse &amp; Synthese'!I27&amp;CHAR(13)&amp;"("&amp;'(Codierung)'!$C$4&amp;" - "&amp;'1.4 Analyse &amp; Synthese'!C27&amp;")","")</f>
        <v/>
      </c>
      <c r="BL26" s="277" t="str">
        <f t="array" ref="BL26">_xlfn.IFNA(INDEX($BK$6:$BK$66,MATCH(0,COUNTIF($BL$4:BL25,$BK$6:$BK$66),0),1),"")</f>
        <v/>
      </c>
      <c r="BN26" s="277" t="str">
        <f>IF(AND('1.4 Analyse &amp; Synthese'!Z27=1,'1.4 Analyse &amp; Synthese'!F27="Empfehlung"),'1.4 Analyse &amp; Synthese'!I27&amp;CHAR(13)&amp;"("&amp;'(Codierung)'!$C$2&amp;" - "&amp;'1.4 Analyse &amp; Synthese'!C27&amp;")","")</f>
        <v>Cloud Metrik Evaluierung_x000D_(Empfehlung - Lee)</v>
      </c>
      <c r="BO26" s="277" t="str">
        <f t="array" ref="BO26">_xlfn.IFNA(INDEX($BN$6:$BN$66,MATCH(0,COUNTIF($BO$4:BO25,$BN$6:$BN$66),0),1),"")</f>
        <v/>
      </c>
      <c r="BP26" s="277" t="str">
        <f>IF(AND('1.4 Analyse &amp; Synthese'!Z27=1,'1.4 Analyse &amp; Synthese'!F27="Methode"),'1.4 Analyse &amp; Synthese'!I27&amp;CHAR(13)&amp;"("&amp;'(Codierung)'!$C$3&amp;" - "&amp;'1.4 Analyse &amp; Synthese'!C27&amp;")","")</f>
        <v/>
      </c>
      <c r="BQ26" s="277" t="str">
        <f t="array" ref="BQ26">_xlfn.IFNA(INDEX($BP$6:$BP$66,MATCH(0,COUNTIF($BQ$4:BQ25,$BP$6:$BP$66),0),1),"")</f>
        <v/>
      </c>
      <c r="BR26" s="277" t="str">
        <f>IF(AND('1.4 Analyse &amp; Synthese'!Z27=1,'1.4 Analyse &amp; Synthese'!F27="Werkzeug"),'1.4 Analyse &amp; Synthese'!I27&amp;CHAR(13)&amp;"("&amp;'(Codierung)'!$C$4&amp;" - "&amp;'1.4 Analyse &amp; Synthese'!C27&amp;")","")</f>
        <v/>
      </c>
      <c r="BS26" s="277" t="str">
        <f t="array" ref="BS26">_xlfn.IFNA(INDEX($BR$6:$BR$66,MATCH(0,COUNTIF($BS$4:BS25,$BR$6:$BR$66),0),1),"")</f>
        <v/>
      </c>
      <c r="BU26" s="277" t="str">
        <f>IF(AND('1.4 Analyse &amp; Synthese'!AA27=1,'1.4 Analyse &amp; Synthese'!F27="Empfehlung"),'1.4 Analyse &amp; Synthese'!I27&amp;CHAR(13)&amp;"("&amp;'(Codierung)'!$C$2&amp;" - "&amp;'1.4 Analyse &amp; Synthese'!C27&amp;")","")</f>
        <v/>
      </c>
      <c r="BV26" s="277" t="str">
        <f t="array" ref="BV26">_xlfn.IFNA(INDEX($BU$6:$BU$66,MATCH(0,COUNTIF($BV$4:BV25,$BU$6:$BU$66),0),1),"")</f>
        <v/>
      </c>
      <c r="BW26" s="277" t="str">
        <f>IF(AND('1.4 Analyse &amp; Synthese'!AA27=1,'1.4 Analyse &amp; Synthese'!F27="Methode"),'1.4 Analyse &amp; Synthese'!I27&amp;CHAR(13)&amp;"("&amp;'(Codierung)'!$C$3&amp;" - "&amp;'1.4 Analyse &amp; Synthese'!C27&amp;")","")</f>
        <v/>
      </c>
      <c r="BX26" s="277" t="str">
        <f t="array" ref="BX26">_xlfn.IFNA(INDEX($BW$6:$BW$66,MATCH(0,COUNTIF($BX$4:BX25,$BW$6:$BW$66),0),1),"")</f>
        <v/>
      </c>
      <c r="BY26" s="277" t="str">
        <f>IF(AND('1.4 Analyse &amp; Synthese'!AA27=1,'1.4 Analyse &amp; Synthese'!F27="Werkzeug"),'1.4 Analyse &amp; Synthese'!I27&amp;CHAR(13)&amp;"("&amp;'(Codierung)'!$C$4&amp;" - "&amp;'1.4 Analyse &amp; Synthese'!C27&amp;")","")</f>
        <v/>
      </c>
      <c r="BZ26" s="277" t="str">
        <f t="array" ref="BZ26">_xlfn.IFNA(INDEX($BY$6:$BY$66,MATCH(0,COUNTIF($BZ$4:BZ25,$BY$6:$BY$66),0),1),"")</f>
        <v/>
      </c>
      <c r="CB26" s="277" t="str">
        <f>IF(AND('1.4 Analyse &amp; Synthese'!AB27=1,'1.4 Analyse &amp; Synthese'!F27="Empfehlung"),'1.4 Analyse &amp; Synthese'!I27&amp;CHAR(13)&amp;"("&amp;'(Codierung)'!$C$2&amp;" - "&amp;'1.4 Analyse &amp; Synthese'!C27&amp;")","")</f>
        <v/>
      </c>
      <c r="CC26" s="277" t="str">
        <f t="array" ref="CC26">_xlfn.IFNA(INDEX($CB$6:$CB$66,MATCH(0,COUNTIF($CC$4:CC25,$CB$6:$CB$66),0),1),"")</f>
        <v/>
      </c>
      <c r="CD26" s="277" t="str">
        <f>IF(AND('1.4 Analyse &amp; Synthese'!AB27=1,'1.4 Analyse &amp; Synthese'!F27="Methode"),'1.4 Analyse &amp; Synthese'!I27&amp;CHAR(13)&amp;"("&amp;'(Codierung)'!$C$3&amp;" - "&amp;'1.4 Analyse &amp; Synthese'!C27&amp;")","")</f>
        <v/>
      </c>
      <c r="CE26" s="277" t="str">
        <f t="array" ref="CE26">_xlfn.IFNA(INDEX($CD$6:$CD$66,MATCH(0,COUNTIF($CE$4:CE25,$CD$6:$CD$66),0),1),"")</f>
        <v/>
      </c>
      <c r="CF26" s="277" t="str">
        <f>IF(AND('1.4 Analyse &amp; Synthese'!AB27=1,'1.4 Analyse &amp; Synthese'!F27="Werkzeug"),'1.4 Analyse &amp; Synthese'!I27&amp;CHAR(13)&amp;"("&amp;'(Codierung)'!$C$4&amp;" - "&amp;'1.4 Analyse &amp; Synthese'!C27&amp;")","")</f>
        <v/>
      </c>
      <c r="CG26" s="277" t="str">
        <f t="array" ref="CG26">_xlfn.IFNA(INDEX($CF$6:$CF$66,MATCH(0,COUNTIF($CG$4:CG25,$CF$6:$CF$66),0),1),"")</f>
        <v/>
      </c>
      <c r="CI26" s="277" t="str">
        <f>IF(AND('1.4 Analyse &amp; Synthese'!AC27=1,'1.4 Analyse &amp; Synthese'!F27="Empfehlung"),'1.4 Analyse &amp; Synthese'!I27&amp;CHAR(13)&amp;"("&amp;'(Codierung)'!$C$2&amp;" - "&amp;'1.4 Analyse &amp; Synthese'!C27&amp;")","")</f>
        <v/>
      </c>
      <c r="CJ26" s="277" t="str">
        <f t="array" ref="CJ26">_xlfn.IFNA(INDEX($CI$6:$CI$66,MATCH(0,COUNTIF($CJ$4:CJ25,$CI$6:$CI$66),0),1),"")</f>
        <v/>
      </c>
      <c r="CK26" s="277" t="str">
        <f>IF(AND('1.4 Analyse &amp; Synthese'!AC27=1,'1.4 Analyse &amp; Synthese'!F27="Methode"),'1.4 Analyse &amp; Synthese'!I27&amp;CHAR(13)&amp;"("&amp;'(Codierung)'!$C$3&amp;" - "&amp;'1.4 Analyse &amp; Synthese'!C27&amp;")","")</f>
        <v/>
      </c>
      <c r="CL26" s="277" t="str">
        <f t="array" ref="CL26">_xlfn.IFNA(INDEX($CK$6:$CK$66,MATCH(0,COUNTIF($CL$4:CL25,$CK$6:$CK$66),0),1),"")</f>
        <v/>
      </c>
      <c r="CM26" s="277" t="str">
        <f>IF(AND('1.4 Analyse &amp; Synthese'!AC27=1,'1.4 Analyse &amp; Synthese'!F27="Werkzeug"),'1.4 Analyse &amp; Synthese'!I27&amp;CHAR(13)&amp;"("&amp;'(Codierung)'!$C$4&amp;" - "&amp;'1.4 Analyse &amp; Synthese'!C27&amp;")","")</f>
        <v/>
      </c>
      <c r="CN26" s="277" t="str">
        <f t="array" ref="CN26">_xlfn.IFNA(INDEX($CM$6:$CM$66,MATCH(0,COUNTIF($CN$4:CN25,$CM$6:$CM$66),0),1),"")</f>
        <v/>
      </c>
      <c r="CP26" s="277" t="str">
        <f>IF(AND('1.4 Analyse &amp; Synthese'!AD27=1,'1.4 Analyse &amp; Synthese'!F27="Empfehlung"),'1.4 Analyse &amp; Synthese'!I27&amp;CHAR(13)&amp;"("&amp;'(Codierung)'!$C$2&amp;" - "&amp;'1.4 Analyse &amp; Synthese'!C27&amp;")","")</f>
        <v/>
      </c>
      <c r="CQ26" s="277" t="str">
        <f t="array" ref="CQ26">_xlfn.IFNA(INDEX($CP$6:$CP$66,MATCH(0,COUNTIF($CQ$4:CQ25,$CP$6:$CP$66),0),1),"")</f>
        <v/>
      </c>
      <c r="CR26" s="277" t="str">
        <f>IF(AND('1.4 Analyse &amp; Synthese'!AD27=1,'1.4 Analyse &amp; Synthese'!F27="Methode"),'1.4 Analyse &amp; Synthese'!I27&amp;CHAR(13)&amp;"("&amp;'(Codierung)'!$C$3&amp;" - "&amp;'1.4 Analyse &amp; Synthese'!C27&amp;")","")</f>
        <v/>
      </c>
      <c r="CS26" s="277" t="str">
        <f t="array" ref="CS26">_xlfn.IFNA(INDEX($CR$6:$CR$66,MATCH(0,COUNTIF($CS$4:CS25,$CR$6:$CR$66),0),1),"")</f>
        <v/>
      </c>
      <c r="CT26" s="277" t="str">
        <f>IF(AND('1.4 Analyse &amp; Synthese'!AD27=1,'1.4 Analyse &amp; Synthese'!F27="Werkzeug"),'1.4 Analyse &amp; Synthese'!I27&amp;CHAR(13)&amp;"("&amp;'(Codierung)'!$C$4&amp;" - "&amp;'1.4 Analyse &amp; Synthese'!C27&amp;")","")</f>
        <v/>
      </c>
      <c r="CU26" s="277" t="str">
        <f t="array" ref="CU26">_xlfn.IFNA(INDEX($CT$6:$CT$66,MATCH(0,COUNTIF($CU$4:CU25,$CT$6:$CT$66),0),1),"")</f>
        <v/>
      </c>
      <c r="CW26" s="277" t="str">
        <f>IF(AND('1.4 Analyse &amp; Synthese'!AE27=1,'1.4 Analyse &amp; Synthese'!F27="Empfehlung"),'1.4 Analyse &amp; Synthese'!I27&amp;CHAR(13)&amp;"("&amp;'(Codierung)'!$C$2&amp;" - "&amp;'1.4 Analyse &amp; Synthese'!C27&amp;")","")</f>
        <v/>
      </c>
      <c r="CX26" s="277" t="str">
        <f t="array" ref="CX26">_xlfn.IFNA(INDEX($CW$6:$CW$66,MATCH(0,COUNTIF($CX$4:CX25,$CW$6:$CW$66),0),1),"")</f>
        <v/>
      </c>
      <c r="CY26" s="277" t="str">
        <f>IF(AND('1.4 Analyse &amp; Synthese'!AE27=1,'1.4 Analyse &amp; Synthese'!F27="Methode"),'1.4 Analyse &amp; Synthese'!I27&amp;CHAR(13)&amp;"("&amp;'(Codierung)'!$C$3&amp;" - "&amp;'1.4 Analyse &amp; Synthese'!C27&amp;")","")</f>
        <v/>
      </c>
      <c r="CZ26" s="277" t="str">
        <f t="array" ref="CZ26">_xlfn.IFNA(INDEX($CY$6:$CY$66,MATCH(0,COUNTIF($CZ$4:CZ25,$CY$6:$CY$66),0),1),"")</f>
        <v/>
      </c>
      <c r="DA26" s="277" t="str">
        <f>IF(AND('1.4 Analyse &amp; Synthese'!AE27=1,'1.4 Analyse &amp; Synthese'!F27="Werkzeug"),'1.4 Analyse &amp; Synthese'!I27&amp;CHAR(13)&amp;"("&amp;'(Codierung)'!$C$4&amp;" - "&amp;'1.4 Analyse &amp; Synthese'!C27&amp;")","")</f>
        <v/>
      </c>
      <c r="DB26" s="277" t="str">
        <f t="array" ref="DB26">_xlfn.IFNA(INDEX($DA$6:$DA$66,MATCH(0,COUNTIF($DB$4:DB25,$DA$6:$DA$66),0),1),"")</f>
        <v/>
      </c>
      <c r="DD26" s="277" t="str">
        <f>IF(AND('1.4 Analyse &amp; Synthese'!AF27=1,'1.4 Analyse &amp; Synthese'!F27="Empfehlung"),'1.4 Analyse &amp; Synthese'!I27&amp;CHAR(13)&amp;"("&amp;'(Codierung)'!$C$2&amp;" - "&amp;'1.4 Analyse &amp; Synthese'!C27&amp;")","")</f>
        <v/>
      </c>
      <c r="DE26" s="277" t="str">
        <f t="array" ref="DE26">_xlfn.IFNA(INDEX($DD$6:$DD$66,MATCH(0,COUNTIF($DE$4:DE25,$DD$6:$DD$66),0),1),"")</f>
        <v/>
      </c>
      <c r="DF26" s="277" t="str">
        <f>IF(AND('1.4 Analyse &amp; Synthese'!AF27=1,'1.4 Analyse &amp; Synthese'!F27="Methode"),'1.4 Analyse &amp; Synthese'!I27&amp;CHAR(13)&amp;"("&amp;'(Codierung)'!$C$3&amp;" - "&amp;'1.4 Analyse &amp; Synthese'!C27&amp;")","")</f>
        <v/>
      </c>
      <c r="DG26" s="277" t="str">
        <f t="array" ref="DG26">_xlfn.IFNA(INDEX($DF$6:$DF$66,MATCH(0,COUNTIF($DG$4:DG25,$DF$6:$DF$66),0),1),"")</f>
        <v/>
      </c>
      <c r="DH26" s="277" t="str">
        <f>IF(AND('1.4 Analyse &amp; Synthese'!AF27=1,'1.4 Analyse &amp; Synthese'!F27="Werkzeug"),'1.4 Analyse &amp; Synthese'!I27&amp;CHAR(13)&amp;"("&amp;'(Codierung)'!$C$4&amp;" - "&amp;'1.4 Analyse &amp; Synthese'!C27&amp;")","")</f>
        <v/>
      </c>
      <c r="DI26" s="277" t="str">
        <f t="array" ref="DI26">_xlfn.IFNA(INDEX($DH$6:$DH$66,MATCH(0,COUNTIF($DI$4:DI25,$DH$6:$DH$66),0),1),"")</f>
        <v/>
      </c>
      <c r="DK26" s="277" t="str">
        <f>IF(AND('1.4 Analyse &amp; Synthese'!AG27=1,'1.4 Analyse &amp; Synthese'!F27="Empfehlung"),'1.4 Analyse &amp; Synthese'!I27&amp;CHAR(13)&amp;"("&amp;'(Codierung)'!$C$2&amp;" - "&amp;'1.4 Analyse &amp; Synthese'!C27&amp;")","")</f>
        <v/>
      </c>
      <c r="DL26" s="277" t="str">
        <f t="array" ref="DL26">_xlfn.IFNA(INDEX($DK$6:$DK$66,MATCH(0,COUNTIF($DL$4:DL25,$DK$6:$DK$66),0),1),"")</f>
        <v/>
      </c>
      <c r="DM26" s="277" t="str">
        <f>IF(AND('1.4 Analyse &amp; Synthese'!AG27=1,'1.4 Analyse &amp; Synthese'!F27="Methode"),'1.4 Analyse &amp; Synthese'!I27&amp;CHAR(13)&amp;"("&amp;'(Codierung)'!$C$3&amp;" - "&amp;'1.4 Analyse &amp; Synthese'!C27&amp;")","")</f>
        <v/>
      </c>
      <c r="DN26" s="277" t="str">
        <f t="array" ref="DN26">_xlfn.IFNA(INDEX($DM$6:$DM$66,MATCH(0,COUNTIF($DN$4:DN25,$DM$6:$DM$66),0),1),"")</f>
        <v/>
      </c>
      <c r="DO26" s="277" t="str">
        <f>IF(AND('1.4 Analyse &amp; Synthese'!AG27=1,'1.4 Analyse &amp; Synthese'!F27="Werkzeug"),'1.4 Analyse &amp; Synthese'!I27&amp;CHAR(13)&amp;"("&amp;'(Codierung)'!$C$4&amp;" - "&amp;'1.4 Analyse &amp; Synthese'!C27&amp;")","")</f>
        <v/>
      </c>
      <c r="DP26" s="277" t="str">
        <f t="array" ref="DP26">_xlfn.IFNA(INDEX($DO$6:$DO$66,MATCH(0,COUNTIF($DP$4:DP25,$DO$6:$DO$66),0),1),"")</f>
        <v/>
      </c>
      <c r="DR26" s="277" t="str">
        <f>IF(AND('1.4 Analyse &amp; Synthese'!AH27=1,'1.4 Analyse &amp; Synthese'!F27="Empfehlung"),'1.4 Analyse &amp; Synthese'!I27&amp;CHAR(13)&amp;"("&amp;'(Codierung)'!$C$2&amp;" - "&amp;'1.4 Analyse &amp; Synthese'!C27&amp;")","")</f>
        <v/>
      </c>
      <c r="DS26" s="277" t="str">
        <f t="array" ref="DS26">_xlfn.IFNA(INDEX($DR$6:$DR$66,MATCH(0,COUNTIF($DS$4:DS25,$DR$6:$DR$66),0),1),"")</f>
        <v/>
      </c>
      <c r="DT26" s="277" t="str">
        <f>IF(AND('1.4 Analyse &amp; Synthese'!AH27=1,'1.4 Analyse &amp; Synthese'!F27="Methode"),'1.4 Analyse &amp; Synthese'!I27&amp;CHAR(13)&amp;"("&amp;'(Codierung)'!$C$3&amp;" - "&amp;'1.4 Analyse &amp; Synthese'!C27&amp;")","")</f>
        <v/>
      </c>
      <c r="DU26" s="277" t="str">
        <f t="array" ref="DU26">_xlfn.IFNA(INDEX($DT$6:$DT$66,MATCH(0,COUNTIF($DU$4:DU25,$DT$6:$DT$66),0),1),"")</f>
        <v/>
      </c>
      <c r="DV26" s="277" t="str">
        <f>IF(AND('1.4 Analyse &amp; Synthese'!AH27=1,'1.4 Analyse &amp; Synthese'!F27="Werkzeug"),'1.4 Analyse &amp; Synthese'!I27&amp;CHAR(13)&amp;"("&amp;'(Codierung)'!$C$4&amp;" - "&amp;'1.4 Analyse &amp; Synthese'!C27&amp;")","")</f>
        <v/>
      </c>
      <c r="DW26" s="277" t="str">
        <f t="array" ref="DW26">_xlfn.IFNA(INDEX($DV$6:$DV$66,MATCH(0,COUNTIF($DW$4:DW25,$DV$6:$DV$66),0),1),"")</f>
        <v/>
      </c>
      <c r="DY26" s="277" t="str">
        <f>IF(AND('1.4 Analyse &amp; Synthese'!AI27=1,'1.4 Analyse &amp; Synthese'!F27="Empfehlung"),'1.4 Analyse &amp; Synthese'!I27&amp;CHAR(13)&amp;"("&amp;'(Codierung)'!$C$2&amp;" - "&amp;'1.4 Analyse &amp; Synthese'!C27&amp;")","")</f>
        <v/>
      </c>
      <c r="DZ26" s="277" t="str">
        <f t="array" ref="DZ26">_xlfn.IFNA(INDEX($DY$6:$DY$66,MATCH(0,COUNTIF($DZ$4:DZ25,$DY$6:$DY$66),0),1),"")</f>
        <v/>
      </c>
      <c r="EA26" s="277" t="str">
        <f>IF(AND('1.4 Analyse &amp; Synthese'!AI27=1,'1.4 Analyse &amp; Synthese'!F27="Methode"),'1.4 Analyse &amp; Synthese'!I27&amp;CHAR(13)&amp;"("&amp;'(Codierung)'!$C$3&amp;" - "&amp;'1.4 Analyse &amp; Synthese'!C27&amp;")","")</f>
        <v/>
      </c>
      <c r="EB26" s="277" t="str">
        <f t="array" ref="EB26">_xlfn.IFNA(INDEX($EA$6:$EA$66,MATCH(0,COUNTIF($EB$4:EB25,$EA$6:$EA$66),0),1),"")</f>
        <v/>
      </c>
      <c r="EC26" s="277" t="str">
        <f>IF(AND('1.4 Analyse &amp; Synthese'!AI27=1,'1.4 Analyse &amp; Synthese'!F27="Werkzeug"),'1.4 Analyse &amp; Synthese'!I27&amp;CHAR(13)&amp;"("&amp;'(Codierung)'!$C$4&amp;" - "&amp;'1.4 Analyse &amp; Synthese'!C27&amp;")","")</f>
        <v/>
      </c>
      <c r="ED26" s="277" t="str">
        <f t="array" ref="ED26">_xlfn.IFNA(INDEX($EC$6:$EC$66,MATCH(0,COUNTIF($ED$4:ED25,$EC$6:$EC$66),0),1),"")</f>
        <v/>
      </c>
      <c r="EF26" s="277" t="str">
        <f>IF(AND('1.4 Analyse &amp; Synthese'!AJ27=1,'1.4 Analyse &amp; Synthese'!F27="Empfehlung"),'1.4 Analyse &amp; Synthese'!I27&amp;CHAR(13)&amp;"("&amp;'(Codierung)'!$C$2&amp;" - "&amp;'1.4 Analyse &amp; Synthese'!C27&amp;")","")</f>
        <v/>
      </c>
      <c r="EG26" s="277" t="str">
        <f t="array" ref="EG26">_xlfn.IFNA(INDEX($EF$6:$EF$66,MATCH(0,COUNTIF($EG$4:EG25,$EF$6:$EF$66),0),1),"")</f>
        <v/>
      </c>
      <c r="EH26" s="277" t="str">
        <f>IF(AND('1.4 Analyse &amp; Synthese'!AJ27=1,'1.4 Analyse &amp; Synthese'!F27="Methode"),'1.4 Analyse &amp; Synthese'!I27&amp;CHAR(13)&amp;"("&amp;'(Codierung)'!$C$3&amp;" - "&amp;'1.4 Analyse &amp; Synthese'!C27&amp;")","")</f>
        <v/>
      </c>
      <c r="EI26" s="277" t="str">
        <f t="array" ref="EI26">_xlfn.IFNA(INDEX($EH$6:$EH$66,MATCH(0,COUNTIF($EI$4:EI25,$EH$6:$EH$66),0),1),"")</f>
        <v/>
      </c>
      <c r="EJ26" s="277" t="str">
        <f>IF(AND('1.4 Analyse &amp; Synthese'!AJ27=1,'1.4 Analyse &amp; Synthese'!F27="Werkzeug"),'1.4 Analyse &amp; Synthese'!I27&amp;CHAR(13)&amp;"("&amp;'(Codierung)'!$C$4&amp;" - "&amp;'1.4 Analyse &amp; Synthese'!C27&amp;")","")</f>
        <v/>
      </c>
      <c r="EK26" s="277" t="str">
        <f t="array" ref="EK26">_xlfn.IFNA(INDEX($EJ$6:$EJ$66,MATCH(0,COUNTIF($EK$4:EK25,$EJ$6:$EJ$66),0),1),"")</f>
        <v/>
      </c>
      <c r="EN26" s="222" t="str">
        <f t="shared" si="0"/>
        <v/>
      </c>
      <c r="EO26" s="277" t="str">
        <f t="shared" si="1"/>
        <v/>
      </c>
      <c r="EP26" s="277" t="str">
        <f t="shared" si="2"/>
        <v/>
      </c>
      <c r="EQ26" s="277" t="str">
        <f>ZahlenInBereich(Tabelle1[[Empfehlung]:[Werkzeug]],ROW()-5)</f>
        <v/>
      </c>
      <c r="ER26" s="277" t="str">
        <f t="shared" si="3"/>
        <v/>
      </c>
      <c r="ES26" s="277" t="str">
        <f t="shared" si="4"/>
        <v/>
      </c>
      <c r="ET26" s="277" t="str">
        <f t="shared" si="5"/>
        <v/>
      </c>
      <c r="EU26" s="277" t="str">
        <f>ZahlenInBereich(Tabelle1[[Empfehlung2]:[Werkzeug4]],ROW()-5)</f>
        <v/>
      </c>
      <c r="EV26" s="277" t="str">
        <f t="shared" si="6"/>
        <v/>
      </c>
      <c r="EW26" s="277" t="str">
        <f t="shared" si="7"/>
        <v/>
      </c>
      <c r="EX26" s="277" t="str">
        <f t="shared" si="8"/>
        <v/>
      </c>
      <c r="EY26" s="277" t="str">
        <f>ZahlenInBereich(Tabelle1[[Empfehlung6]:[Werkzeug8]],ROW()-5)</f>
        <v/>
      </c>
      <c r="EZ26" s="277" t="str">
        <f t="shared" si="9"/>
        <v/>
      </c>
      <c r="FA26" s="277" t="str">
        <f t="shared" si="10"/>
        <v/>
      </c>
      <c r="FB26" s="277" t="str">
        <f t="shared" si="11"/>
        <v/>
      </c>
      <c r="FC26" s="277" t="str">
        <f>ZahlenInBereich(Tabelle1[[Empfehlung10]:[Werkzeug12]],ROW()-5)</f>
        <v/>
      </c>
      <c r="FD26" s="277" t="str">
        <f t="shared" si="12"/>
        <v/>
      </c>
      <c r="FE26" s="277" t="str">
        <f t="shared" si="13"/>
        <v/>
      </c>
      <c r="FF26" s="277" t="str">
        <f t="shared" si="14"/>
        <v/>
      </c>
      <c r="FG26" s="277" t="str">
        <f>ZahlenInBereich(Tabelle1[[Empfehlung14]:[Werkzeug16]],ROW()-5)</f>
        <v/>
      </c>
      <c r="FH26" s="277" t="str">
        <f t="shared" si="15"/>
        <v/>
      </c>
      <c r="FI26" s="277" t="str">
        <f t="shared" si="16"/>
        <v/>
      </c>
      <c r="FJ26" s="277" t="str">
        <f t="shared" si="17"/>
        <v/>
      </c>
      <c r="FK26" s="277" t="str">
        <f>ZahlenInBereich(Tabelle1[[Empfehlung18]:[Werkzeug20]],ROW()-5)</f>
        <v/>
      </c>
      <c r="FL26" s="277" t="str">
        <f t="shared" si="18"/>
        <v/>
      </c>
      <c r="FM26" s="277" t="str">
        <f t="shared" si="19"/>
        <v/>
      </c>
      <c r="FN26" s="277" t="str">
        <f t="shared" si="20"/>
        <v/>
      </c>
      <c r="FO26" s="277" t="str">
        <f>ZahlenInBereich(Tabelle1[[Empfehlung22]:[Werkzeug24]],ROW()-5)</f>
        <v/>
      </c>
      <c r="FP26" s="277" t="str">
        <f t="shared" si="21"/>
        <v/>
      </c>
      <c r="FQ26" s="277" t="str">
        <f t="shared" si="22"/>
        <v/>
      </c>
      <c r="FR26" s="277" t="str">
        <f t="shared" si="23"/>
        <v/>
      </c>
      <c r="FS26" s="277" t="str">
        <f>ZahlenInBereich(Tabelle1[[Empfehlung26]:[Werkzeug28]],ROW()-5)</f>
        <v/>
      </c>
      <c r="FT26" s="277" t="str">
        <f t="shared" si="24"/>
        <v/>
      </c>
      <c r="FU26" s="277" t="str">
        <f t="shared" si="25"/>
        <v/>
      </c>
      <c r="FV26" s="277" t="str">
        <f t="shared" si="26"/>
        <v/>
      </c>
      <c r="FW26" s="277" t="str">
        <f>ZahlenInBereich(Tabelle1[[Empfehlung30]:[Werkzeug32]],ROW()-5)</f>
        <v/>
      </c>
      <c r="FX26" s="277" t="str">
        <f t="shared" si="27"/>
        <v/>
      </c>
      <c r="FY26" s="277" t="str">
        <f t="shared" si="28"/>
        <v/>
      </c>
      <c r="FZ26" s="277" t="str">
        <f t="shared" si="29"/>
        <v/>
      </c>
      <c r="GA26" s="277" t="str">
        <f>ZahlenInBereich(Tabelle1[[Empfehlung34]:[Werkzeug36]],ROW()-5)</f>
        <v/>
      </c>
      <c r="GB26" s="277" t="str">
        <f t="shared" si="30"/>
        <v/>
      </c>
      <c r="GC26" s="277" t="str">
        <f t="shared" si="31"/>
        <v/>
      </c>
      <c r="GD26" s="277" t="str">
        <f t="shared" si="32"/>
        <v/>
      </c>
      <c r="GE26" s="277" t="str">
        <f>ZahlenInBereich(Tabelle1[[Empfehlung38]:[Werkzeug40]],ROW()-5)</f>
        <v/>
      </c>
      <c r="GF26" s="277" t="str">
        <f t="shared" si="33"/>
        <v/>
      </c>
      <c r="GG26" s="277" t="str">
        <f t="shared" si="34"/>
        <v/>
      </c>
      <c r="GH26" s="277" t="str">
        <f t="shared" si="35"/>
        <v/>
      </c>
      <c r="GI26" s="277" t="str">
        <f>ZahlenInBereich(Tabelle1[[Empfehlung42]:[Werkzeug44]],ROW()-5)</f>
        <v/>
      </c>
      <c r="GJ26" s="277" t="str">
        <f t="shared" si="36"/>
        <v/>
      </c>
      <c r="GK26" s="277" t="str">
        <f t="shared" si="37"/>
        <v/>
      </c>
      <c r="GL26" s="277" t="str">
        <f t="shared" si="38"/>
        <v/>
      </c>
      <c r="GM26" s="277" t="str">
        <f>ZahlenInBereich(Tabelle1[[Empfehlung46]:[Werkzeug48]],ROW()-5)</f>
        <v/>
      </c>
      <c r="GN26" s="277" t="str">
        <f t="shared" si="39"/>
        <v/>
      </c>
      <c r="GO26" s="277" t="str">
        <f t="shared" si="40"/>
        <v/>
      </c>
      <c r="GP26" s="277" t="str">
        <f t="shared" si="41"/>
        <v/>
      </c>
      <c r="GQ26" s="277" t="str">
        <f>ZahlenInBereich(Tabelle1[[Empfehlung50]:[Werkzeug52]],ROW()-5)</f>
        <v/>
      </c>
      <c r="GR26" s="277" t="str">
        <f t="shared" si="42"/>
        <v/>
      </c>
      <c r="GS26" s="277" t="str">
        <f t="shared" si="43"/>
        <v/>
      </c>
      <c r="GT26" s="277" t="str">
        <f t="shared" si="44"/>
        <v/>
      </c>
      <c r="GU26" s="277" t="str">
        <f>ZahlenInBereich(Tabelle1[[Empfehlung54]:[Werkzeug56]],ROW()-5)</f>
        <v/>
      </c>
      <c r="GV26" s="277" t="str">
        <f t="shared" si="45"/>
        <v/>
      </c>
      <c r="GW26" s="277" t="str">
        <f t="shared" si="46"/>
        <v/>
      </c>
      <c r="GX26" s="277" t="str">
        <f t="shared" si="47"/>
        <v/>
      </c>
      <c r="GY26" s="277" t="str">
        <f>ZahlenInBereich(Tabelle1[[Empfehlung58]:[Werkzeug60]],ROW()-5)</f>
        <v/>
      </c>
      <c r="GZ26" s="277" t="str">
        <f t="shared" si="48"/>
        <v/>
      </c>
      <c r="HA26" s="277" t="str">
        <f t="shared" si="49"/>
        <v/>
      </c>
      <c r="HB26" s="277" t="str">
        <f t="shared" si="50"/>
        <v/>
      </c>
      <c r="HC26" s="277" t="str">
        <f>ZahlenInBereich(Tabelle1[[Empfehlung62]:[Werkzeug64]],ROW()-5)</f>
        <v/>
      </c>
      <c r="HD26" s="277" t="str">
        <f t="shared" si="51"/>
        <v/>
      </c>
      <c r="HE26" s="277" t="str">
        <f t="shared" si="52"/>
        <v/>
      </c>
      <c r="HF26" s="277" t="str">
        <f t="shared" si="53"/>
        <v/>
      </c>
      <c r="HG26" s="277" t="str">
        <f>ZahlenInBereich(Tabelle1[[Empfehlung66]:[Werkzeug68]],ROW()-5)</f>
        <v/>
      </c>
      <c r="HH26" s="277" t="str">
        <f t="shared" si="54"/>
        <v/>
      </c>
      <c r="HI26" s="277" t="str">
        <f t="shared" si="55"/>
        <v/>
      </c>
      <c r="HJ26" s="277" t="str">
        <f t="shared" si="56"/>
        <v/>
      </c>
      <c r="HK26" s="277" t="str">
        <f>ZahlenInBereich(Tabelle1[[Empfehlung70]:[Werkzeug72]],ROW()-5)</f>
        <v/>
      </c>
      <c r="HL26" s="277" t="str">
        <f t="shared" si="57"/>
        <v/>
      </c>
      <c r="HM26" s="277" t="str">
        <f t="shared" si="58"/>
        <v/>
      </c>
      <c r="HN26" s="277" t="str">
        <f t="shared" si="59"/>
        <v/>
      </c>
      <c r="HO26" s="277" t="str">
        <f>ZahlenInBereich(Tabelle1[[Empfehlung74]:[Werkzeug76]],ROW()-5)</f>
        <v/>
      </c>
    </row>
    <row r="27" spans="2:223" ht="32" x14ac:dyDescent="0.2">
      <c r="B27" s="134">
        <f>'1.4 Analyse &amp; Synthese'!B28</f>
        <v>22</v>
      </c>
      <c r="C27" s="277" t="str">
        <f>IF(AND('1.4 Analyse &amp; Synthese'!Q28=1,'1.4 Analyse &amp; Synthese'!F28="Empfehlung"),'1.4 Analyse &amp; Synthese'!I28&amp;CHAR(13)&amp;"("&amp;'(Codierung)'!$C$2&amp;" - "&amp;'1.4 Analyse &amp; Synthese'!C28&amp;")","")</f>
        <v/>
      </c>
      <c r="D27" s="222" t="str">
        <f t="array" ref="D27">_xlfn.IFNA(INDEX($C$6:$C$66,MATCH(0,COUNTIF($D$4:D26,$C$6:$C$66),0),1),"")</f>
        <v/>
      </c>
      <c r="E27" s="277" t="str">
        <f>IF(AND('1.4 Analyse &amp; Synthese'!Q28=1,'1.4 Analyse &amp; Synthese'!F28="Methode"),'1.4 Analyse &amp; Synthese'!I28&amp;CHAR(13)&amp;"("&amp;'(Codierung)'!$C$3&amp;" - "&amp;'1.4 Analyse &amp; Synthese'!C28&amp;")","")</f>
        <v/>
      </c>
      <c r="F27" s="277" t="str">
        <f t="array" ref="F27">_xlfn.IFNA(INDEX($E$6:$E$66,MATCH(0,COUNTIF($F$4:F26,$E$6:$E$66),0),1),"")</f>
        <v/>
      </c>
      <c r="G27" s="277" t="str">
        <f>IF(AND('1.4 Analyse &amp; Synthese'!Q28=1,'1.4 Analyse &amp; Synthese'!F28="Werkzeug"),'1.4 Analyse &amp; Synthese'!I28&amp;CHAR(13)&amp;"("&amp;'(Codierung)'!$C$4&amp;" - "&amp;'1.4 Analyse &amp; Synthese'!C28&amp;")","")</f>
        <v/>
      </c>
      <c r="H27" s="277" t="str">
        <f t="array" ref="H27">_xlfn.IFNA(INDEX($G$6:$G$66,MATCH(0,COUNTIF($H$4:H26,$G$6:$G$66),0),1),"")</f>
        <v/>
      </c>
      <c r="J27" s="277" t="str">
        <f>IF(AND('1.4 Analyse &amp; Synthese'!R28=1,'1.4 Analyse &amp; Synthese'!F28="Empfehlung"),'1.4 Analyse &amp; Synthese'!I28&amp;CHAR(13)&amp;"("&amp;'(Codierung)'!$C$2&amp;" - "&amp;'1.4 Analyse &amp; Synthese'!C28&amp;")","")</f>
        <v/>
      </c>
      <c r="K27" s="277" t="str">
        <f t="array" ref="K27">_xlfn.IFNA(INDEX($J$6:$J$66,MATCH(0,COUNTIF($K$4:K26,$J$6:$J$66),0),1),"")</f>
        <v/>
      </c>
      <c r="L27" s="277" t="str">
        <f>IF(AND('1.4 Analyse &amp; Synthese'!R28=1,'1.4 Analyse &amp; Synthese'!F28="Methode"),'1.4 Analyse &amp; Synthese'!I28&amp;CHAR(13)&amp;"("&amp;'(Codierung)'!$C$3&amp;" - "&amp;'1.4 Analyse &amp; Synthese'!C28&amp;")","")</f>
        <v/>
      </c>
      <c r="M27" s="277" t="str">
        <f t="array" ref="M27">_xlfn.IFNA(INDEX($L$6:$L$66,MATCH(0,COUNTIF($M$4:M26,$L$6:$L$66),0),1),"")</f>
        <v/>
      </c>
      <c r="N27" s="277" t="str">
        <f>IF(AND('1.4 Analyse &amp; Synthese'!R28=1,'1.4 Analyse &amp; Synthese'!F28="Werkzeug"),'1.4 Analyse &amp; Synthese'!I28&amp;CHAR(13)&amp;"("&amp;'(Codierung)'!$C$4&amp;" - "&amp;'1.4 Analyse &amp; Synthese'!C28&amp;")","")</f>
        <v/>
      </c>
      <c r="O27" s="277" t="str">
        <f t="array" ref="O27">_xlfn.IFNA(INDEX($N$6:$N$66,MATCH(0,COUNTIF($O$4:O26,$N$6:$N$66),0),1),"")</f>
        <v/>
      </c>
      <c r="Q27" s="277" t="str">
        <f>IF(AND('1.4 Analyse &amp; Synthese'!S28=1,'1.4 Analyse &amp; Synthese'!F28="Empfehlung"),'1.4 Analyse &amp; Synthese'!I28&amp;CHAR(13)&amp;"("&amp;'(Codierung)'!$C$2&amp;" - "&amp;'1.4 Analyse &amp; Synthese'!C28&amp;")","")</f>
        <v/>
      </c>
      <c r="R27" s="277" t="str">
        <f t="array" ref="R27">_xlfn.IFNA(INDEX($Q$6:$Q$66,MATCH(0,COUNTIF($R$4:R26,$Q$6:$Q$66),0),1),"")</f>
        <v/>
      </c>
      <c r="S27" s="277" t="str">
        <f>IF(AND('1.4 Analyse &amp; Synthese'!S28=1,'1.4 Analyse &amp; Synthese'!F28="Methode"),'1.4 Analyse &amp; Synthese'!I28&amp;CHAR(13)&amp;"("&amp;'(Codierung)'!$C$3&amp;" - "&amp;'1.4 Analyse &amp; Synthese'!C28&amp;")","")</f>
        <v>Monitoring System_x000D_(Methode - Ludwig )</v>
      </c>
      <c r="T27" s="277" t="str">
        <f t="array" ref="T27">_xlfn.IFNA(INDEX($S$6:$S$66,MATCH(0,COUNTIF($T$4:T26,$S$6:$S$66),0),1),"")</f>
        <v/>
      </c>
      <c r="U27" s="277" t="str">
        <f>IF(AND('1.4 Analyse &amp; Synthese'!S28=1,'1.4 Analyse &amp; Synthese'!F28="Werkzeug"),'1.4 Analyse &amp; Synthese'!I28&amp;CHAR(13)&amp;"("&amp;'(Codierung)'!$C$4&amp;" - "&amp;'1.4 Analyse &amp; Synthese'!C28&amp;")","")</f>
        <v/>
      </c>
      <c r="V27" s="277" t="str">
        <f t="array" ref="V27">_xlfn.IFNA(INDEX($U$6:$U$66,MATCH(0,COUNTIF($V$4:V26,$U$6:$U$66),0),1),"")</f>
        <v/>
      </c>
      <c r="X27" s="277" t="str">
        <f>IF(AND('1.4 Analyse &amp; Synthese'!T28=1,'1.4 Analyse &amp; Synthese'!F28="Empfehlung"),'1.4 Analyse &amp; Synthese'!I28&amp;CHAR(13)&amp;"("&amp;'(Codierung)'!$C$2&amp;" - "&amp;'1.4 Analyse &amp; Synthese'!C28&amp;")","")</f>
        <v/>
      </c>
      <c r="Y27" s="277" t="str">
        <f t="array" ref="Y27">_xlfn.IFNA(INDEX($X$6:$X$66,MATCH(0,COUNTIF($Y$4:Y26,$X$6:$X$66),0),1),"")</f>
        <v/>
      </c>
      <c r="Z27" s="277" t="str">
        <f>IF(AND('1.4 Analyse &amp; Synthese'!T28=1,'1.4 Analyse &amp; Synthese'!F28="Methode"),'1.4 Analyse &amp; Synthese'!I28&amp;CHAR(13)&amp;"("&amp;'(Codierung)'!$C$3&amp;" - "&amp;'1.4 Analyse &amp; Synthese'!C28&amp;")","")</f>
        <v/>
      </c>
      <c r="AA27" s="277" t="str">
        <f t="array" ref="AA27">_xlfn.IFNA(INDEX($Z$6:$Z$66,MATCH(0,COUNTIF($AA$4:AA26,$Z$6:$Z$66),0),1),"")</f>
        <v/>
      </c>
      <c r="AB27" s="277" t="str">
        <f>IF(AND('1.4 Analyse &amp; Synthese'!T28=1,'1.4 Analyse &amp; Synthese'!F28="Werkzeug"),'1.4 Analyse &amp; Synthese'!I28&amp;CHAR(13)&amp;"("&amp;'(Codierung)'!$C$4&amp;" - "&amp;'1.4 Analyse &amp; Synthese'!C28&amp;")","")</f>
        <v/>
      </c>
      <c r="AC27" s="277" t="str">
        <f t="array" ref="AC27">_xlfn.IFNA(INDEX($AB$6:$AB$66,MATCH(0,COUNTIF($AC$4:AC26,$AB$6:$AB$66),0),1),"")</f>
        <v/>
      </c>
      <c r="AE27" s="277" t="str">
        <f>IF(AND('1.4 Analyse &amp; Synthese'!U28=1,'1.4 Analyse &amp; Synthese'!F28="Empfehlung"),'1.4 Analyse &amp; Synthese'!I28&amp;CHAR(13)&amp;"("&amp;'(Codierung)'!$C$2&amp;" - "&amp;'1.4 Analyse &amp; Synthese'!C28&amp;")","")</f>
        <v/>
      </c>
      <c r="AF27" s="277" t="str">
        <f t="array" ref="AF27">_xlfn.IFNA(INDEX($AE$6:$AE$66,MATCH(0,COUNTIF($AF$4:AF26,$AE$6:$AE$66),0),1),"")</f>
        <v/>
      </c>
      <c r="AG27" s="277" t="str">
        <f>IF(AND('1.4 Analyse &amp; Synthese'!U28=1,'1.4 Analyse &amp; Synthese'!F28="Methode"),'1.4 Analyse &amp; Synthese'!I28&amp;CHAR(13)&amp;"("&amp;'(Codierung)'!$C$3&amp;" - "&amp;'1.4 Analyse &amp; Synthese'!C28&amp;")","")</f>
        <v/>
      </c>
      <c r="AH27" s="277" t="str">
        <f t="array" ref="AH27">_xlfn.IFNA(INDEX($AG$6:$AG$66,MATCH(0,COUNTIF($AH$4:AH26,$AG$6:$AG$66),0),1),"")</f>
        <v/>
      </c>
      <c r="AI27" s="277" t="str">
        <f>IF(AND('1.4 Analyse &amp; Synthese'!U28=1,'1.4 Analyse &amp; Synthese'!F28="Werkzeug"),'1.4 Analyse &amp; Synthese'!I28&amp;CHAR(13)&amp;"("&amp;'(Codierung)'!$C$4&amp;" - "&amp;'1.4 Analyse &amp; Synthese'!C28&amp;")","")</f>
        <v/>
      </c>
      <c r="AJ27" s="277" t="str">
        <f t="array" ref="AJ27">_xlfn.IFNA(INDEX($AI$6:$AI$66,MATCH(0,COUNTIF($AJ$4:AJ26,$AI$6:$AI$66),0),1),"")</f>
        <v/>
      </c>
      <c r="AL27" s="277" t="str">
        <f>IF(AND('1.4 Analyse &amp; Synthese'!V28=1,'1.4 Analyse &amp; Synthese'!F28="Empfehlung"),'1.4 Analyse &amp; Synthese'!I28&amp;CHAR(13)&amp;"("&amp;'(Codierung)'!$C$2&amp;" - "&amp;'1.4 Analyse &amp; Synthese'!C28&amp;")","")</f>
        <v/>
      </c>
      <c r="AM27" s="277" t="str">
        <f t="array" ref="AM27">_xlfn.IFNA(INDEX($AL$6:$AL$66,MATCH(0,COUNTIF($AM$4:AM26,$AL$6:$AL$66),0),1),"")</f>
        <v/>
      </c>
      <c r="AN27" s="277" t="str">
        <f>IF(AND('1.4 Analyse &amp; Synthese'!V28=1,'1.4 Analyse &amp; Synthese'!F28="Methode"),'1.4 Analyse &amp; Synthese'!I28&amp;CHAR(13)&amp;"("&amp;'(Codierung)'!$C$3&amp;" - "&amp;'1.4 Analyse &amp; Synthese'!C28&amp;")","")</f>
        <v/>
      </c>
      <c r="AO27" s="277" t="str">
        <f t="array" ref="AO27">_xlfn.IFNA(INDEX($AN$6:$AN$66,MATCH(0,COUNTIF($AO$4:AO26,$AN$6:$AN$66),0),1),"")</f>
        <v/>
      </c>
      <c r="AP27" s="277" t="str">
        <f>IF(AND('1.4 Analyse &amp; Synthese'!V28=1,'1.4 Analyse &amp; Synthese'!F28="Werkzeug"),'1.4 Analyse &amp; Synthese'!I28&amp;CHAR(13)&amp;"("&amp;'(Codierung)'!$C$4&amp;" - "&amp;'1.4 Analyse &amp; Synthese'!C28&amp;")","")</f>
        <v/>
      </c>
      <c r="AQ27" s="277" t="str">
        <f t="array" ref="AQ27">_xlfn.IFNA(INDEX($AP$6:$AP$66,MATCH(0,COUNTIF($AQ$4:AQ26,$AP$6:$AP$66),0),1),"")</f>
        <v/>
      </c>
      <c r="AS27" s="277" t="str">
        <f>IF(AND('1.4 Analyse &amp; Synthese'!W28=1,'1.4 Analyse &amp; Synthese'!F28="Empfehlung"),'1.4 Analyse &amp; Synthese'!I28&amp;CHAR(13)&amp;"("&amp;'(Codierung)'!$C$2&amp;" - "&amp;'1.4 Analyse &amp; Synthese'!C28&amp;")","")</f>
        <v/>
      </c>
      <c r="AT27" s="277" t="str">
        <f t="array" ref="AT27">_xlfn.IFNA(INDEX($AS$6:$AS$66,MATCH(0,COUNTIF($AT$4:AT26,$AS$6:$AS$66),0),1),"")</f>
        <v/>
      </c>
      <c r="AU27" s="277" t="str">
        <f>IF(AND('1.4 Analyse &amp; Synthese'!W28=1,'1.4 Analyse &amp; Synthese'!F28="Methode"),'1.4 Analyse &amp; Synthese'!I28&amp;CHAR(13)&amp;"("&amp;'(Codierung)'!$C$3&amp;" - "&amp;'1.4 Analyse &amp; Synthese'!C28&amp;")","")</f>
        <v/>
      </c>
      <c r="AV27" s="277" t="str">
        <f t="array" ref="AV27">_xlfn.IFNA(INDEX($AU$6:$AU$66,MATCH(0,COUNTIF($AV$4:AV26,$AU$6:$AU$66),0),1),"")</f>
        <v/>
      </c>
      <c r="AW27" s="277" t="str">
        <f>IF(AND('1.4 Analyse &amp; Synthese'!W28=1,'1.4 Analyse &amp; Synthese'!F28="Werkzeug"),'1.4 Analyse &amp; Synthese'!I28&amp;CHAR(13)&amp;"("&amp;'(Codierung)'!$C$4&amp;" - "&amp;'1.4 Analyse &amp; Synthese'!C28&amp;")","")</f>
        <v/>
      </c>
      <c r="AX27" s="277" t="str">
        <f t="array" ref="AX27">_xlfn.IFNA(INDEX($AW$6:$AW$66,MATCH(0,COUNTIF($AX$4:AX26,$AW$6:$AW$66),0),1),"")</f>
        <v/>
      </c>
      <c r="AZ27" s="277" t="str">
        <f>IF(AND('1.4 Analyse &amp; Synthese'!X28=1,'1.4 Analyse &amp; Synthese'!F28="Empfehlung"),'1.4 Analyse &amp; Synthese'!I28&amp;CHAR(13)&amp;"("&amp;'(Codierung)'!$C$2&amp;" - "&amp;'1.4 Analyse &amp; Synthese'!C28&amp;")","")</f>
        <v/>
      </c>
      <c r="BA27" s="277" t="str">
        <f t="array" ref="BA27">_xlfn.IFNA(INDEX($AZ$6:$AZ$66,MATCH(0,COUNTIF($BA$4:BA26,$AZ$6:$AZ$66),0),1),"")</f>
        <v/>
      </c>
      <c r="BB27" s="277" t="str">
        <f>IF(AND('1.4 Analyse &amp; Synthese'!X28=1,'1.4 Analyse &amp; Synthese'!F28="Methode"),'1.4 Analyse &amp; Synthese'!I28&amp;CHAR(13)&amp;"("&amp;'(Codierung)'!$C$3&amp;" - "&amp;'1.4 Analyse &amp; Synthese'!C28&amp;")","")</f>
        <v/>
      </c>
      <c r="BC27" s="277" t="str">
        <f t="array" ref="BC27">_xlfn.IFNA(INDEX($BB$6:$BB$66,MATCH(0,COUNTIF($BC$4:BC26,$BB$6:$BB$66),0),1),"")</f>
        <v/>
      </c>
      <c r="BD27" s="277" t="str">
        <f>IF(AND('1.4 Analyse &amp; Synthese'!X28=1,'1.4 Analyse &amp; Synthese'!F28="Werkzeug"),'1.4 Analyse &amp; Synthese'!I28&amp;CHAR(13)&amp;"("&amp;'(Codierung)'!$C$4&amp;" - "&amp;'1.4 Analyse &amp; Synthese'!C28&amp;")","")</f>
        <v/>
      </c>
      <c r="BE27" s="277" t="str">
        <f t="array" ref="BE27">_xlfn.IFNA(INDEX($BD$6:$BD$66,MATCH(0,COUNTIF($BE$4:BE26,$BD$6:$BD$66),0),1),"")</f>
        <v/>
      </c>
      <c r="BG27" s="277" t="str">
        <f>IF(AND('1.4 Analyse &amp; Synthese'!Y28=1,'1.4 Analyse &amp; Synthese'!F28="Empfehlung"),'1.4 Analyse &amp; Synthese'!I28&amp;CHAR(13)&amp;"("&amp;'(Codierung)'!$C$2&amp;" - "&amp;'1.4 Analyse &amp; Synthese'!C28&amp;")","")</f>
        <v/>
      </c>
      <c r="BH27" s="277" t="str">
        <f t="array" ref="BH27">_xlfn.IFNA(INDEX($BG$6:$BG$66,MATCH(0,COUNTIF($BH$4:BH26,$BG$6:$BG$66),0),1),"")</f>
        <v/>
      </c>
      <c r="BI27" s="277" t="str">
        <f>IF(AND('1.4 Analyse &amp; Synthese'!Y28=1,'1.4 Analyse &amp; Synthese'!F28="Methode"),'1.4 Analyse &amp; Synthese'!I28&amp;CHAR(13)&amp;"("&amp;'(Codierung)'!$C$3&amp;" - "&amp;'1.4 Analyse &amp; Synthese'!C28&amp;")","")</f>
        <v/>
      </c>
      <c r="BJ27" s="277" t="str">
        <f t="array" ref="BJ27">_xlfn.IFNA(INDEX($BI$6:$BI$66,MATCH(0,COUNTIF($BJ$4:BJ26,$BI$6:$BI$66),0),1),"")</f>
        <v/>
      </c>
      <c r="BK27" s="277" t="str">
        <f>IF(AND('1.4 Analyse &amp; Synthese'!Y28=1,'1.4 Analyse &amp; Synthese'!F28="Werkzeug"),'1.4 Analyse &amp; Synthese'!I28&amp;CHAR(13)&amp;"("&amp;'(Codierung)'!$C$4&amp;" - "&amp;'1.4 Analyse &amp; Synthese'!C28&amp;")","")</f>
        <v/>
      </c>
      <c r="BL27" s="277" t="str">
        <f t="array" ref="BL27">_xlfn.IFNA(INDEX($BK$6:$BK$66,MATCH(0,COUNTIF($BL$4:BL26,$BK$6:$BK$66),0),1),"")</f>
        <v/>
      </c>
      <c r="BN27" s="277" t="str">
        <f>IF(AND('1.4 Analyse &amp; Synthese'!Z28=1,'1.4 Analyse &amp; Synthese'!F28="Empfehlung"),'1.4 Analyse &amp; Synthese'!I28&amp;CHAR(13)&amp;"("&amp;'(Codierung)'!$C$2&amp;" - "&amp;'1.4 Analyse &amp; Synthese'!C28&amp;")","")</f>
        <v/>
      </c>
      <c r="BO27" s="277" t="str">
        <f t="array" ref="BO27">_xlfn.IFNA(INDEX($BN$6:$BN$66,MATCH(0,COUNTIF($BO$4:BO26,$BN$6:$BN$66),0),1),"")</f>
        <v/>
      </c>
      <c r="BP27" s="277" t="str">
        <f>IF(AND('1.4 Analyse &amp; Synthese'!Z28=1,'1.4 Analyse &amp; Synthese'!F28="Methode"),'1.4 Analyse &amp; Synthese'!I28&amp;CHAR(13)&amp;"("&amp;'(Codierung)'!$C$3&amp;" - "&amp;'1.4 Analyse &amp; Synthese'!C28&amp;")","")</f>
        <v/>
      </c>
      <c r="BQ27" s="277" t="str">
        <f t="array" ref="BQ27">_xlfn.IFNA(INDEX($BP$6:$BP$66,MATCH(0,COUNTIF($BQ$4:BQ26,$BP$6:$BP$66),0),1),"")</f>
        <v/>
      </c>
      <c r="BR27" s="277" t="str">
        <f>IF(AND('1.4 Analyse &amp; Synthese'!Z28=1,'1.4 Analyse &amp; Synthese'!F28="Werkzeug"),'1.4 Analyse &amp; Synthese'!I28&amp;CHAR(13)&amp;"("&amp;'(Codierung)'!$C$4&amp;" - "&amp;'1.4 Analyse &amp; Synthese'!C28&amp;")","")</f>
        <v/>
      </c>
      <c r="BS27" s="277" t="str">
        <f t="array" ref="BS27">_xlfn.IFNA(INDEX($BR$6:$BR$66,MATCH(0,COUNTIF($BS$4:BS26,$BR$6:$BR$66),0),1),"")</f>
        <v/>
      </c>
      <c r="BU27" s="277" t="str">
        <f>IF(AND('1.4 Analyse &amp; Synthese'!AA28=1,'1.4 Analyse &amp; Synthese'!F28="Empfehlung"),'1.4 Analyse &amp; Synthese'!I28&amp;CHAR(13)&amp;"("&amp;'(Codierung)'!$C$2&amp;" - "&amp;'1.4 Analyse &amp; Synthese'!C28&amp;")","")</f>
        <v/>
      </c>
      <c r="BV27" s="277" t="str">
        <f t="array" ref="BV27">_xlfn.IFNA(INDEX($BU$6:$BU$66,MATCH(0,COUNTIF($BV$4:BV26,$BU$6:$BU$66),0),1),"")</f>
        <v/>
      </c>
      <c r="BW27" s="277" t="str">
        <f>IF(AND('1.4 Analyse &amp; Synthese'!AA28=1,'1.4 Analyse &amp; Synthese'!F28="Methode"),'1.4 Analyse &amp; Synthese'!I28&amp;CHAR(13)&amp;"("&amp;'(Codierung)'!$C$3&amp;" - "&amp;'1.4 Analyse &amp; Synthese'!C28&amp;")","")</f>
        <v/>
      </c>
      <c r="BX27" s="277" t="str">
        <f t="array" ref="BX27">_xlfn.IFNA(INDEX($BW$6:$BW$66,MATCH(0,COUNTIF($BX$4:BX26,$BW$6:$BW$66),0),1),"")</f>
        <v/>
      </c>
      <c r="BY27" s="277" t="str">
        <f>IF(AND('1.4 Analyse &amp; Synthese'!AA28=1,'1.4 Analyse &amp; Synthese'!F28="Werkzeug"),'1.4 Analyse &amp; Synthese'!I28&amp;CHAR(13)&amp;"("&amp;'(Codierung)'!$C$4&amp;" - "&amp;'1.4 Analyse &amp; Synthese'!C28&amp;")","")</f>
        <v/>
      </c>
      <c r="BZ27" s="277" t="str">
        <f t="array" ref="BZ27">_xlfn.IFNA(INDEX($BY$6:$BY$66,MATCH(0,COUNTIF($BZ$4:BZ26,$BY$6:$BY$66),0),1),"")</f>
        <v/>
      </c>
      <c r="CB27" s="277" t="str">
        <f>IF(AND('1.4 Analyse &amp; Synthese'!AB28=1,'1.4 Analyse &amp; Synthese'!F28="Empfehlung"),'1.4 Analyse &amp; Synthese'!I28&amp;CHAR(13)&amp;"("&amp;'(Codierung)'!$C$2&amp;" - "&amp;'1.4 Analyse &amp; Synthese'!C28&amp;")","")</f>
        <v/>
      </c>
      <c r="CC27" s="277" t="str">
        <f t="array" ref="CC27">_xlfn.IFNA(INDEX($CB$6:$CB$66,MATCH(0,COUNTIF($CC$4:CC26,$CB$6:$CB$66),0),1),"")</f>
        <v/>
      </c>
      <c r="CD27" s="277" t="str">
        <f>IF(AND('1.4 Analyse &amp; Synthese'!AB28=1,'1.4 Analyse &amp; Synthese'!F28="Methode"),'1.4 Analyse &amp; Synthese'!I28&amp;CHAR(13)&amp;"("&amp;'(Codierung)'!$C$3&amp;" - "&amp;'1.4 Analyse &amp; Synthese'!C28&amp;")","")</f>
        <v/>
      </c>
      <c r="CE27" s="277" t="str">
        <f t="array" ref="CE27">_xlfn.IFNA(INDEX($CD$6:$CD$66,MATCH(0,COUNTIF($CE$4:CE26,$CD$6:$CD$66),0),1),"")</f>
        <v/>
      </c>
      <c r="CF27" s="277" t="str">
        <f>IF(AND('1.4 Analyse &amp; Synthese'!AB28=1,'1.4 Analyse &amp; Synthese'!F28="Werkzeug"),'1.4 Analyse &amp; Synthese'!I28&amp;CHAR(13)&amp;"("&amp;'(Codierung)'!$C$4&amp;" - "&amp;'1.4 Analyse &amp; Synthese'!C28&amp;")","")</f>
        <v/>
      </c>
      <c r="CG27" s="277" t="str">
        <f t="array" ref="CG27">_xlfn.IFNA(INDEX($CF$6:$CF$66,MATCH(0,COUNTIF($CG$4:CG26,$CF$6:$CF$66),0),1),"")</f>
        <v/>
      </c>
      <c r="CI27" s="277" t="str">
        <f>IF(AND('1.4 Analyse &amp; Synthese'!AC28=1,'1.4 Analyse &amp; Synthese'!F28="Empfehlung"),'1.4 Analyse &amp; Synthese'!I28&amp;CHAR(13)&amp;"("&amp;'(Codierung)'!$C$2&amp;" - "&amp;'1.4 Analyse &amp; Synthese'!C28&amp;")","")</f>
        <v/>
      </c>
      <c r="CJ27" s="277" t="str">
        <f t="array" ref="CJ27">_xlfn.IFNA(INDEX($CI$6:$CI$66,MATCH(0,COUNTIF($CJ$4:CJ26,$CI$6:$CI$66),0),1),"")</f>
        <v/>
      </c>
      <c r="CK27" s="277" t="str">
        <f>IF(AND('1.4 Analyse &amp; Synthese'!AC28=1,'1.4 Analyse &amp; Synthese'!F28="Methode"),'1.4 Analyse &amp; Synthese'!I28&amp;CHAR(13)&amp;"("&amp;'(Codierung)'!$C$3&amp;" - "&amp;'1.4 Analyse &amp; Synthese'!C28&amp;")","")</f>
        <v/>
      </c>
      <c r="CL27" s="277" t="str">
        <f t="array" ref="CL27">_xlfn.IFNA(INDEX($CK$6:$CK$66,MATCH(0,COUNTIF($CL$4:CL26,$CK$6:$CK$66),0),1),"")</f>
        <v/>
      </c>
      <c r="CM27" s="277" t="str">
        <f>IF(AND('1.4 Analyse &amp; Synthese'!AC28=1,'1.4 Analyse &amp; Synthese'!F28="Werkzeug"),'1.4 Analyse &amp; Synthese'!I28&amp;CHAR(13)&amp;"("&amp;'(Codierung)'!$C$4&amp;" - "&amp;'1.4 Analyse &amp; Synthese'!C28&amp;")","")</f>
        <v/>
      </c>
      <c r="CN27" s="277" t="str">
        <f t="array" ref="CN27">_xlfn.IFNA(INDEX($CM$6:$CM$66,MATCH(0,COUNTIF($CN$4:CN26,$CM$6:$CM$66),0),1),"")</f>
        <v/>
      </c>
      <c r="CP27" s="277" t="str">
        <f>IF(AND('1.4 Analyse &amp; Synthese'!AD28=1,'1.4 Analyse &amp; Synthese'!F28="Empfehlung"),'1.4 Analyse &amp; Synthese'!I28&amp;CHAR(13)&amp;"("&amp;'(Codierung)'!$C$2&amp;" - "&amp;'1.4 Analyse &amp; Synthese'!C28&amp;")","")</f>
        <v/>
      </c>
      <c r="CQ27" s="277" t="str">
        <f t="array" ref="CQ27">_xlfn.IFNA(INDEX($CP$6:$CP$66,MATCH(0,COUNTIF($CQ$4:CQ26,$CP$6:$CP$66),0),1),"")</f>
        <v/>
      </c>
      <c r="CR27" s="277" t="str">
        <f>IF(AND('1.4 Analyse &amp; Synthese'!AD28=1,'1.4 Analyse &amp; Synthese'!F28="Methode"),'1.4 Analyse &amp; Synthese'!I28&amp;CHAR(13)&amp;"("&amp;'(Codierung)'!$C$3&amp;" - "&amp;'1.4 Analyse &amp; Synthese'!C28&amp;")","")</f>
        <v/>
      </c>
      <c r="CS27" s="277" t="str">
        <f t="array" ref="CS27">_xlfn.IFNA(INDEX($CR$6:$CR$66,MATCH(0,COUNTIF($CS$4:CS26,$CR$6:$CR$66),0),1),"")</f>
        <v/>
      </c>
      <c r="CT27" s="277" t="str">
        <f>IF(AND('1.4 Analyse &amp; Synthese'!AD28=1,'1.4 Analyse &amp; Synthese'!F28="Werkzeug"),'1.4 Analyse &amp; Synthese'!I28&amp;CHAR(13)&amp;"("&amp;'(Codierung)'!$C$4&amp;" - "&amp;'1.4 Analyse &amp; Synthese'!C28&amp;")","")</f>
        <v/>
      </c>
      <c r="CU27" s="277" t="str">
        <f t="array" ref="CU27">_xlfn.IFNA(INDEX($CT$6:$CT$66,MATCH(0,COUNTIF($CU$4:CU26,$CT$6:$CT$66),0),1),"")</f>
        <v/>
      </c>
      <c r="CW27" s="277" t="str">
        <f>IF(AND('1.4 Analyse &amp; Synthese'!AE28=1,'1.4 Analyse &amp; Synthese'!F28="Empfehlung"),'1.4 Analyse &amp; Synthese'!I28&amp;CHAR(13)&amp;"("&amp;'(Codierung)'!$C$2&amp;" - "&amp;'1.4 Analyse &amp; Synthese'!C28&amp;")","")</f>
        <v/>
      </c>
      <c r="CX27" s="277" t="str">
        <f t="array" ref="CX27">_xlfn.IFNA(INDEX($CW$6:$CW$66,MATCH(0,COUNTIF($CX$4:CX26,$CW$6:$CW$66),0),1),"")</f>
        <v/>
      </c>
      <c r="CY27" s="277" t="str">
        <f>IF(AND('1.4 Analyse &amp; Synthese'!AE28=1,'1.4 Analyse &amp; Synthese'!F28="Methode"),'1.4 Analyse &amp; Synthese'!I28&amp;CHAR(13)&amp;"("&amp;'(Codierung)'!$C$3&amp;" - "&amp;'1.4 Analyse &amp; Synthese'!C28&amp;")","")</f>
        <v>Monitoring System_x000D_(Methode - Ludwig )</v>
      </c>
      <c r="CZ27" s="277" t="str">
        <f t="array" ref="CZ27">_xlfn.IFNA(INDEX($CY$6:$CY$66,MATCH(0,COUNTIF($CZ$4:CZ26,$CY$6:$CY$66),0),1),"")</f>
        <v/>
      </c>
      <c r="DA27" s="277" t="str">
        <f>IF(AND('1.4 Analyse &amp; Synthese'!AE28=1,'1.4 Analyse &amp; Synthese'!F28="Werkzeug"),'1.4 Analyse &amp; Synthese'!I28&amp;CHAR(13)&amp;"("&amp;'(Codierung)'!$C$4&amp;" - "&amp;'1.4 Analyse &amp; Synthese'!C28&amp;")","")</f>
        <v/>
      </c>
      <c r="DB27" s="277" t="str">
        <f t="array" ref="DB27">_xlfn.IFNA(INDEX($DA$6:$DA$66,MATCH(0,COUNTIF($DB$4:DB26,$DA$6:$DA$66),0),1),"")</f>
        <v/>
      </c>
      <c r="DD27" s="277" t="str">
        <f>IF(AND('1.4 Analyse &amp; Synthese'!AF28=1,'1.4 Analyse &amp; Synthese'!F28="Empfehlung"),'1.4 Analyse &amp; Synthese'!I28&amp;CHAR(13)&amp;"("&amp;'(Codierung)'!$C$2&amp;" - "&amp;'1.4 Analyse &amp; Synthese'!C28&amp;")","")</f>
        <v/>
      </c>
      <c r="DE27" s="277" t="str">
        <f t="array" ref="DE27">_xlfn.IFNA(INDEX($DD$6:$DD$66,MATCH(0,COUNTIF($DE$4:DE26,$DD$6:$DD$66),0),1),"")</f>
        <v/>
      </c>
      <c r="DF27" s="277" t="str">
        <f>IF(AND('1.4 Analyse &amp; Synthese'!AF28=1,'1.4 Analyse &amp; Synthese'!F28="Methode"),'1.4 Analyse &amp; Synthese'!I28&amp;CHAR(13)&amp;"("&amp;'(Codierung)'!$C$3&amp;" - "&amp;'1.4 Analyse &amp; Synthese'!C28&amp;")","")</f>
        <v/>
      </c>
      <c r="DG27" s="277" t="str">
        <f t="array" ref="DG27">_xlfn.IFNA(INDEX($DF$6:$DF$66,MATCH(0,COUNTIF($DG$4:DG26,$DF$6:$DF$66),0),1),"")</f>
        <v/>
      </c>
      <c r="DH27" s="277" t="str">
        <f>IF(AND('1.4 Analyse &amp; Synthese'!AF28=1,'1.4 Analyse &amp; Synthese'!F28="Werkzeug"),'1.4 Analyse &amp; Synthese'!I28&amp;CHAR(13)&amp;"("&amp;'(Codierung)'!$C$4&amp;" - "&amp;'1.4 Analyse &amp; Synthese'!C28&amp;")","")</f>
        <v/>
      </c>
      <c r="DI27" s="277" t="str">
        <f t="array" ref="DI27">_xlfn.IFNA(INDEX($DH$6:$DH$66,MATCH(0,COUNTIF($DI$4:DI26,$DH$6:$DH$66),0),1),"")</f>
        <v/>
      </c>
      <c r="DK27" s="277" t="str">
        <f>IF(AND('1.4 Analyse &amp; Synthese'!AG28=1,'1.4 Analyse &amp; Synthese'!F28="Empfehlung"),'1.4 Analyse &amp; Synthese'!I28&amp;CHAR(13)&amp;"("&amp;'(Codierung)'!$C$2&amp;" - "&amp;'1.4 Analyse &amp; Synthese'!C28&amp;")","")</f>
        <v/>
      </c>
      <c r="DL27" s="277" t="str">
        <f t="array" ref="DL27">_xlfn.IFNA(INDEX($DK$6:$DK$66,MATCH(0,COUNTIF($DL$4:DL26,$DK$6:$DK$66),0),1),"")</f>
        <v/>
      </c>
      <c r="DM27" s="277" t="str">
        <f>IF(AND('1.4 Analyse &amp; Synthese'!AG28=1,'1.4 Analyse &amp; Synthese'!F28="Methode"),'1.4 Analyse &amp; Synthese'!I28&amp;CHAR(13)&amp;"("&amp;'(Codierung)'!$C$3&amp;" - "&amp;'1.4 Analyse &amp; Synthese'!C28&amp;")","")</f>
        <v/>
      </c>
      <c r="DN27" s="277" t="str">
        <f t="array" ref="DN27">_xlfn.IFNA(INDEX($DM$6:$DM$66,MATCH(0,COUNTIF($DN$4:DN26,$DM$6:$DM$66),0),1),"")</f>
        <v/>
      </c>
      <c r="DO27" s="277" t="str">
        <f>IF(AND('1.4 Analyse &amp; Synthese'!AG28=1,'1.4 Analyse &amp; Synthese'!F28="Werkzeug"),'1.4 Analyse &amp; Synthese'!I28&amp;CHAR(13)&amp;"("&amp;'(Codierung)'!$C$4&amp;" - "&amp;'1.4 Analyse &amp; Synthese'!C28&amp;")","")</f>
        <v/>
      </c>
      <c r="DP27" s="277" t="str">
        <f t="array" ref="DP27">_xlfn.IFNA(INDEX($DO$6:$DO$66,MATCH(0,COUNTIF($DP$4:DP26,$DO$6:$DO$66),0),1),"")</f>
        <v/>
      </c>
      <c r="DR27" s="277" t="str">
        <f>IF(AND('1.4 Analyse &amp; Synthese'!AH28=1,'1.4 Analyse &amp; Synthese'!F28="Empfehlung"),'1.4 Analyse &amp; Synthese'!I28&amp;CHAR(13)&amp;"("&amp;'(Codierung)'!$C$2&amp;" - "&amp;'1.4 Analyse &amp; Synthese'!C28&amp;")","")</f>
        <v/>
      </c>
      <c r="DS27" s="277" t="str">
        <f t="array" ref="DS27">_xlfn.IFNA(INDEX($DR$6:$DR$66,MATCH(0,COUNTIF($DS$4:DS26,$DR$6:$DR$66),0),1),"")</f>
        <v/>
      </c>
      <c r="DT27" s="277" t="str">
        <f>IF(AND('1.4 Analyse &amp; Synthese'!AH28=1,'1.4 Analyse &amp; Synthese'!F28="Methode"),'1.4 Analyse &amp; Synthese'!I28&amp;CHAR(13)&amp;"("&amp;'(Codierung)'!$C$3&amp;" - "&amp;'1.4 Analyse &amp; Synthese'!C28&amp;")","")</f>
        <v/>
      </c>
      <c r="DU27" s="277" t="str">
        <f t="array" ref="DU27">_xlfn.IFNA(INDEX($DT$6:$DT$66,MATCH(0,COUNTIF($DU$4:DU26,$DT$6:$DT$66),0),1),"")</f>
        <v/>
      </c>
      <c r="DV27" s="277" t="str">
        <f>IF(AND('1.4 Analyse &amp; Synthese'!AH28=1,'1.4 Analyse &amp; Synthese'!F28="Werkzeug"),'1.4 Analyse &amp; Synthese'!I28&amp;CHAR(13)&amp;"("&amp;'(Codierung)'!$C$4&amp;" - "&amp;'1.4 Analyse &amp; Synthese'!C28&amp;")","")</f>
        <v/>
      </c>
      <c r="DW27" s="277" t="str">
        <f t="array" ref="DW27">_xlfn.IFNA(INDEX($DV$6:$DV$66,MATCH(0,COUNTIF($DW$4:DW26,$DV$6:$DV$66),0),1),"")</f>
        <v/>
      </c>
      <c r="DY27" s="277" t="str">
        <f>IF(AND('1.4 Analyse &amp; Synthese'!AI28=1,'1.4 Analyse &amp; Synthese'!F28="Empfehlung"),'1.4 Analyse &amp; Synthese'!I28&amp;CHAR(13)&amp;"("&amp;'(Codierung)'!$C$2&amp;" - "&amp;'1.4 Analyse &amp; Synthese'!C28&amp;")","")</f>
        <v/>
      </c>
      <c r="DZ27" s="277" t="str">
        <f t="array" ref="DZ27">_xlfn.IFNA(INDEX($DY$6:$DY$66,MATCH(0,COUNTIF($DZ$4:DZ26,$DY$6:$DY$66),0),1),"")</f>
        <v/>
      </c>
      <c r="EA27" s="277" t="str">
        <f>IF(AND('1.4 Analyse &amp; Synthese'!AI28=1,'1.4 Analyse &amp; Synthese'!F28="Methode"),'1.4 Analyse &amp; Synthese'!I28&amp;CHAR(13)&amp;"("&amp;'(Codierung)'!$C$3&amp;" - "&amp;'1.4 Analyse &amp; Synthese'!C28&amp;")","")</f>
        <v/>
      </c>
      <c r="EB27" s="277" t="str">
        <f t="array" ref="EB27">_xlfn.IFNA(INDEX($EA$6:$EA$66,MATCH(0,COUNTIF($EB$4:EB26,$EA$6:$EA$66),0),1),"")</f>
        <v/>
      </c>
      <c r="EC27" s="277" t="str">
        <f>IF(AND('1.4 Analyse &amp; Synthese'!AI28=1,'1.4 Analyse &amp; Synthese'!F28="Werkzeug"),'1.4 Analyse &amp; Synthese'!I28&amp;CHAR(13)&amp;"("&amp;'(Codierung)'!$C$4&amp;" - "&amp;'1.4 Analyse &amp; Synthese'!C28&amp;")","")</f>
        <v/>
      </c>
      <c r="ED27" s="277" t="str">
        <f t="array" ref="ED27">_xlfn.IFNA(INDEX($EC$6:$EC$66,MATCH(0,COUNTIF($ED$4:ED26,$EC$6:$EC$66),0),1),"")</f>
        <v/>
      </c>
      <c r="EF27" s="277" t="str">
        <f>IF(AND('1.4 Analyse &amp; Synthese'!AJ28=1,'1.4 Analyse &amp; Synthese'!F28="Empfehlung"),'1.4 Analyse &amp; Synthese'!I28&amp;CHAR(13)&amp;"("&amp;'(Codierung)'!$C$2&amp;" - "&amp;'1.4 Analyse &amp; Synthese'!C28&amp;")","")</f>
        <v/>
      </c>
      <c r="EG27" s="277" t="str">
        <f t="array" ref="EG27">_xlfn.IFNA(INDEX($EF$6:$EF$66,MATCH(0,COUNTIF($EG$4:EG26,$EF$6:$EF$66),0),1),"")</f>
        <v/>
      </c>
      <c r="EH27" s="277" t="str">
        <f>IF(AND('1.4 Analyse &amp; Synthese'!AJ28=1,'1.4 Analyse &amp; Synthese'!F28="Methode"),'1.4 Analyse &amp; Synthese'!I28&amp;CHAR(13)&amp;"("&amp;'(Codierung)'!$C$3&amp;" - "&amp;'1.4 Analyse &amp; Synthese'!C28&amp;")","")</f>
        <v/>
      </c>
      <c r="EI27" s="277" t="str">
        <f t="array" ref="EI27">_xlfn.IFNA(INDEX($EH$6:$EH$66,MATCH(0,COUNTIF($EI$4:EI26,$EH$6:$EH$66),0),1),"")</f>
        <v/>
      </c>
      <c r="EJ27" s="277" t="str">
        <f>IF(AND('1.4 Analyse &amp; Synthese'!AJ28=1,'1.4 Analyse &amp; Synthese'!F28="Werkzeug"),'1.4 Analyse &amp; Synthese'!I28&amp;CHAR(13)&amp;"("&amp;'(Codierung)'!$C$4&amp;" - "&amp;'1.4 Analyse &amp; Synthese'!C28&amp;")","")</f>
        <v/>
      </c>
      <c r="EK27" s="277" t="str">
        <f t="array" ref="EK27">_xlfn.IFNA(INDEX($EJ$6:$EJ$66,MATCH(0,COUNTIF($EK$4:EK26,$EJ$6:$EJ$66),0),1),"")</f>
        <v/>
      </c>
      <c r="EN27" s="222" t="str">
        <f t="shared" si="0"/>
        <v/>
      </c>
      <c r="EO27" s="277" t="str">
        <f t="shared" si="1"/>
        <v/>
      </c>
      <c r="EP27" s="277" t="str">
        <f t="shared" si="2"/>
        <v/>
      </c>
      <c r="EQ27" s="277" t="str">
        <f>ZahlenInBereich(Tabelle1[[Empfehlung]:[Werkzeug]],ROW()-5)</f>
        <v/>
      </c>
      <c r="ER27" s="277" t="str">
        <f t="shared" si="3"/>
        <v/>
      </c>
      <c r="ES27" s="277" t="str">
        <f t="shared" si="4"/>
        <v/>
      </c>
      <c r="ET27" s="277" t="str">
        <f t="shared" si="5"/>
        <v/>
      </c>
      <c r="EU27" s="277" t="str">
        <f>ZahlenInBereich(Tabelle1[[Empfehlung2]:[Werkzeug4]],ROW()-5)</f>
        <v/>
      </c>
      <c r="EV27" s="277" t="str">
        <f t="shared" si="6"/>
        <v/>
      </c>
      <c r="EW27" s="277" t="str">
        <f t="shared" si="7"/>
        <v/>
      </c>
      <c r="EX27" s="277" t="str">
        <f t="shared" si="8"/>
        <v/>
      </c>
      <c r="EY27" s="277" t="str">
        <f>ZahlenInBereich(Tabelle1[[Empfehlung6]:[Werkzeug8]],ROW()-5)</f>
        <v/>
      </c>
      <c r="EZ27" s="277" t="str">
        <f t="shared" si="9"/>
        <v/>
      </c>
      <c r="FA27" s="277" t="str">
        <f t="shared" si="10"/>
        <v/>
      </c>
      <c r="FB27" s="277" t="str">
        <f t="shared" si="11"/>
        <v/>
      </c>
      <c r="FC27" s="277" t="str">
        <f>ZahlenInBereich(Tabelle1[[Empfehlung10]:[Werkzeug12]],ROW()-5)</f>
        <v/>
      </c>
      <c r="FD27" s="277" t="str">
        <f t="shared" si="12"/>
        <v/>
      </c>
      <c r="FE27" s="277" t="str">
        <f t="shared" si="13"/>
        <v/>
      </c>
      <c r="FF27" s="277" t="str">
        <f t="shared" si="14"/>
        <v/>
      </c>
      <c r="FG27" s="277" t="str">
        <f>ZahlenInBereich(Tabelle1[[Empfehlung14]:[Werkzeug16]],ROW()-5)</f>
        <v/>
      </c>
      <c r="FH27" s="277" t="str">
        <f t="shared" si="15"/>
        <v/>
      </c>
      <c r="FI27" s="277" t="str">
        <f t="shared" si="16"/>
        <v/>
      </c>
      <c r="FJ27" s="277" t="str">
        <f t="shared" si="17"/>
        <v/>
      </c>
      <c r="FK27" s="277" t="str">
        <f>ZahlenInBereich(Tabelle1[[Empfehlung18]:[Werkzeug20]],ROW()-5)</f>
        <v/>
      </c>
      <c r="FL27" s="277" t="str">
        <f t="shared" si="18"/>
        <v/>
      </c>
      <c r="FM27" s="277" t="str">
        <f t="shared" si="19"/>
        <v/>
      </c>
      <c r="FN27" s="277" t="str">
        <f t="shared" si="20"/>
        <v/>
      </c>
      <c r="FO27" s="277" t="str">
        <f>ZahlenInBereich(Tabelle1[[Empfehlung22]:[Werkzeug24]],ROW()-5)</f>
        <v/>
      </c>
      <c r="FP27" s="277" t="str">
        <f t="shared" si="21"/>
        <v/>
      </c>
      <c r="FQ27" s="277" t="str">
        <f t="shared" si="22"/>
        <v/>
      </c>
      <c r="FR27" s="277" t="str">
        <f t="shared" si="23"/>
        <v/>
      </c>
      <c r="FS27" s="277" t="str">
        <f>ZahlenInBereich(Tabelle1[[Empfehlung26]:[Werkzeug28]],ROW()-5)</f>
        <v/>
      </c>
      <c r="FT27" s="277" t="str">
        <f t="shared" si="24"/>
        <v/>
      </c>
      <c r="FU27" s="277" t="str">
        <f t="shared" si="25"/>
        <v/>
      </c>
      <c r="FV27" s="277" t="str">
        <f t="shared" si="26"/>
        <v/>
      </c>
      <c r="FW27" s="277" t="str">
        <f>ZahlenInBereich(Tabelle1[[Empfehlung30]:[Werkzeug32]],ROW()-5)</f>
        <v/>
      </c>
      <c r="FX27" s="277" t="str">
        <f t="shared" si="27"/>
        <v/>
      </c>
      <c r="FY27" s="277" t="str">
        <f t="shared" si="28"/>
        <v/>
      </c>
      <c r="FZ27" s="277" t="str">
        <f t="shared" si="29"/>
        <v/>
      </c>
      <c r="GA27" s="277" t="str">
        <f>ZahlenInBereich(Tabelle1[[Empfehlung34]:[Werkzeug36]],ROW()-5)</f>
        <v/>
      </c>
      <c r="GB27" s="277" t="str">
        <f t="shared" si="30"/>
        <v/>
      </c>
      <c r="GC27" s="277" t="str">
        <f t="shared" si="31"/>
        <v/>
      </c>
      <c r="GD27" s="277" t="str">
        <f t="shared" si="32"/>
        <v/>
      </c>
      <c r="GE27" s="277" t="str">
        <f>ZahlenInBereich(Tabelle1[[Empfehlung38]:[Werkzeug40]],ROW()-5)</f>
        <v/>
      </c>
      <c r="GF27" s="277" t="str">
        <f t="shared" si="33"/>
        <v/>
      </c>
      <c r="GG27" s="277" t="str">
        <f t="shared" si="34"/>
        <v/>
      </c>
      <c r="GH27" s="277" t="str">
        <f t="shared" si="35"/>
        <v/>
      </c>
      <c r="GI27" s="277" t="str">
        <f>ZahlenInBereich(Tabelle1[[Empfehlung42]:[Werkzeug44]],ROW()-5)</f>
        <v/>
      </c>
      <c r="GJ27" s="277" t="str">
        <f t="shared" si="36"/>
        <v/>
      </c>
      <c r="GK27" s="277" t="str">
        <f t="shared" si="37"/>
        <v/>
      </c>
      <c r="GL27" s="277" t="str">
        <f t="shared" si="38"/>
        <v/>
      </c>
      <c r="GM27" s="277" t="str">
        <f>ZahlenInBereich(Tabelle1[[Empfehlung46]:[Werkzeug48]],ROW()-5)</f>
        <v/>
      </c>
      <c r="GN27" s="277" t="str">
        <f t="shared" si="39"/>
        <v/>
      </c>
      <c r="GO27" s="277" t="str">
        <f t="shared" si="40"/>
        <v/>
      </c>
      <c r="GP27" s="277" t="str">
        <f t="shared" si="41"/>
        <v/>
      </c>
      <c r="GQ27" s="277" t="str">
        <f>ZahlenInBereich(Tabelle1[[Empfehlung50]:[Werkzeug52]],ROW()-5)</f>
        <v/>
      </c>
      <c r="GR27" s="277" t="str">
        <f t="shared" si="42"/>
        <v/>
      </c>
      <c r="GS27" s="277" t="str">
        <f t="shared" si="43"/>
        <v/>
      </c>
      <c r="GT27" s="277" t="str">
        <f t="shared" si="44"/>
        <v/>
      </c>
      <c r="GU27" s="277" t="str">
        <f>ZahlenInBereich(Tabelle1[[Empfehlung54]:[Werkzeug56]],ROW()-5)</f>
        <v/>
      </c>
      <c r="GV27" s="277" t="str">
        <f t="shared" si="45"/>
        <v/>
      </c>
      <c r="GW27" s="277" t="str">
        <f t="shared" si="46"/>
        <v/>
      </c>
      <c r="GX27" s="277" t="str">
        <f t="shared" si="47"/>
        <v/>
      </c>
      <c r="GY27" s="277" t="str">
        <f>ZahlenInBereich(Tabelle1[[Empfehlung58]:[Werkzeug60]],ROW()-5)</f>
        <v/>
      </c>
      <c r="GZ27" s="277" t="str">
        <f t="shared" si="48"/>
        <v/>
      </c>
      <c r="HA27" s="277" t="str">
        <f t="shared" si="49"/>
        <v/>
      </c>
      <c r="HB27" s="277" t="str">
        <f t="shared" si="50"/>
        <v/>
      </c>
      <c r="HC27" s="277" t="str">
        <f>ZahlenInBereich(Tabelle1[[Empfehlung62]:[Werkzeug64]],ROW()-5)</f>
        <v/>
      </c>
      <c r="HD27" s="277" t="str">
        <f t="shared" si="51"/>
        <v/>
      </c>
      <c r="HE27" s="277" t="str">
        <f t="shared" si="52"/>
        <v/>
      </c>
      <c r="HF27" s="277" t="str">
        <f t="shared" si="53"/>
        <v/>
      </c>
      <c r="HG27" s="277" t="str">
        <f>ZahlenInBereich(Tabelle1[[Empfehlung66]:[Werkzeug68]],ROW()-5)</f>
        <v/>
      </c>
      <c r="HH27" s="277" t="str">
        <f t="shared" si="54"/>
        <v/>
      </c>
      <c r="HI27" s="277" t="str">
        <f t="shared" si="55"/>
        <v/>
      </c>
      <c r="HJ27" s="277" t="str">
        <f t="shared" si="56"/>
        <v/>
      </c>
      <c r="HK27" s="277" t="str">
        <f>ZahlenInBereich(Tabelle1[[Empfehlung70]:[Werkzeug72]],ROW()-5)</f>
        <v/>
      </c>
      <c r="HL27" s="277" t="str">
        <f t="shared" si="57"/>
        <v/>
      </c>
      <c r="HM27" s="277" t="str">
        <f t="shared" si="58"/>
        <v/>
      </c>
      <c r="HN27" s="277" t="str">
        <f t="shared" si="59"/>
        <v/>
      </c>
      <c r="HO27" s="277" t="str">
        <f>ZahlenInBereich(Tabelle1[[Empfehlung74]:[Werkzeug76]],ROW()-5)</f>
        <v/>
      </c>
    </row>
    <row r="28" spans="2:223" ht="32" x14ac:dyDescent="0.2">
      <c r="B28" s="134">
        <f>'1.4 Analyse &amp; Synthese'!B29</f>
        <v>23</v>
      </c>
      <c r="C28" s="277" t="str">
        <f>IF(AND('1.4 Analyse &amp; Synthese'!Q29=1,'1.4 Analyse &amp; Synthese'!F29="Empfehlung"),'1.4 Analyse &amp; Synthese'!I29&amp;CHAR(13)&amp;"("&amp;'(Codierung)'!$C$2&amp;" - "&amp;'1.4 Analyse &amp; Synthese'!C29&amp;")","")</f>
        <v/>
      </c>
      <c r="D28" s="222" t="str">
        <f t="array" ref="D28">_xlfn.IFNA(INDEX($C$6:$C$66,MATCH(0,COUNTIF($D$4:D27,$C$6:$C$66),0),1),"")</f>
        <v/>
      </c>
      <c r="E28" s="277" t="str">
        <f>IF(AND('1.4 Analyse &amp; Synthese'!Q29=1,'1.4 Analyse &amp; Synthese'!F29="Methode"),'1.4 Analyse &amp; Synthese'!I29&amp;CHAR(13)&amp;"("&amp;'(Codierung)'!$C$3&amp;" - "&amp;'1.4 Analyse &amp; Synthese'!C29&amp;")","")</f>
        <v/>
      </c>
      <c r="F28" s="277" t="str">
        <f t="array" ref="F28">_xlfn.IFNA(INDEX($E$6:$E$66,MATCH(0,COUNTIF($F$4:F27,$E$6:$E$66),0),1),"")</f>
        <v/>
      </c>
      <c r="G28" s="277" t="str">
        <f>IF(AND('1.4 Analyse &amp; Synthese'!Q29=1,'1.4 Analyse &amp; Synthese'!F29="Werkzeug"),'1.4 Analyse &amp; Synthese'!I29&amp;CHAR(13)&amp;"("&amp;'(Codierung)'!$C$4&amp;" - "&amp;'1.4 Analyse &amp; Synthese'!C29&amp;")","")</f>
        <v/>
      </c>
      <c r="H28" s="277" t="str">
        <f t="array" ref="H28">_xlfn.IFNA(INDEX($G$6:$G$66,MATCH(0,COUNTIF($H$4:H27,$G$6:$G$66),0),1),"")</f>
        <v/>
      </c>
      <c r="J28" s="277" t="str">
        <f>IF(AND('1.4 Analyse &amp; Synthese'!R29=1,'1.4 Analyse &amp; Synthese'!F29="Empfehlung"),'1.4 Analyse &amp; Synthese'!I29&amp;CHAR(13)&amp;"("&amp;'(Codierung)'!$C$2&amp;" - "&amp;'1.4 Analyse &amp; Synthese'!C29&amp;")","")</f>
        <v/>
      </c>
      <c r="K28" s="277" t="str">
        <f t="array" ref="K28">_xlfn.IFNA(INDEX($J$6:$J$66,MATCH(0,COUNTIF($K$4:K27,$J$6:$J$66),0),1),"")</f>
        <v/>
      </c>
      <c r="L28" s="277" t="str">
        <f>IF(AND('1.4 Analyse &amp; Synthese'!R29=1,'1.4 Analyse &amp; Synthese'!F29="Methode"),'1.4 Analyse &amp; Synthese'!I29&amp;CHAR(13)&amp;"("&amp;'(Codierung)'!$C$3&amp;" - "&amp;'1.4 Analyse &amp; Synthese'!C29&amp;")","")</f>
        <v/>
      </c>
      <c r="M28" s="277" t="str">
        <f t="array" ref="M28">_xlfn.IFNA(INDEX($L$6:$L$66,MATCH(0,COUNTIF($M$4:M27,$L$6:$L$66),0),1),"")</f>
        <v/>
      </c>
      <c r="N28" s="277" t="str">
        <f>IF(AND('1.4 Analyse &amp; Synthese'!R29=1,'1.4 Analyse &amp; Synthese'!F29="Werkzeug"),'1.4 Analyse &amp; Synthese'!I29&amp;CHAR(13)&amp;"("&amp;'(Codierung)'!$C$4&amp;" - "&amp;'1.4 Analyse &amp; Synthese'!C29&amp;")","")</f>
        <v/>
      </c>
      <c r="O28" s="277" t="str">
        <f t="array" ref="O28">_xlfn.IFNA(INDEX($N$6:$N$66,MATCH(0,COUNTIF($O$4:O27,$N$6:$N$66),0),1),"")</f>
        <v/>
      </c>
      <c r="Q28" s="277" t="str">
        <f>IF(AND('1.4 Analyse &amp; Synthese'!S29=1,'1.4 Analyse &amp; Synthese'!F29="Empfehlung"),'1.4 Analyse &amp; Synthese'!I29&amp;CHAR(13)&amp;"("&amp;'(Codierung)'!$C$2&amp;" - "&amp;'1.4 Analyse &amp; Synthese'!C29&amp;")","")</f>
        <v/>
      </c>
      <c r="R28" s="277" t="str">
        <f t="array" ref="R28">_xlfn.IFNA(INDEX($Q$6:$Q$66,MATCH(0,COUNTIF($R$4:R27,$Q$6:$Q$66),0),1),"")</f>
        <v/>
      </c>
      <c r="S28" s="277" t="str">
        <f>IF(AND('1.4 Analyse &amp; Synthese'!S29=1,'1.4 Analyse &amp; Synthese'!F29="Methode"),'1.4 Analyse &amp; Synthese'!I29&amp;CHAR(13)&amp;"("&amp;'(Codierung)'!$C$3&amp;" - "&amp;'1.4 Analyse &amp; Synthese'!C29&amp;")","")</f>
        <v/>
      </c>
      <c r="T28" s="277" t="str">
        <f t="array" ref="T28">_xlfn.IFNA(INDEX($S$6:$S$66,MATCH(0,COUNTIF($T$4:T27,$S$6:$S$66),0),1),"")</f>
        <v/>
      </c>
      <c r="U28" s="277" t="str">
        <f>IF(AND('1.4 Analyse &amp; Synthese'!S29=1,'1.4 Analyse &amp; Synthese'!F29="Werkzeug"),'1.4 Analyse &amp; Synthese'!I29&amp;CHAR(13)&amp;"("&amp;'(Codierung)'!$C$4&amp;" - "&amp;'1.4 Analyse &amp; Synthese'!C29&amp;")","")</f>
        <v/>
      </c>
      <c r="V28" s="277" t="str">
        <f t="array" ref="V28">_xlfn.IFNA(INDEX($U$6:$U$66,MATCH(0,COUNTIF($V$4:V27,$U$6:$U$66),0),1),"")</f>
        <v/>
      </c>
      <c r="X28" s="277" t="str">
        <f>IF(AND('1.4 Analyse &amp; Synthese'!T29=1,'1.4 Analyse &amp; Synthese'!F29="Empfehlung"),'1.4 Analyse &amp; Synthese'!I29&amp;CHAR(13)&amp;"("&amp;'(Codierung)'!$C$2&amp;" - "&amp;'1.4 Analyse &amp; Synthese'!C29&amp;")","")</f>
        <v/>
      </c>
      <c r="Y28" s="277" t="str">
        <f t="array" ref="Y28">_xlfn.IFNA(INDEX($X$6:$X$66,MATCH(0,COUNTIF($Y$4:Y27,$X$6:$X$66),0),1),"")</f>
        <v/>
      </c>
      <c r="Z28" s="277" t="str">
        <f>IF(AND('1.4 Analyse &amp; Synthese'!T29=1,'1.4 Analyse &amp; Synthese'!F29="Methode"),'1.4 Analyse &amp; Synthese'!I29&amp;CHAR(13)&amp;"("&amp;'(Codierung)'!$C$3&amp;" - "&amp;'1.4 Analyse &amp; Synthese'!C29&amp;")","")</f>
        <v/>
      </c>
      <c r="AA28" s="277" t="str">
        <f t="array" ref="AA28">_xlfn.IFNA(INDEX($Z$6:$Z$66,MATCH(0,COUNTIF($AA$4:AA27,$Z$6:$Z$66),0),1),"")</f>
        <v/>
      </c>
      <c r="AB28" s="277" t="str">
        <f>IF(AND('1.4 Analyse &amp; Synthese'!T29=1,'1.4 Analyse &amp; Synthese'!F29="Werkzeug"),'1.4 Analyse &amp; Synthese'!I29&amp;CHAR(13)&amp;"("&amp;'(Codierung)'!$C$4&amp;" - "&amp;'1.4 Analyse &amp; Synthese'!C29&amp;")","")</f>
        <v/>
      </c>
      <c r="AC28" s="277" t="str">
        <f t="array" ref="AC28">_xlfn.IFNA(INDEX($AB$6:$AB$66,MATCH(0,COUNTIF($AC$4:AC27,$AB$6:$AB$66),0),1),"")</f>
        <v/>
      </c>
      <c r="AE28" s="277" t="str">
        <f>IF(AND('1.4 Analyse &amp; Synthese'!U29=1,'1.4 Analyse &amp; Synthese'!F29="Empfehlung"),'1.4 Analyse &amp; Synthese'!I29&amp;CHAR(13)&amp;"("&amp;'(Codierung)'!$C$2&amp;" - "&amp;'1.4 Analyse &amp; Synthese'!C29&amp;")","")</f>
        <v/>
      </c>
      <c r="AF28" s="277" t="str">
        <f t="array" ref="AF28">_xlfn.IFNA(INDEX($AE$6:$AE$66,MATCH(0,COUNTIF($AF$4:AF27,$AE$6:$AE$66),0),1),"")</f>
        <v/>
      </c>
      <c r="AG28" s="277" t="str">
        <f>IF(AND('1.4 Analyse &amp; Synthese'!U29=1,'1.4 Analyse &amp; Synthese'!F29="Methode"),'1.4 Analyse &amp; Synthese'!I29&amp;CHAR(13)&amp;"("&amp;'(Codierung)'!$C$3&amp;" - "&amp;'1.4 Analyse &amp; Synthese'!C29&amp;")","")</f>
        <v/>
      </c>
      <c r="AH28" s="277" t="str">
        <f t="array" ref="AH28">_xlfn.IFNA(INDEX($AG$6:$AG$66,MATCH(0,COUNTIF($AH$4:AH27,$AG$6:$AG$66),0),1),"")</f>
        <v/>
      </c>
      <c r="AI28" s="277" t="str">
        <f>IF(AND('1.4 Analyse &amp; Synthese'!U29=1,'1.4 Analyse &amp; Synthese'!F29="Werkzeug"),'1.4 Analyse &amp; Synthese'!I29&amp;CHAR(13)&amp;"("&amp;'(Codierung)'!$C$4&amp;" - "&amp;'1.4 Analyse &amp; Synthese'!C29&amp;")","")</f>
        <v/>
      </c>
      <c r="AJ28" s="277" t="str">
        <f t="array" ref="AJ28">_xlfn.IFNA(INDEX($AI$6:$AI$66,MATCH(0,COUNTIF($AJ$4:AJ27,$AI$6:$AI$66),0),1),"")</f>
        <v/>
      </c>
      <c r="AL28" s="277" t="str">
        <f>IF(AND('1.4 Analyse &amp; Synthese'!V29=1,'1.4 Analyse &amp; Synthese'!F29="Empfehlung"),'1.4 Analyse &amp; Synthese'!I29&amp;CHAR(13)&amp;"("&amp;'(Codierung)'!$C$2&amp;" - "&amp;'1.4 Analyse &amp; Synthese'!C29&amp;")","")</f>
        <v/>
      </c>
      <c r="AM28" s="277" t="str">
        <f t="array" ref="AM28">_xlfn.IFNA(INDEX($AL$6:$AL$66,MATCH(0,COUNTIF($AM$4:AM27,$AL$6:$AL$66),0),1),"")</f>
        <v/>
      </c>
      <c r="AN28" s="277" t="str">
        <f>IF(AND('1.4 Analyse &amp; Synthese'!V29=1,'1.4 Analyse &amp; Synthese'!F29="Methode"),'1.4 Analyse &amp; Synthese'!I29&amp;CHAR(13)&amp;"("&amp;'(Codierung)'!$C$3&amp;" - "&amp;'1.4 Analyse &amp; Synthese'!C29&amp;")","")</f>
        <v/>
      </c>
      <c r="AO28" s="277" t="str">
        <f t="array" ref="AO28">_xlfn.IFNA(INDEX($AN$6:$AN$66,MATCH(0,COUNTIF($AO$4:AO27,$AN$6:$AN$66),0),1),"")</f>
        <v/>
      </c>
      <c r="AP28" s="277" t="str">
        <f>IF(AND('1.4 Analyse &amp; Synthese'!V29=1,'1.4 Analyse &amp; Synthese'!F29="Werkzeug"),'1.4 Analyse &amp; Synthese'!I29&amp;CHAR(13)&amp;"("&amp;'(Codierung)'!$C$4&amp;" - "&amp;'1.4 Analyse &amp; Synthese'!C29&amp;")","")</f>
        <v/>
      </c>
      <c r="AQ28" s="277" t="str">
        <f t="array" ref="AQ28">_xlfn.IFNA(INDEX($AP$6:$AP$66,MATCH(0,COUNTIF($AQ$4:AQ27,$AP$6:$AP$66),0),1),"")</f>
        <v/>
      </c>
      <c r="AS28" s="277" t="str">
        <f>IF(AND('1.4 Analyse &amp; Synthese'!W29=1,'1.4 Analyse &amp; Synthese'!F29="Empfehlung"),'1.4 Analyse &amp; Synthese'!I29&amp;CHAR(13)&amp;"("&amp;'(Codierung)'!$C$2&amp;" - "&amp;'1.4 Analyse &amp; Synthese'!C29&amp;")","")</f>
        <v/>
      </c>
      <c r="AT28" s="277" t="str">
        <f t="array" ref="AT28">_xlfn.IFNA(INDEX($AS$6:$AS$66,MATCH(0,COUNTIF($AT$4:AT27,$AS$6:$AS$66),0),1),"")</f>
        <v/>
      </c>
      <c r="AU28" s="277" t="str">
        <f>IF(AND('1.4 Analyse &amp; Synthese'!W29=1,'1.4 Analyse &amp; Synthese'!F29="Methode"),'1.4 Analyse &amp; Synthese'!I29&amp;CHAR(13)&amp;"("&amp;'(Codierung)'!$C$3&amp;" - "&amp;'1.4 Analyse &amp; Synthese'!C29&amp;")","")</f>
        <v/>
      </c>
      <c r="AV28" s="277" t="str">
        <f t="array" ref="AV28">_xlfn.IFNA(INDEX($AU$6:$AU$66,MATCH(0,COUNTIF($AV$4:AV27,$AU$6:$AU$66),0),1),"")</f>
        <v/>
      </c>
      <c r="AW28" s="277" t="str">
        <f>IF(AND('1.4 Analyse &amp; Synthese'!W29=1,'1.4 Analyse &amp; Synthese'!F29="Werkzeug"),'1.4 Analyse &amp; Synthese'!I29&amp;CHAR(13)&amp;"("&amp;'(Codierung)'!$C$4&amp;" - "&amp;'1.4 Analyse &amp; Synthese'!C29&amp;")","")</f>
        <v/>
      </c>
      <c r="AX28" s="277" t="str">
        <f t="array" ref="AX28">_xlfn.IFNA(INDEX($AW$6:$AW$66,MATCH(0,COUNTIF($AX$4:AX27,$AW$6:$AW$66),0),1),"")</f>
        <v/>
      </c>
      <c r="AZ28" s="277" t="str">
        <f>IF(AND('1.4 Analyse &amp; Synthese'!X29=1,'1.4 Analyse &amp; Synthese'!F29="Empfehlung"),'1.4 Analyse &amp; Synthese'!I29&amp;CHAR(13)&amp;"("&amp;'(Codierung)'!$C$2&amp;" - "&amp;'1.4 Analyse &amp; Synthese'!C29&amp;")","")</f>
        <v/>
      </c>
      <c r="BA28" s="277" t="str">
        <f t="array" ref="BA28">_xlfn.IFNA(INDEX($AZ$6:$AZ$66,MATCH(0,COUNTIF($BA$4:BA27,$AZ$6:$AZ$66),0),1),"")</f>
        <v/>
      </c>
      <c r="BB28" s="277" t="str">
        <f>IF(AND('1.4 Analyse &amp; Synthese'!X29=1,'1.4 Analyse &amp; Synthese'!F29="Methode"),'1.4 Analyse &amp; Synthese'!I29&amp;CHAR(13)&amp;"("&amp;'(Codierung)'!$C$3&amp;" - "&amp;'1.4 Analyse &amp; Synthese'!C29&amp;")","")</f>
        <v/>
      </c>
      <c r="BC28" s="277" t="str">
        <f t="array" ref="BC28">_xlfn.IFNA(INDEX($BB$6:$BB$66,MATCH(0,COUNTIF($BC$4:BC27,$BB$6:$BB$66),0),1),"")</f>
        <v/>
      </c>
      <c r="BD28" s="277" t="str">
        <f>IF(AND('1.4 Analyse &amp; Synthese'!X29=1,'1.4 Analyse &amp; Synthese'!F29="Werkzeug"),'1.4 Analyse &amp; Synthese'!I29&amp;CHAR(13)&amp;"("&amp;'(Codierung)'!$C$4&amp;" - "&amp;'1.4 Analyse &amp; Synthese'!C29&amp;")","")</f>
        <v/>
      </c>
      <c r="BE28" s="277" t="str">
        <f t="array" ref="BE28">_xlfn.IFNA(INDEX($BD$6:$BD$66,MATCH(0,COUNTIF($BE$4:BE27,$BD$6:$BD$66),0),1),"")</f>
        <v/>
      </c>
      <c r="BG28" s="277" t="str">
        <f>IF(AND('1.4 Analyse &amp; Synthese'!Y29=1,'1.4 Analyse &amp; Synthese'!F29="Empfehlung"),'1.4 Analyse &amp; Synthese'!I29&amp;CHAR(13)&amp;"("&amp;'(Codierung)'!$C$2&amp;" - "&amp;'1.4 Analyse &amp; Synthese'!C29&amp;")","")</f>
        <v/>
      </c>
      <c r="BH28" s="277" t="str">
        <f t="array" ref="BH28">_xlfn.IFNA(INDEX($BG$6:$BG$66,MATCH(0,COUNTIF($BH$4:BH27,$BG$6:$BG$66),0),1),"")</f>
        <v/>
      </c>
      <c r="BI28" s="277" t="str">
        <f>IF(AND('1.4 Analyse &amp; Synthese'!Y29=1,'1.4 Analyse &amp; Synthese'!F29="Methode"),'1.4 Analyse &amp; Synthese'!I29&amp;CHAR(13)&amp;"("&amp;'(Codierung)'!$C$3&amp;" - "&amp;'1.4 Analyse &amp; Synthese'!C29&amp;")","")</f>
        <v/>
      </c>
      <c r="BJ28" s="277" t="str">
        <f t="array" ref="BJ28">_xlfn.IFNA(INDEX($BI$6:$BI$66,MATCH(0,COUNTIF($BJ$4:BJ27,$BI$6:$BI$66),0),1),"")</f>
        <v/>
      </c>
      <c r="BK28" s="277" t="str">
        <f>IF(AND('1.4 Analyse &amp; Synthese'!Y29=1,'1.4 Analyse &amp; Synthese'!F29="Werkzeug"),'1.4 Analyse &amp; Synthese'!I29&amp;CHAR(13)&amp;"("&amp;'(Codierung)'!$C$4&amp;" - "&amp;'1.4 Analyse &amp; Synthese'!C29&amp;")","")</f>
        <v/>
      </c>
      <c r="BL28" s="277" t="str">
        <f t="array" ref="BL28">_xlfn.IFNA(INDEX($BK$6:$BK$66,MATCH(0,COUNTIF($BL$4:BL27,$BK$6:$BK$66),0),1),"")</f>
        <v/>
      </c>
      <c r="BN28" s="277" t="str">
        <f>IF(AND('1.4 Analyse &amp; Synthese'!Z29=1,'1.4 Analyse &amp; Synthese'!F29="Empfehlung"),'1.4 Analyse &amp; Synthese'!I29&amp;CHAR(13)&amp;"("&amp;'(Codierung)'!$C$2&amp;" - "&amp;'1.4 Analyse &amp; Synthese'!C29&amp;")","")</f>
        <v/>
      </c>
      <c r="BO28" s="277" t="str">
        <f t="array" ref="BO28">_xlfn.IFNA(INDEX($BN$6:$BN$66,MATCH(0,COUNTIF($BO$4:BO27,$BN$6:$BN$66),0),1),"")</f>
        <v/>
      </c>
      <c r="BP28" s="277" t="str">
        <f>IF(AND('1.4 Analyse &amp; Synthese'!Z29=1,'1.4 Analyse &amp; Synthese'!F29="Methode"),'1.4 Analyse &amp; Synthese'!I29&amp;CHAR(13)&amp;"("&amp;'(Codierung)'!$C$3&amp;" - "&amp;'1.4 Analyse &amp; Synthese'!C29&amp;")","")</f>
        <v/>
      </c>
      <c r="BQ28" s="277" t="str">
        <f t="array" ref="BQ28">_xlfn.IFNA(INDEX($BP$6:$BP$66,MATCH(0,COUNTIF($BQ$4:BQ27,$BP$6:$BP$66),0),1),"")</f>
        <v/>
      </c>
      <c r="BR28" s="277" t="str">
        <f>IF(AND('1.4 Analyse &amp; Synthese'!Z29=1,'1.4 Analyse &amp; Synthese'!F29="Werkzeug"),'1.4 Analyse &amp; Synthese'!I29&amp;CHAR(13)&amp;"("&amp;'(Codierung)'!$C$4&amp;" - "&amp;'1.4 Analyse &amp; Synthese'!C29&amp;")","")</f>
        <v/>
      </c>
      <c r="BS28" s="277" t="str">
        <f t="array" ref="BS28">_xlfn.IFNA(INDEX($BR$6:$BR$66,MATCH(0,COUNTIF($BS$4:BS27,$BR$6:$BR$66),0),1),"")</f>
        <v/>
      </c>
      <c r="BU28" s="277" t="str">
        <f>IF(AND('1.4 Analyse &amp; Synthese'!AA29=1,'1.4 Analyse &amp; Synthese'!F29="Empfehlung"),'1.4 Analyse &amp; Synthese'!I29&amp;CHAR(13)&amp;"("&amp;'(Codierung)'!$C$2&amp;" - "&amp;'1.4 Analyse &amp; Synthese'!C29&amp;")","")</f>
        <v/>
      </c>
      <c r="BV28" s="277" t="str">
        <f t="array" ref="BV28">_xlfn.IFNA(INDEX($BU$6:$BU$66,MATCH(0,COUNTIF($BV$4:BV27,$BU$6:$BU$66),0),1),"")</f>
        <v/>
      </c>
      <c r="BW28" s="277" t="str">
        <f>IF(AND('1.4 Analyse &amp; Synthese'!AA29=1,'1.4 Analyse &amp; Synthese'!F29="Methode"),'1.4 Analyse &amp; Synthese'!I29&amp;CHAR(13)&amp;"("&amp;'(Codierung)'!$C$3&amp;" - "&amp;'1.4 Analyse &amp; Synthese'!C29&amp;")","")</f>
        <v/>
      </c>
      <c r="BX28" s="277" t="str">
        <f t="array" ref="BX28">_xlfn.IFNA(INDEX($BW$6:$BW$66,MATCH(0,COUNTIF($BX$4:BX27,$BW$6:$BW$66),0),1),"")</f>
        <v/>
      </c>
      <c r="BY28" s="277" t="str">
        <f>IF(AND('1.4 Analyse &amp; Synthese'!AA29=1,'1.4 Analyse &amp; Synthese'!F29="Werkzeug"),'1.4 Analyse &amp; Synthese'!I29&amp;CHAR(13)&amp;"("&amp;'(Codierung)'!$C$4&amp;" - "&amp;'1.4 Analyse &amp; Synthese'!C29&amp;")","")</f>
        <v/>
      </c>
      <c r="BZ28" s="277" t="str">
        <f t="array" ref="BZ28">_xlfn.IFNA(INDEX($BY$6:$BY$66,MATCH(0,COUNTIF($BZ$4:BZ27,$BY$6:$BY$66),0),1),"")</f>
        <v/>
      </c>
      <c r="CB28" s="277" t="str">
        <f>IF(AND('1.4 Analyse &amp; Synthese'!AB29=1,'1.4 Analyse &amp; Synthese'!F29="Empfehlung"),'1.4 Analyse &amp; Synthese'!I29&amp;CHAR(13)&amp;"("&amp;'(Codierung)'!$C$2&amp;" - "&amp;'1.4 Analyse &amp; Synthese'!C29&amp;")","")</f>
        <v/>
      </c>
      <c r="CC28" s="277" t="str">
        <f t="array" ref="CC28">_xlfn.IFNA(INDEX($CB$6:$CB$66,MATCH(0,COUNTIF($CC$4:CC27,$CB$6:$CB$66),0),1),"")</f>
        <v/>
      </c>
      <c r="CD28" s="277" t="str">
        <f>IF(AND('1.4 Analyse &amp; Synthese'!AB29=1,'1.4 Analyse &amp; Synthese'!F29="Methode"),'1.4 Analyse &amp; Synthese'!I29&amp;CHAR(13)&amp;"("&amp;'(Codierung)'!$C$3&amp;" - "&amp;'1.4 Analyse &amp; Synthese'!C29&amp;")","")</f>
        <v/>
      </c>
      <c r="CE28" s="277" t="str">
        <f t="array" ref="CE28">_xlfn.IFNA(INDEX($CD$6:$CD$66,MATCH(0,COUNTIF($CE$4:CE27,$CD$6:$CD$66),0),1),"")</f>
        <v/>
      </c>
      <c r="CF28" s="277" t="str">
        <f>IF(AND('1.4 Analyse &amp; Synthese'!AB29=1,'1.4 Analyse &amp; Synthese'!F29="Werkzeug"),'1.4 Analyse &amp; Synthese'!I29&amp;CHAR(13)&amp;"("&amp;'(Codierung)'!$C$4&amp;" - "&amp;'1.4 Analyse &amp; Synthese'!C29&amp;")","")</f>
        <v/>
      </c>
      <c r="CG28" s="277" t="str">
        <f t="array" ref="CG28">_xlfn.IFNA(INDEX($CF$6:$CF$66,MATCH(0,COUNTIF($CG$4:CG27,$CF$6:$CF$66),0),1),"")</f>
        <v/>
      </c>
      <c r="CI28" s="277" t="str">
        <f>IF(AND('1.4 Analyse &amp; Synthese'!AC29=1,'1.4 Analyse &amp; Synthese'!F29="Empfehlung"),'1.4 Analyse &amp; Synthese'!I29&amp;CHAR(13)&amp;"("&amp;'(Codierung)'!$C$2&amp;" - "&amp;'1.4 Analyse &amp; Synthese'!C29&amp;")","")</f>
        <v/>
      </c>
      <c r="CJ28" s="277" t="str">
        <f t="array" ref="CJ28">_xlfn.IFNA(INDEX($CI$6:$CI$66,MATCH(0,COUNTIF($CJ$4:CJ27,$CI$6:$CI$66),0),1),"")</f>
        <v/>
      </c>
      <c r="CK28" s="277" t="str">
        <f>IF(AND('1.4 Analyse &amp; Synthese'!AC29=1,'1.4 Analyse &amp; Synthese'!F29="Methode"),'1.4 Analyse &amp; Synthese'!I29&amp;CHAR(13)&amp;"("&amp;'(Codierung)'!$C$3&amp;" - "&amp;'1.4 Analyse &amp; Synthese'!C29&amp;")","")</f>
        <v/>
      </c>
      <c r="CL28" s="277" t="str">
        <f t="array" ref="CL28">_xlfn.IFNA(INDEX($CK$6:$CK$66,MATCH(0,COUNTIF($CL$4:CL27,$CK$6:$CK$66),0),1),"")</f>
        <v/>
      </c>
      <c r="CM28" s="277" t="str">
        <f>IF(AND('1.4 Analyse &amp; Synthese'!AC29=1,'1.4 Analyse &amp; Synthese'!F29="Werkzeug"),'1.4 Analyse &amp; Synthese'!I29&amp;CHAR(13)&amp;"("&amp;'(Codierung)'!$C$4&amp;" - "&amp;'1.4 Analyse &amp; Synthese'!C29&amp;")","")</f>
        <v/>
      </c>
      <c r="CN28" s="277" t="str">
        <f t="array" ref="CN28">_xlfn.IFNA(INDEX($CM$6:$CM$66,MATCH(0,COUNTIF($CN$4:CN27,$CM$6:$CM$66),0),1),"")</f>
        <v/>
      </c>
      <c r="CP28" s="277" t="str">
        <f>IF(AND('1.4 Analyse &amp; Synthese'!AD29=1,'1.4 Analyse &amp; Synthese'!F29="Empfehlung"),'1.4 Analyse &amp; Synthese'!I29&amp;CHAR(13)&amp;"("&amp;'(Codierung)'!$C$2&amp;" - "&amp;'1.4 Analyse &amp; Synthese'!C29&amp;")","")</f>
        <v/>
      </c>
      <c r="CQ28" s="277" t="str">
        <f t="array" ref="CQ28">_xlfn.IFNA(INDEX($CP$6:$CP$66,MATCH(0,COUNTIF($CQ$4:CQ27,$CP$6:$CP$66),0),1),"")</f>
        <v/>
      </c>
      <c r="CR28" s="277" t="str">
        <f>IF(AND('1.4 Analyse &amp; Synthese'!AD29=1,'1.4 Analyse &amp; Synthese'!F29="Methode"),'1.4 Analyse &amp; Synthese'!I29&amp;CHAR(13)&amp;"("&amp;'(Codierung)'!$C$3&amp;" - "&amp;'1.4 Analyse &amp; Synthese'!C29&amp;")","")</f>
        <v/>
      </c>
      <c r="CS28" s="277" t="str">
        <f t="array" ref="CS28">_xlfn.IFNA(INDEX($CR$6:$CR$66,MATCH(0,COUNTIF($CS$4:CS27,$CR$6:$CR$66),0),1),"")</f>
        <v/>
      </c>
      <c r="CT28" s="277" t="str">
        <f>IF(AND('1.4 Analyse &amp; Synthese'!AD29=1,'1.4 Analyse &amp; Synthese'!F29="Werkzeug"),'1.4 Analyse &amp; Synthese'!I29&amp;CHAR(13)&amp;"("&amp;'(Codierung)'!$C$4&amp;" - "&amp;'1.4 Analyse &amp; Synthese'!C29&amp;")","")</f>
        <v/>
      </c>
      <c r="CU28" s="277" t="str">
        <f t="array" ref="CU28">_xlfn.IFNA(INDEX($CT$6:$CT$66,MATCH(0,COUNTIF($CU$4:CU27,$CT$6:$CT$66),0),1),"")</f>
        <v/>
      </c>
      <c r="CW28" s="277" t="str">
        <f>IF(AND('1.4 Analyse &amp; Synthese'!AE29=1,'1.4 Analyse &amp; Synthese'!F29="Empfehlung"),'1.4 Analyse &amp; Synthese'!I29&amp;CHAR(13)&amp;"("&amp;'(Codierung)'!$C$2&amp;" - "&amp;'1.4 Analyse &amp; Synthese'!C29&amp;")","")</f>
        <v/>
      </c>
      <c r="CX28" s="277" t="str">
        <f t="array" ref="CX28">_xlfn.IFNA(INDEX($CW$6:$CW$66,MATCH(0,COUNTIF($CX$4:CX27,$CW$6:$CW$66),0),1),"")</f>
        <v/>
      </c>
      <c r="CY28" s="277" t="str">
        <f>IF(AND('1.4 Analyse &amp; Synthese'!AE29=1,'1.4 Analyse &amp; Synthese'!F29="Methode"),'1.4 Analyse &amp; Synthese'!I29&amp;CHAR(13)&amp;"("&amp;'(Codierung)'!$C$3&amp;" - "&amp;'1.4 Analyse &amp; Synthese'!C29&amp;")","")</f>
        <v/>
      </c>
      <c r="CZ28" s="277" t="str">
        <f t="array" ref="CZ28">_xlfn.IFNA(INDEX($CY$6:$CY$66,MATCH(0,COUNTIF($CZ$4:CZ27,$CY$6:$CY$66),0),1),"")</f>
        <v/>
      </c>
      <c r="DA28" s="277" t="str">
        <f>IF(AND('1.4 Analyse &amp; Synthese'!AE29=1,'1.4 Analyse &amp; Synthese'!F29="Werkzeug"),'1.4 Analyse &amp; Synthese'!I29&amp;CHAR(13)&amp;"("&amp;'(Codierung)'!$C$4&amp;" - "&amp;'1.4 Analyse &amp; Synthese'!C29&amp;")","")</f>
        <v/>
      </c>
      <c r="DB28" s="277" t="str">
        <f t="array" ref="DB28">_xlfn.IFNA(INDEX($DA$6:$DA$66,MATCH(0,COUNTIF($DB$4:DB27,$DA$6:$DA$66),0),1),"")</f>
        <v/>
      </c>
      <c r="DD28" s="277" t="str">
        <f>IF(AND('1.4 Analyse &amp; Synthese'!AF29=1,'1.4 Analyse &amp; Synthese'!F29="Empfehlung"),'1.4 Analyse &amp; Synthese'!I29&amp;CHAR(13)&amp;"("&amp;'(Codierung)'!$C$2&amp;" - "&amp;'1.4 Analyse &amp; Synthese'!C29&amp;")","")</f>
        <v>Protokolltransmitter_x000D_(Empfehlung - Majda)</v>
      </c>
      <c r="DE28" s="277" t="str">
        <f t="array" ref="DE28">_xlfn.IFNA(INDEX($DD$6:$DD$66,MATCH(0,COUNTIF($DE$4:DE27,$DD$6:$DD$66),0),1),"")</f>
        <v/>
      </c>
      <c r="DF28" s="277" t="str">
        <f>IF(AND('1.4 Analyse &amp; Synthese'!AF29=1,'1.4 Analyse &amp; Synthese'!F29="Methode"),'1.4 Analyse &amp; Synthese'!I29&amp;CHAR(13)&amp;"("&amp;'(Codierung)'!$C$3&amp;" - "&amp;'1.4 Analyse &amp; Synthese'!C29&amp;")","")</f>
        <v/>
      </c>
      <c r="DG28" s="277" t="str">
        <f t="array" ref="DG28">_xlfn.IFNA(INDEX($DF$6:$DF$66,MATCH(0,COUNTIF($DG$4:DG27,$DF$6:$DF$66),0),1),"")</f>
        <v/>
      </c>
      <c r="DH28" s="277" t="str">
        <f>IF(AND('1.4 Analyse &amp; Synthese'!AF29=1,'1.4 Analyse &amp; Synthese'!F29="Werkzeug"),'1.4 Analyse &amp; Synthese'!I29&amp;CHAR(13)&amp;"("&amp;'(Codierung)'!$C$4&amp;" - "&amp;'1.4 Analyse &amp; Synthese'!C29&amp;")","")</f>
        <v/>
      </c>
      <c r="DI28" s="277" t="str">
        <f t="array" ref="DI28">_xlfn.IFNA(INDEX($DH$6:$DH$66,MATCH(0,COUNTIF($DI$4:DI27,$DH$6:$DH$66),0),1),"")</f>
        <v/>
      </c>
      <c r="DK28" s="277" t="str">
        <f>IF(AND('1.4 Analyse &amp; Synthese'!AG29=1,'1.4 Analyse &amp; Synthese'!F29="Empfehlung"),'1.4 Analyse &amp; Synthese'!I29&amp;CHAR(13)&amp;"("&amp;'(Codierung)'!$C$2&amp;" - "&amp;'1.4 Analyse &amp; Synthese'!C29&amp;")","")</f>
        <v>Protokolltransmitter_x000D_(Empfehlung - Majda)</v>
      </c>
      <c r="DL28" s="277" t="str">
        <f t="array" ref="DL28">_xlfn.IFNA(INDEX($DK$6:$DK$66,MATCH(0,COUNTIF($DL$4:DL27,$DK$6:$DK$66),0),1),"")</f>
        <v/>
      </c>
      <c r="DM28" s="277" t="str">
        <f>IF(AND('1.4 Analyse &amp; Synthese'!AG29=1,'1.4 Analyse &amp; Synthese'!F29="Methode"),'1.4 Analyse &amp; Synthese'!I29&amp;CHAR(13)&amp;"("&amp;'(Codierung)'!$C$3&amp;" - "&amp;'1.4 Analyse &amp; Synthese'!C29&amp;")","")</f>
        <v/>
      </c>
      <c r="DN28" s="277" t="str">
        <f t="array" ref="DN28">_xlfn.IFNA(INDEX($DM$6:$DM$66,MATCH(0,COUNTIF($DN$4:DN27,$DM$6:$DM$66),0),1),"")</f>
        <v/>
      </c>
      <c r="DO28" s="277" t="str">
        <f>IF(AND('1.4 Analyse &amp; Synthese'!AG29=1,'1.4 Analyse &amp; Synthese'!F29="Werkzeug"),'1.4 Analyse &amp; Synthese'!I29&amp;CHAR(13)&amp;"("&amp;'(Codierung)'!$C$4&amp;" - "&amp;'1.4 Analyse &amp; Synthese'!C29&amp;")","")</f>
        <v/>
      </c>
      <c r="DP28" s="277" t="str">
        <f t="array" ref="DP28">_xlfn.IFNA(INDEX($DO$6:$DO$66,MATCH(0,COUNTIF($DP$4:DP27,$DO$6:$DO$66),0),1),"")</f>
        <v/>
      </c>
      <c r="DR28" s="277" t="str">
        <f>IF(AND('1.4 Analyse &amp; Synthese'!AH29=1,'1.4 Analyse &amp; Synthese'!F29="Empfehlung"),'1.4 Analyse &amp; Synthese'!I29&amp;CHAR(13)&amp;"("&amp;'(Codierung)'!$C$2&amp;" - "&amp;'1.4 Analyse &amp; Synthese'!C29&amp;")","")</f>
        <v/>
      </c>
      <c r="DS28" s="277" t="str">
        <f t="array" ref="DS28">_xlfn.IFNA(INDEX($DR$6:$DR$66,MATCH(0,COUNTIF($DS$4:DS27,$DR$6:$DR$66),0),1),"")</f>
        <v/>
      </c>
      <c r="DT28" s="277" t="str">
        <f>IF(AND('1.4 Analyse &amp; Synthese'!AH29=1,'1.4 Analyse &amp; Synthese'!F29="Methode"),'1.4 Analyse &amp; Synthese'!I29&amp;CHAR(13)&amp;"("&amp;'(Codierung)'!$C$3&amp;" - "&amp;'1.4 Analyse &amp; Synthese'!C29&amp;")","")</f>
        <v/>
      </c>
      <c r="DU28" s="277" t="str">
        <f t="array" ref="DU28">_xlfn.IFNA(INDEX($DT$6:$DT$66,MATCH(0,COUNTIF($DU$4:DU27,$DT$6:$DT$66),0),1),"")</f>
        <v/>
      </c>
      <c r="DV28" s="277" t="str">
        <f>IF(AND('1.4 Analyse &amp; Synthese'!AH29=1,'1.4 Analyse &amp; Synthese'!F29="Werkzeug"),'1.4 Analyse &amp; Synthese'!I29&amp;CHAR(13)&amp;"("&amp;'(Codierung)'!$C$4&amp;" - "&amp;'1.4 Analyse &amp; Synthese'!C29&amp;")","")</f>
        <v/>
      </c>
      <c r="DW28" s="277" t="str">
        <f t="array" ref="DW28">_xlfn.IFNA(INDEX($DV$6:$DV$66,MATCH(0,COUNTIF($DW$4:DW27,$DV$6:$DV$66),0),1),"")</f>
        <v/>
      </c>
      <c r="DY28" s="277" t="str">
        <f>IF(AND('1.4 Analyse &amp; Synthese'!AI29=1,'1.4 Analyse &amp; Synthese'!F29="Empfehlung"),'1.4 Analyse &amp; Synthese'!I29&amp;CHAR(13)&amp;"("&amp;'(Codierung)'!$C$2&amp;" - "&amp;'1.4 Analyse &amp; Synthese'!C29&amp;")","")</f>
        <v>Protokolltransmitter_x000D_(Empfehlung - Majda)</v>
      </c>
      <c r="DZ28" s="277" t="str">
        <f t="array" ref="DZ28">_xlfn.IFNA(INDEX($DY$6:$DY$66,MATCH(0,COUNTIF($DZ$4:DZ27,$DY$6:$DY$66),0),1),"")</f>
        <v/>
      </c>
      <c r="EA28" s="277" t="str">
        <f>IF(AND('1.4 Analyse &amp; Synthese'!AI29=1,'1.4 Analyse &amp; Synthese'!F29="Methode"),'1.4 Analyse &amp; Synthese'!I29&amp;CHAR(13)&amp;"("&amp;'(Codierung)'!$C$3&amp;" - "&amp;'1.4 Analyse &amp; Synthese'!C29&amp;")","")</f>
        <v/>
      </c>
      <c r="EB28" s="277" t="str">
        <f t="array" ref="EB28">_xlfn.IFNA(INDEX($EA$6:$EA$66,MATCH(0,COUNTIF($EB$4:EB27,$EA$6:$EA$66),0),1),"")</f>
        <v/>
      </c>
      <c r="EC28" s="277" t="str">
        <f>IF(AND('1.4 Analyse &amp; Synthese'!AI29=1,'1.4 Analyse &amp; Synthese'!F29="Werkzeug"),'1.4 Analyse &amp; Synthese'!I29&amp;CHAR(13)&amp;"("&amp;'(Codierung)'!$C$4&amp;" - "&amp;'1.4 Analyse &amp; Synthese'!C29&amp;")","")</f>
        <v/>
      </c>
      <c r="ED28" s="277" t="str">
        <f t="array" ref="ED28">_xlfn.IFNA(INDEX($EC$6:$EC$66,MATCH(0,COUNTIF($ED$4:ED27,$EC$6:$EC$66),0),1),"")</f>
        <v/>
      </c>
      <c r="EF28" s="277" t="str">
        <f>IF(AND('1.4 Analyse &amp; Synthese'!AJ29=1,'1.4 Analyse &amp; Synthese'!F29="Empfehlung"),'1.4 Analyse &amp; Synthese'!I29&amp;CHAR(13)&amp;"("&amp;'(Codierung)'!$C$2&amp;" - "&amp;'1.4 Analyse &amp; Synthese'!C29&amp;")","")</f>
        <v/>
      </c>
      <c r="EG28" s="277" t="str">
        <f t="array" ref="EG28">_xlfn.IFNA(INDEX($EF$6:$EF$66,MATCH(0,COUNTIF($EG$4:EG27,$EF$6:$EF$66),0),1),"")</f>
        <v/>
      </c>
      <c r="EH28" s="277" t="str">
        <f>IF(AND('1.4 Analyse &amp; Synthese'!AJ29=1,'1.4 Analyse &amp; Synthese'!F29="Methode"),'1.4 Analyse &amp; Synthese'!I29&amp;CHAR(13)&amp;"("&amp;'(Codierung)'!$C$3&amp;" - "&amp;'1.4 Analyse &amp; Synthese'!C29&amp;")","")</f>
        <v/>
      </c>
      <c r="EI28" s="277" t="str">
        <f t="array" ref="EI28">_xlfn.IFNA(INDEX($EH$6:$EH$66,MATCH(0,COUNTIF($EI$4:EI27,$EH$6:$EH$66),0),1),"")</f>
        <v/>
      </c>
      <c r="EJ28" s="277" t="str">
        <f>IF(AND('1.4 Analyse &amp; Synthese'!AJ29=1,'1.4 Analyse &amp; Synthese'!F29="Werkzeug"),'1.4 Analyse &amp; Synthese'!I29&amp;CHAR(13)&amp;"("&amp;'(Codierung)'!$C$4&amp;" - "&amp;'1.4 Analyse &amp; Synthese'!C29&amp;")","")</f>
        <v/>
      </c>
      <c r="EK28" s="277" t="str">
        <f t="array" ref="EK28">_xlfn.IFNA(INDEX($EJ$6:$EJ$66,MATCH(0,COUNTIF($EK$4:EK27,$EJ$6:$EJ$66),0),1),"")</f>
        <v/>
      </c>
      <c r="EN28" s="222" t="str">
        <f t="shared" si="0"/>
        <v/>
      </c>
      <c r="EO28" s="277" t="str">
        <f t="shared" si="1"/>
        <v/>
      </c>
      <c r="EP28" s="277" t="str">
        <f t="shared" si="2"/>
        <v/>
      </c>
      <c r="EQ28" s="277" t="str">
        <f>ZahlenInBereich(Tabelle1[[Empfehlung]:[Werkzeug]],ROW()-5)</f>
        <v/>
      </c>
      <c r="ER28" s="277" t="str">
        <f t="shared" si="3"/>
        <v/>
      </c>
      <c r="ES28" s="277" t="str">
        <f t="shared" si="4"/>
        <v/>
      </c>
      <c r="ET28" s="277" t="str">
        <f t="shared" si="5"/>
        <v/>
      </c>
      <c r="EU28" s="277" t="str">
        <f>ZahlenInBereich(Tabelle1[[Empfehlung2]:[Werkzeug4]],ROW()-5)</f>
        <v/>
      </c>
      <c r="EV28" s="277" t="str">
        <f t="shared" si="6"/>
        <v/>
      </c>
      <c r="EW28" s="277" t="str">
        <f t="shared" si="7"/>
        <v/>
      </c>
      <c r="EX28" s="277" t="str">
        <f t="shared" si="8"/>
        <v/>
      </c>
      <c r="EY28" s="277" t="str">
        <f>ZahlenInBereich(Tabelle1[[Empfehlung6]:[Werkzeug8]],ROW()-5)</f>
        <v/>
      </c>
      <c r="EZ28" s="277" t="str">
        <f t="shared" si="9"/>
        <v/>
      </c>
      <c r="FA28" s="277" t="str">
        <f t="shared" si="10"/>
        <v/>
      </c>
      <c r="FB28" s="277" t="str">
        <f t="shared" si="11"/>
        <v/>
      </c>
      <c r="FC28" s="277" t="str">
        <f>ZahlenInBereich(Tabelle1[[Empfehlung10]:[Werkzeug12]],ROW()-5)</f>
        <v/>
      </c>
      <c r="FD28" s="277" t="str">
        <f t="shared" si="12"/>
        <v/>
      </c>
      <c r="FE28" s="277" t="str">
        <f t="shared" si="13"/>
        <v/>
      </c>
      <c r="FF28" s="277" t="str">
        <f t="shared" si="14"/>
        <v/>
      </c>
      <c r="FG28" s="277" t="str">
        <f>ZahlenInBereich(Tabelle1[[Empfehlung14]:[Werkzeug16]],ROW()-5)</f>
        <v/>
      </c>
      <c r="FH28" s="277" t="str">
        <f t="shared" si="15"/>
        <v/>
      </c>
      <c r="FI28" s="277" t="str">
        <f t="shared" si="16"/>
        <v/>
      </c>
      <c r="FJ28" s="277" t="str">
        <f t="shared" si="17"/>
        <v/>
      </c>
      <c r="FK28" s="277" t="str">
        <f>ZahlenInBereich(Tabelle1[[Empfehlung18]:[Werkzeug20]],ROW()-5)</f>
        <v/>
      </c>
      <c r="FL28" s="277" t="str">
        <f t="shared" si="18"/>
        <v/>
      </c>
      <c r="FM28" s="277" t="str">
        <f t="shared" si="19"/>
        <v/>
      </c>
      <c r="FN28" s="277" t="str">
        <f t="shared" si="20"/>
        <v/>
      </c>
      <c r="FO28" s="277" t="str">
        <f>ZahlenInBereich(Tabelle1[[Empfehlung22]:[Werkzeug24]],ROW()-5)</f>
        <v/>
      </c>
      <c r="FP28" s="277" t="str">
        <f t="shared" si="21"/>
        <v/>
      </c>
      <c r="FQ28" s="277" t="str">
        <f t="shared" si="22"/>
        <v/>
      </c>
      <c r="FR28" s="277" t="str">
        <f t="shared" si="23"/>
        <v/>
      </c>
      <c r="FS28" s="277" t="str">
        <f>ZahlenInBereich(Tabelle1[[Empfehlung26]:[Werkzeug28]],ROW()-5)</f>
        <v/>
      </c>
      <c r="FT28" s="277" t="str">
        <f t="shared" si="24"/>
        <v/>
      </c>
      <c r="FU28" s="277" t="str">
        <f t="shared" si="25"/>
        <v/>
      </c>
      <c r="FV28" s="277" t="str">
        <f t="shared" si="26"/>
        <v/>
      </c>
      <c r="FW28" s="277" t="str">
        <f>ZahlenInBereich(Tabelle1[[Empfehlung30]:[Werkzeug32]],ROW()-5)</f>
        <v/>
      </c>
      <c r="FX28" s="277" t="str">
        <f t="shared" si="27"/>
        <v/>
      </c>
      <c r="FY28" s="277" t="str">
        <f t="shared" si="28"/>
        <v/>
      </c>
      <c r="FZ28" s="277" t="str">
        <f t="shared" si="29"/>
        <v/>
      </c>
      <c r="GA28" s="277" t="str">
        <f>ZahlenInBereich(Tabelle1[[Empfehlung34]:[Werkzeug36]],ROW()-5)</f>
        <v/>
      </c>
      <c r="GB28" s="277" t="str">
        <f t="shared" si="30"/>
        <v/>
      </c>
      <c r="GC28" s="277" t="str">
        <f t="shared" si="31"/>
        <v/>
      </c>
      <c r="GD28" s="277" t="str">
        <f t="shared" si="32"/>
        <v/>
      </c>
      <c r="GE28" s="277" t="str">
        <f>ZahlenInBereich(Tabelle1[[Empfehlung38]:[Werkzeug40]],ROW()-5)</f>
        <v/>
      </c>
      <c r="GF28" s="277" t="str">
        <f t="shared" si="33"/>
        <v/>
      </c>
      <c r="GG28" s="277" t="str">
        <f t="shared" si="34"/>
        <v/>
      </c>
      <c r="GH28" s="277" t="str">
        <f t="shared" si="35"/>
        <v/>
      </c>
      <c r="GI28" s="277" t="str">
        <f>ZahlenInBereich(Tabelle1[[Empfehlung42]:[Werkzeug44]],ROW()-5)</f>
        <v/>
      </c>
      <c r="GJ28" s="277" t="str">
        <f t="shared" si="36"/>
        <v/>
      </c>
      <c r="GK28" s="277" t="str">
        <f t="shared" si="37"/>
        <v/>
      </c>
      <c r="GL28" s="277" t="str">
        <f t="shared" si="38"/>
        <v/>
      </c>
      <c r="GM28" s="277" t="str">
        <f>ZahlenInBereich(Tabelle1[[Empfehlung46]:[Werkzeug48]],ROW()-5)</f>
        <v/>
      </c>
      <c r="GN28" s="277" t="str">
        <f t="shared" si="39"/>
        <v/>
      </c>
      <c r="GO28" s="277" t="str">
        <f t="shared" si="40"/>
        <v/>
      </c>
      <c r="GP28" s="277" t="str">
        <f t="shared" si="41"/>
        <v/>
      </c>
      <c r="GQ28" s="277" t="str">
        <f>ZahlenInBereich(Tabelle1[[Empfehlung50]:[Werkzeug52]],ROW()-5)</f>
        <v/>
      </c>
      <c r="GR28" s="277" t="str">
        <f t="shared" si="42"/>
        <v/>
      </c>
      <c r="GS28" s="277" t="str">
        <f t="shared" si="43"/>
        <v/>
      </c>
      <c r="GT28" s="277" t="str">
        <f t="shared" si="44"/>
        <v/>
      </c>
      <c r="GU28" s="277" t="str">
        <f>ZahlenInBereich(Tabelle1[[Empfehlung54]:[Werkzeug56]],ROW()-5)</f>
        <v/>
      </c>
      <c r="GV28" s="277" t="str">
        <f t="shared" si="45"/>
        <v/>
      </c>
      <c r="GW28" s="277" t="str">
        <f t="shared" si="46"/>
        <v/>
      </c>
      <c r="GX28" s="277" t="str">
        <f t="shared" si="47"/>
        <v/>
      </c>
      <c r="GY28" s="277" t="str">
        <f>ZahlenInBereich(Tabelle1[[Empfehlung58]:[Werkzeug60]],ROW()-5)</f>
        <v/>
      </c>
      <c r="GZ28" s="277" t="str">
        <f t="shared" si="48"/>
        <v/>
      </c>
      <c r="HA28" s="277" t="str">
        <f t="shared" si="49"/>
        <v/>
      </c>
      <c r="HB28" s="277" t="str">
        <f t="shared" si="50"/>
        <v/>
      </c>
      <c r="HC28" s="277" t="str">
        <f>ZahlenInBereich(Tabelle1[[Empfehlung62]:[Werkzeug64]],ROW()-5)</f>
        <v/>
      </c>
      <c r="HD28" s="277" t="str">
        <f t="shared" si="51"/>
        <v/>
      </c>
      <c r="HE28" s="277" t="str">
        <f t="shared" si="52"/>
        <v/>
      </c>
      <c r="HF28" s="277" t="str">
        <f t="shared" si="53"/>
        <v/>
      </c>
      <c r="HG28" s="277" t="str">
        <f>ZahlenInBereich(Tabelle1[[Empfehlung66]:[Werkzeug68]],ROW()-5)</f>
        <v/>
      </c>
      <c r="HH28" s="277" t="str">
        <f t="shared" si="54"/>
        <v/>
      </c>
      <c r="HI28" s="277" t="str">
        <f t="shared" si="55"/>
        <v/>
      </c>
      <c r="HJ28" s="277" t="str">
        <f t="shared" si="56"/>
        <v/>
      </c>
      <c r="HK28" s="277" t="str">
        <f>ZahlenInBereich(Tabelle1[[Empfehlung70]:[Werkzeug72]],ROW()-5)</f>
        <v/>
      </c>
      <c r="HL28" s="277" t="str">
        <f t="shared" si="57"/>
        <v/>
      </c>
      <c r="HM28" s="277" t="str">
        <f t="shared" si="58"/>
        <v/>
      </c>
      <c r="HN28" s="277" t="str">
        <f t="shared" si="59"/>
        <v/>
      </c>
      <c r="HO28" s="277" t="str">
        <f>ZahlenInBereich(Tabelle1[[Empfehlung74]:[Werkzeug76]],ROW()-5)</f>
        <v/>
      </c>
    </row>
    <row r="29" spans="2:223" ht="32" x14ac:dyDescent="0.2">
      <c r="B29" s="134">
        <f>'1.4 Analyse &amp; Synthese'!B30</f>
        <v>24</v>
      </c>
      <c r="C29" s="277" t="str">
        <f>IF(AND('1.4 Analyse &amp; Synthese'!Q30=1,'1.4 Analyse &amp; Synthese'!F30="Empfehlung"),'1.4 Analyse &amp; Synthese'!I30&amp;CHAR(13)&amp;"("&amp;'(Codierung)'!$C$2&amp;" - "&amp;'1.4 Analyse &amp; Synthese'!C30&amp;")","")</f>
        <v>Open-Source Plattform_x000D_(Empfehlung - Moscato)</v>
      </c>
      <c r="D29" s="222" t="str">
        <f t="array" ref="D29">_xlfn.IFNA(INDEX($C$6:$C$66,MATCH(0,COUNTIF($D$4:D28,$C$6:$C$66),0),1),"")</f>
        <v/>
      </c>
      <c r="E29" s="277" t="str">
        <f>IF(AND('1.4 Analyse &amp; Synthese'!Q30=1,'1.4 Analyse &amp; Synthese'!F30="Methode"),'1.4 Analyse &amp; Synthese'!I30&amp;CHAR(13)&amp;"("&amp;'(Codierung)'!$C$3&amp;" - "&amp;'1.4 Analyse &amp; Synthese'!C30&amp;")","")</f>
        <v/>
      </c>
      <c r="F29" s="277" t="str">
        <f t="array" ref="F29">_xlfn.IFNA(INDEX($E$6:$E$66,MATCH(0,COUNTIF($F$4:F28,$E$6:$E$66),0),1),"")</f>
        <v/>
      </c>
      <c r="G29" s="277" t="str">
        <f>IF(AND('1.4 Analyse &amp; Synthese'!Q30=1,'1.4 Analyse &amp; Synthese'!F30="Werkzeug"),'1.4 Analyse &amp; Synthese'!I30&amp;CHAR(13)&amp;"("&amp;'(Codierung)'!$C$4&amp;" - "&amp;'1.4 Analyse &amp; Synthese'!C30&amp;")","")</f>
        <v/>
      </c>
      <c r="H29" s="277" t="str">
        <f t="array" ref="H29">_xlfn.IFNA(INDEX($G$6:$G$66,MATCH(0,COUNTIF($H$4:H28,$G$6:$G$66),0),1),"")</f>
        <v/>
      </c>
      <c r="J29" s="277" t="str">
        <f>IF(AND('1.4 Analyse &amp; Synthese'!R30=1,'1.4 Analyse &amp; Synthese'!F30="Empfehlung"),'1.4 Analyse &amp; Synthese'!I30&amp;CHAR(13)&amp;"("&amp;'(Codierung)'!$C$2&amp;" - "&amp;'1.4 Analyse &amp; Synthese'!C30&amp;")","")</f>
        <v/>
      </c>
      <c r="K29" s="277" t="str">
        <f t="array" ref="K29">_xlfn.IFNA(INDEX($J$6:$J$66,MATCH(0,COUNTIF($K$4:K28,$J$6:$J$66),0),1),"")</f>
        <v/>
      </c>
      <c r="L29" s="277" t="str">
        <f>IF(AND('1.4 Analyse &amp; Synthese'!R30=1,'1.4 Analyse &amp; Synthese'!F30="Methode"),'1.4 Analyse &amp; Synthese'!I30&amp;CHAR(13)&amp;"("&amp;'(Codierung)'!$C$3&amp;" - "&amp;'1.4 Analyse &amp; Synthese'!C30&amp;")","")</f>
        <v/>
      </c>
      <c r="M29" s="277" t="str">
        <f t="array" ref="M29">_xlfn.IFNA(INDEX($L$6:$L$66,MATCH(0,COUNTIF($M$4:M28,$L$6:$L$66),0),1),"")</f>
        <v/>
      </c>
      <c r="N29" s="277" t="str">
        <f>IF(AND('1.4 Analyse &amp; Synthese'!R30=1,'1.4 Analyse &amp; Synthese'!F30="Werkzeug"),'1.4 Analyse &amp; Synthese'!I30&amp;CHAR(13)&amp;"("&amp;'(Codierung)'!$C$4&amp;" - "&amp;'1.4 Analyse &amp; Synthese'!C30&amp;")","")</f>
        <v/>
      </c>
      <c r="O29" s="277" t="str">
        <f t="array" ref="O29">_xlfn.IFNA(INDEX($N$6:$N$66,MATCH(0,COUNTIF($O$4:O28,$N$6:$N$66),0),1),"")</f>
        <v/>
      </c>
      <c r="Q29" s="277" t="str">
        <f>IF(AND('1.4 Analyse &amp; Synthese'!S30=1,'1.4 Analyse &amp; Synthese'!F30="Empfehlung"),'1.4 Analyse &amp; Synthese'!I30&amp;CHAR(13)&amp;"("&amp;'(Codierung)'!$C$2&amp;" - "&amp;'1.4 Analyse &amp; Synthese'!C30&amp;")","")</f>
        <v>Open-Source Plattform_x000D_(Empfehlung - Moscato)</v>
      </c>
      <c r="R29" s="277" t="str">
        <f t="array" ref="R29">_xlfn.IFNA(INDEX($Q$6:$Q$66,MATCH(0,COUNTIF($R$4:R28,$Q$6:$Q$66),0),1),"")</f>
        <v/>
      </c>
      <c r="S29" s="277" t="str">
        <f>IF(AND('1.4 Analyse &amp; Synthese'!S30=1,'1.4 Analyse &amp; Synthese'!F30="Methode"),'1.4 Analyse &amp; Synthese'!I30&amp;CHAR(13)&amp;"("&amp;'(Codierung)'!$C$3&amp;" - "&amp;'1.4 Analyse &amp; Synthese'!C30&amp;")","")</f>
        <v/>
      </c>
      <c r="T29" s="277" t="str">
        <f t="array" ref="T29">_xlfn.IFNA(INDEX($S$6:$S$66,MATCH(0,COUNTIF($T$4:T28,$S$6:$S$66),0),1),"")</f>
        <v/>
      </c>
      <c r="U29" s="277" t="str">
        <f>IF(AND('1.4 Analyse &amp; Synthese'!S30=1,'1.4 Analyse &amp; Synthese'!F30="Werkzeug"),'1.4 Analyse &amp; Synthese'!I30&amp;CHAR(13)&amp;"("&amp;'(Codierung)'!$C$4&amp;" - "&amp;'1.4 Analyse &amp; Synthese'!C30&amp;")","")</f>
        <v/>
      </c>
      <c r="V29" s="277" t="str">
        <f t="array" ref="V29">_xlfn.IFNA(INDEX($U$6:$U$66,MATCH(0,COUNTIF($V$4:V28,$U$6:$U$66),0),1),"")</f>
        <v/>
      </c>
      <c r="X29" s="277" t="str">
        <f>IF(AND('1.4 Analyse &amp; Synthese'!T30=1,'1.4 Analyse &amp; Synthese'!F30="Empfehlung"),'1.4 Analyse &amp; Synthese'!I30&amp;CHAR(13)&amp;"("&amp;'(Codierung)'!$C$2&amp;" - "&amp;'1.4 Analyse &amp; Synthese'!C30&amp;")","")</f>
        <v/>
      </c>
      <c r="Y29" s="277" t="str">
        <f t="array" ref="Y29">_xlfn.IFNA(INDEX($X$6:$X$66,MATCH(0,COUNTIF($Y$4:Y28,$X$6:$X$66),0),1),"")</f>
        <v/>
      </c>
      <c r="Z29" s="277" t="str">
        <f>IF(AND('1.4 Analyse &amp; Synthese'!T30=1,'1.4 Analyse &amp; Synthese'!F30="Methode"),'1.4 Analyse &amp; Synthese'!I30&amp;CHAR(13)&amp;"("&amp;'(Codierung)'!$C$3&amp;" - "&amp;'1.4 Analyse &amp; Synthese'!C30&amp;")","")</f>
        <v/>
      </c>
      <c r="AA29" s="277" t="str">
        <f t="array" ref="AA29">_xlfn.IFNA(INDEX($Z$6:$Z$66,MATCH(0,COUNTIF($AA$4:AA28,$Z$6:$Z$66),0),1),"")</f>
        <v/>
      </c>
      <c r="AB29" s="277" t="str">
        <f>IF(AND('1.4 Analyse &amp; Synthese'!T30=1,'1.4 Analyse &amp; Synthese'!F30="Werkzeug"),'1.4 Analyse &amp; Synthese'!I30&amp;CHAR(13)&amp;"("&amp;'(Codierung)'!$C$4&amp;" - "&amp;'1.4 Analyse &amp; Synthese'!C30&amp;")","")</f>
        <v/>
      </c>
      <c r="AC29" s="277" t="str">
        <f t="array" ref="AC29">_xlfn.IFNA(INDEX($AB$6:$AB$66,MATCH(0,COUNTIF($AC$4:AC28,$AB$6:$AB$66),0),1),"")</f>
        <v/>
      </c>
      <c r="AE29" s="277" t="str">
        <f>IF(AND('1.4 Analyse &amp; Synthese'!U30=1,'1.4 Analyse &amp; Synthese'!F30="Empfehlung"),'1.4 Analyse &amp; Synthese'!I30&amp;CHAR(13)&amp;"("&amp;'(Codierung)'!$C$2&amp;" - "&amp;'1.4 Analyse &amp; Synthese'!C30&amp;")","")</f>
        <v/>
      </c>
      <c r="AF29" s="277" t="str">
        <f t="array" ref="AF29">_xlfn.IFNA(INDEX($AE$6:$AE$66,MATCH(0,COUNTIF($AF$4:AF28,$AE$6:$AE$66),0),1),"")</f>
        <v/>
      </c>
      <c r="AG29" s="277" t="str">
        <f>IF(AND('1.4 Analyse &amp; Synthese'!U30=1,'1.4 Analyse &amp; Synthese'!F30="Methode"),'1.4 Analyse &amp; Synthese'!I30&amp;CHAR(13)&amp;"("&amp;'(Codierung)'!$C$3&amp;" - "&amp;'1.4 Analyse &amp; Synthese'!C30&amp;")","")</f>
        <v/>
      </c>
      <c r="AH29" s="277" t="str">
        <f t="array" ref="AH29">_xlfn.IFNA(INDEX($AG$6:$AG$66,MATCH(0,COUNTIF($AH$4:AH28,$AG$6:$AG$66),0),1),"")</f>
        <v/>
      </c>
      <c r="AI29" s="277" t="str">
        <f>IF(AND('1.4 Analyse &amp; Synthese'!U30=1,'1.4 Analyse &amp; Synthese'!F30="Werkzeug"),'1.4 Analyse &amp; Synthese'!I30&amp;CHAR(13)&amp;"("&amp;'(Codierung)'!$C$4&amp;" - "&amp;'1.4 Analyse &amp; Synthese'!C30&amp;")","")</f>
        <v/>
      </c>
      <c r="AJ29" s="277" t="str">
        <f t="array" ref="AJ29">_xlfn.IFNA(INDEX($AI$6:$AI$66,MATCH(0,COUNTIF($AJ$4:AJ28,$AI$6:$AI$66),0),1),"")</f>
        <v/>
      </c>
      <c r="AL29" s="277" t="str">
        <f>IF(AND('1.4 Analyse &amp; Synthese'!V30=1,'1.4 Analyse &amp; Synthese'!F30="Empfehlung"),'1.4 Analyse &amp; Synthese'!I30&amp;CHAR(13)&amp;"("&amp;'(Codierung)'!$C$2&amp;" - "&amp;'1.4 Analyse &amp; Synthese'!C30&amp;")","")</f>
        <v>Open-Source Plattform_x000D_(Empfehlung - Moscato)</v>
      </c>
      <c r="AM29" s="277" t="str">
        <f t="array" ref="AM29">_xlfn.IFNA(INDEX($AL$6:$AL$66,MATCH(0,COUNTIF($AM$4:AM28,$AL$6:$AL$66),0),1),"")</f>
        <v/>
      </c>
      <c r="AN29" s="277" t="str">
        <f>IF(AND('1.4 Analyse &amp; Synthese'!V30=1,'1.4 Analyse &amp; Synthese'!F30="Methode"),'1.4 Analyse &amp; Synthese'!I30&amp;CHAR(13)&amp;"("&amp;'(Codierung)'!$C$3&amp;" - "&amp;'1.4 Analyse &amp; Synthese'!C30&amp;")","")</f>
        <v/>
      </c>
      <c r="AO29" s="277" t="str">
        <f t="array" ref="AO29">_xlfn.IFNA(INDEX($AN$6:$AN$66,MATCH(0,COUNTIF($AO$4:AO28,$AN$6:$AN$66),0),1),"")</f>
        <v/>
      </c>
      <c r="AP29" s="277" t="str">
        <f>IF(AND('1.4 Analyse &amp; Synthese'!V30=1,'1.4 Analyse &amp; Synthese'!F30="Werkzeug"),'1.4 Analyse &amp; Synthese'!I30&amp;CHAR(13)&amp;"("&amp;'(Codierung)'!$C$4&amp;" - "&amp;'1.4 Analyse &amp; Synthese'!C30&amp;")","")</f>
        <v/>
      </c>
      <c r="AQ29" s="277" t="str">
        <f t="array" ref="AQ29">_xlfn.IFNA(INDEX($AP$6:$AP$66,MATCH(0,COUNTIF($AQ$4:AQ28,$AP$6:$AP$66),0),1),"")</f>
        <v/>
      </c>
      <c r="AS29" s="277" t="str">
        <f>IF(AND('1.4 Analyse &amp; Synthese'!W30=1,'1.4 Analyse &amp; Synthese'!F30="Empfehlung"),'1.4 Analyse &amp; Synthese'!I30&amp;CHAR(13)&amp;"("&amp;'(Codierung)'!$C$2&amp;" - "&amp;'1.4 Analyse &amp; Synthese'!C30&amp;")","")</f>
        <v/>
      </c>
      <c r="AT29" s="277" t="str">
        <f t="array" ref="AT29">_xlfn.IFNA(INDEX($AS$6:$AS$66,MATCH(0,COUNTIF($AT$4:AT28,$AS$6:$AS$66),0),1),"")</f>
        <v/>
      </c>
      <c r="AU29" s="277" t="str">
        <f>IF(AND('1.4 Analyse &amp; Synthese'!W30=1,'1.4 Analyse &amp; Synthese'!F30="Methode"),'1.4 Analyse &amp; Synthese'!I30&amp;CHAR(13)&amp;"("&amp;'(Codierung)'!$C$3&amp;" - "&amp;'1.4 Analyse &amp; Synthese'!C30&amp;")","")</f>
        <v/>
      </c>
      <c r="AV29" s="277" t="str">
        <f t="array" ref="AV29">_xlfn.IFNA(INDEX($AU$6:$AU$66,MATCH(0,COUNTIF($AV$4:AV28,$AU$6:$AU$66),0),1),"")</f>
        <v/>
      </c>
      <c r="AW29" s="277" t="str">
        <f>IF(AND('1.4 Analyse &amp; Synthese'!W30=1,'1.4 Analyse &amp; Synthese'!F30="Werkzeug"),'1.4 Analyse &amp; Synthese'!I30&amp;CHAR(13)&amp;"("&amp;'(Codierung)'!$C$4&amp;" - "&amp;'1.4 Analyse &amp; Synthese'!C30&amp;")","")</f>
        <v/>
      </c>
      <c r="AX29" s="277" t="str">
        <f t="array" ref="AX29">_xlfn.IFNA(INDEX($AW$6:$AW$66,MATCH(0,COUNTIF($AX$4:AX28,$AW$6:$AW$66),0),1),"")</f>
        <v/>
      </c>
      <c r="AZ29" s="277" t="str">
        <f>IF(AND('1.4 Analyse &amp; Synthese'!X30=1,'1.4 Analyse &amp; Synthese'!F30="Empfehlung"),'1.4 Analyse &amp; Synthese'!I30&amp;CHAR(13)&amp;"("&amp;'(Codierung)'!$C$2&amp;" - "&amp;'1.4 Analyse &amp; Synthese'!C30&amp;")","")</f>
        <v/>
      </c>
      <c r="BA29" s="277" t="str">
        <f t="array" ref="BA29">_xlfn.IFNA(INDEX($AZ$6:$AZ$66,MATCH(0,COUNTIF($BA$4:BA28,$AZ$6:$AZ$66),0),1),"")</f>
        <v/>
      </c>
      <c r="BB29" s="277" t="str">
        <f>IF(AND('1.4 Analyse &amp; Synthese'!X30=1,'1.4 Analyse &amp; Synthese'!F30="Methode"),'1.4 Analyse &amp; Synthese'!I30&amp;CHAR(13)&amp;"("&amp;'(Codierung)'!$C$3&amp;" - "&amp;'1.4 Analyse &amp; Synthese'!C30&amp;")","")</f>
        <v/>
      </c>
      <c r="BC29" s="277" t="str">
        <f t="array" ref="BC29">_xlfn.IFNA(INDEX($BB$6:$BB$66,MATCH(0,COUNTIF($BC$4:BC28,$BB$6:$BB$66),0),1),"")</f>
        <v/>
      </c>
      <c r="BD29" s="277" t="str">
        <f>IF(AND('1.4 Analyse &amp; Synthese'!X30=1,'1.4 Analyse &amp; Synthese'!F30="Werkzeug"),'1.4 Analyse &amp; Synthese'!I30&amp;CHAR(13)&amp;"("&amp;'(Codierung)'!$C$4&amp;" - "&amp;'1.4 Analyse &amp; Synthese'!C30&amp;")","")</f>
        <v/>
      </c>
      <c r="BE29" s="277" t="str">
        <f t="array" ref="BE29">_xlfn.IFNA(INDEX($BD$6:$BD$66,MATCH(0,COUNTIF($BE$4:BE28,$BD$6:$BD$66),0),1),"")</f>
        <v/>
      </c>
      <c r="BG29" s="277" t="str">
        <f>IF(AND('1.4 Analyse &amp; Synthese'!Y30=1,'1.4 Analyse &amp; Synthese'!F30="Empfehlung"),'1.4 Analyse &amp; Synthese'!I30&amp;CHAR(13)&amp;"("&amp;'(Codierung)'!$C$2&amp;" - "&amp;'1.4 Analyse &amp; Synthese'!C30&amp;")","")</f>
        <v/>
      </c>
      <c r="BH29" s="277" t="str">
        <f t="array" ref="BH29">_xlfn.IFNA(INDEX($BG$6:$BG$66,MATCH(0,COUNTIF($BH$4:BH28,$BG$6:$BG$66),0),1),"")</f>
        <v/>
      </c>
      <c r="BI29" s="277" t="str">
        <f>IF(AND('1.4 Analyse &amp; Synthese'!Y30=1,'1.4 Analyse &amp; Synthese'!F30="Methode"),'1.4 Analyse &amp; Synthese'!I30&amp;CHAR(13)&amp;"("&amp;'(Codierung)'!$C$3&amp;" - "&amp;'1.4 Analyse &amp; Synthese'!C30&amp;")","")</f>
        <v/>
      </c>
      <c r="BJ29" s="277" t="str">
        <f t="array" ref="BJ29">_xlfn.IFNA(INDEX($BI$6:$BI$66,MATCH(0,COUNTIF($BJ$4:BJ28,$BI$6:$BI$66),0),1),"")</f>
        <v/>
      </c>
      <c r="BK29" s="277" t="str">
        <f>IF(AND('1.4 Analyse &amp; Synthese'!Y30=1,'1.4 Analyse &amp; Synthese'!F30="Werkzeug"),'1.4 Analyse &amp; Synthese'!I30&amp;CHAR(13)&amp;"("&amp;'(Codierung)'!$C$4&amp;" - "&amp;'1.4 Analyse &amp; Synthese'!C30&amp;")","")</f>
        <v/>
      </c>
      <c r="BL29" s="277" t="str">
        <f t="array" ref="BL29">_xlfn.IFNA(INDEX($BK$6:$BK$66,MATCH(0,COUNTIF($BL$4:BL28,$BK$6:$BK$66),0),1),"")</f>
        <v/>
      </c>
      <c r="BN29" s="277" t="str">
        <f>IF(AND('1.4 Analyse &amp; Synthese'!Z30=1,'1.4 Analyse &amp; Synthese'!F30="Empfehlung"),'1.4 Analyse &amp; Synthese'!I30&amp;CHAR(13)&amp;"("&amp;'(Codierung)'!$C$2&amp;" - "&amp;'1.4 Analyse &amp; Synthese'!C30&amp;")","")</f>
        <v>Open-Source Plattform_x000D_(Empfehlung - Moscato)</v>
      </c>
      <c r="BO29" s="277" t="str">
        <f t="array" ref="BO29">_xlfn.IFNA(INDEX($BN$6:$BN$66,MATCH(0,COUNTIF($BO$4:BO28,$BN$6:$BN$66),0),1),"")</f>
        <v/>
      </c>
      <c r="BP29" s="277" t="str">
        <f>IF(AND('1.4 Analyse &amp; Synthese'!Z30=1,'1.4 Analyse &amp; Synthese'!F30="Methode"),'1.4 Analyse &amp; Synthese'!I30&amp;CHAR(13)&amp;"("&amp;'(Codierung)'!$C$3&amp;" - "&amp;'1.4 Analyse &amp; Synthese'!C30&amp;")","")</f>
        <v/>
      </c>
      <c r="BQ29" s="277" t="str">
        <f t="array" ref="BQ29">_xlfn.IFNA(INDEX($BP$6:$BP$66,MATCH(0,COUNTIF($BQ$4:BQ28,$BP$6:$BP$66),0),1),"")</f>
        <v/>
      </c>
      <c r="BR29" s="277" t="str">
        <f>IF(AND('1.4 Analyse &amp; Synthese'!Z30=1,'1.4 Analyse &amp; Synthese'!F30="Werkzeug"),'1.4 Analyse &amp; Synthese'!I30&amp;CHAR(13)&amp;"("&amp;'(Codierung)'!$C$4&amp;" - "&amp;'1.4 Analyse &amp; Synthese'!C30&amp;")","")</f>
        <v/>
      </c>
      <c r="BS29" s="277" t="str">
        <f t="array" ref="BS29">_xlfn.IFNA(INDEX($BR$6:$BR$66,MATCH(0,COUNTIF($BS$4:BS28,$BR$6:$BR$66),0),1),"")</f>
        <v/>
      </c>
      <c r="BU29" s="277" t="str">
        <f>IF(AND('1.4 Analyse &amp; Synthese'!AA30=1,'1.4 Analyse &amp; Synthese'!F30="Empfehlung"),'1.4 Analyse &amp; Synthese'!I30&amp;CHAR(13)&amp;"("&amp;'(Codierung)'!$C$2&amp;" - "&amp;'1.4 Analyse &amp; Synthese'!C30&amp;")","")</f>
        <v/>
      </c>
      <c r="BV29" s="277" t="str">
        <f t="array" ref="BV29">_xlfn.IFNA(INDEX($BU$6:$BU$66,MATCH(0,COUNTIF($BV$4:BV28,$BU$6:$BU$66),0),1),"")</f>
        <v/>
      </c>
      <c r="BW29" s="277" t="str">
        <f>IF(AND('1.4 Analyse &amp; Synthese'!AA30=1,'1.4 Analyse &amp; Synthese'!F30="Methode"),'1.4 Analyse &amp; Synthese'!I30&amp;CHAR(13)&amp;"("&amp;'(Codierung)'!$C$3&amp;" - "&amp;'1.4 Analyse &amp; Synthese'!C30&amp;")","")</f>
        <v/>
      </c>
      <c r="BX29" s="277" t="str">
        <f t="array" ref="BX29">_xlfn.IFNA(INDEX($BW$6:$BW$66,MATCH(0,COUNTIF($BX$4:BX28,$BW$6:$BW$66),0),1),"")</f>
        <v/>
      </c>
      <c r="BY29" s="277" t="str">
        <f>IF(AND('1.4 Analyse &amp; Synthese'!AA30=1,'1.4 Analyse &amp; Synthese'!F30="Werkzeug"),'1.4 Analyse &amp; Synthese'!I30&amp;CHAR(13)&amp;"("&amp;'(Codierung)'!$C$4&amp;" - "&amp;'1.4 Analyse &amp; Synthese'!C30&amp;")","")</f>
        <v/>
      </c>
      <c r="BZ29" s="277" t="str">
        <f t="array" ref="BZ29">_xlfn.IFNA(INDEX($BY$6:$BY$66,MATCH(0,COUNTIF($BZ$4:BZ28,$BY$6:$BY$66),0),1),"")</f>
        <v/>
      </c>
      <c r="CB29" s="277" t="str">
        <f>IF(AND('1.4 Analyse &amp; Synthese'!AB30=1,'1.4 Analyse &amp; Synthese'!F30="Empfehlung"),'1.4 Analyse &amp; Synthese'!I30&amp;CHAR(13)&amp;"("&amp;'(Codierung)'!$C$2&amp;" - "&amp;'1.4 Analyse &amp; Synthese'!C30&amp;")","")</f>
        <v/>
      </c>
      <c r="CC29" s="277" t="str">
        <f t="array" ref="CC29">_xlfn.IFNA(INDEX($CB$6:$CB$66,MATCH(0,COUNTIF($CC$4:CC28,$CB$6:$CB$66),0),1),"")</f>
        <v/>
      </c>
      <c r="CD29" s="277" t="str">
        <f>IF(AND('1.4 Analyse &amp; Synthese'!AB30=1,'1.4 Analyse &amp; Synthese'!F30="Methode"),'1.4 Analyse &amp; Synthese'!I30&amp;CHAR(13)&amp;"("&amp;'(Codierung)'!$C$3&amp;" - "&amp;'1.4 Analyse &amp; Synthese'!C30&amp;")","")</f>
        <v/>
      </c>
      <c r="CE29" s="277" t="str">
        <f t="array" ref="CE29">_xlfn.IFNA(INDEX($CD$6:$CD$66,MATCH(0,COUNTIF($CE$4:CE28,$CD$6:$CD$66),0),1),"")</f>
        <v/>
      </c>
      <c r="CF29" s="277" t="str">
        <f>IF(AND('1.4 Analyse &amp; Synthese'!AB30=1,'1.4 Analyse &amp; Synthese'!F30="Werkzeug"),'1.4 Analyse &amp; Synthese'!I30&amp;CHAR(13)&amp;"("&amp;'(Codierung)'!$C$4&amp;" - "&amp;'1.4 Analyse &amp; Synthese'!C30&amp;")","")</f>
        <v/>
      </c>
      <c r="CG29" s="277" t="str">
        <f t="array" ref="CG29">_xlfn.IFNA(INDEX($CF$6:$CF$66,MATCH(0,COUNTIF($CG$4:CG28,$CF$6:$CF$66),0),1),"")</f>
        <v/>
      </c>
      <c r="CI29" s="277" t="str">
        <f>IF(AND('1.4 Analyse &amp; Synthese'!AC30=1,'1.4 Analyse &amp; Synthese'!F30="Empfehlung"),'1.4 Analyse &amp; Synthese'!I30&amp;CHAR(13)&amp;"("&amp;'(Codierung)'!$C$2&amp;" - "&amp;'1.4 Analyse &amp; Synthese'!C30&amp;")","")</f>
        <v/>
      </c>
      <c r="CJ29" s="277" t="str">
        <f t="array" ref="CJ29">_xlfn.IFNA(INDEX($CI$6:$CI$66,MATCH(0,COUNTIF($CJ$4:CJ28,$CI$6:$CI$66),0),1),"")</f>
        <v/>
      </c>
      <c r="CK29" s="277" t="str">
        <f>IF(AND('1.4 Analyse &amp; Synthese'!AC30=1,'1.4 Analyse &amp; Synthese'!F30="Methode"),'1.4 Analyse &amp; Synthese'!I30&amp;CHAR(13)&amp;"("&amp;'(Codierung)'!$C$3&amp;" - "&amp;'1.4 Analyse &amp; Synthese'!C30&amp;")","")</f>
        <v/>
      </c>
      <c r="CL29" s="277" t="str">
        <f t="array" ref="CL29">_xlfn.IFNA(INDEX($CK$6:$CK$66,MATCH(0,COUNTIF($CL$4:CL28,$CK$6:$CK$66),0),1),"")</f>
        <v/>
      </c>
      <c r="CM29" s="277" t="str">
        <f>IF(AND('1.4 Analyse &amp; Synthese'!AC30=1,'1.4 Analyse &amp; Synthese'!F30="Werkzeug"),'1.4 Analyse &amp; Synthese'!I30&amp;CHAR(13)&amp;"("&amp;'(Codierung)'!$C$4&amp;" - "&amp;'1.4 Analyse &amp; Synthese'!C30&amp;")","")</f>
        <v/>
      </c>
      <c r="CN29" s="277" t="str">
        <f t="array" ref="CN29">_xlfn.IFNA(INDEX($CM$6:$CM$66,MATCH(0,COUNTIF($CN$4:CN28,$CM$6:$CM$66),0),1),"")</f>
        <v/>
      </c>
      <c r="CP29" s="277" t="str">
        <f>IF(AND('1.4 Analyse &amp; Synthese'!AD30=1,'1.4 Analyse &amp; Synthese'!F30="Empfehlung"),'1.4 Analyse &amp; Synthese'!I30&amp;CHAR(13)&amp;"("&amp;'(Codierung)'!$C$2&amp;" - "&amp;'1.4 Analyse &amp; Synthese'!C30&amp;")","")</f>
        <v/>
      </c>
      <c r="CQ29" s="277" t="str">
        <f t="array" ref="CQ29">_xlfn.IFNA(INDEX($CP$6:$CP$66,MATCH(0,COUNTIF($CQ$4:CQ28,$CP$6:$CP$66),0),1),"")</f>
        <v/>
      </c>
      <c r="CR29" s="277" t="str">
        <f>IF(AND('1.4 Analyse &amp; Synthese'!AD30=1,'1.4 Analyse &amp; Synthese'!F30="Methode"),'1.4 Analyse &amp; Synthese'!I30&amp;CHAR(13)&amp;"("&amp;'(Codierung)'!$C$3&amp;" - "&amp;'1.4 Analyse &amp; Synthese'!C30&amp;")","")</f>
        <v/>
      </c>
      <c r="CS29" s="277" t="str">
        <f t="array" ref="CS29">_xlfn.IFNA(INDEX($CR$6:$CR$66,MATCH(0,COUNTIF($CS$4:CS28,$CR$6:$CR$66),0),1),"")</f>
        <v/>
      </c>
      <c r="CT29" s="277" t="str">
        <f>IF(AND('1.4 Analyse &amp; Synthese'!AD30=1,'1.4 Analyse &amp; Synthese'!F30="Werkzeug"),'1.4 Analyse &amp; Synthese'!I30&amp;CHAR(13)&amp;"("&amp;'(Codierung)'!$C$4&amp;" - "&amp;'1.4 Analyse &amp; Synthese'!C30&amp;")","")</f>
        <v/>
      </c>
      <c r="CU29" s="277" t="str">
        <f t="array" ref="CU29">_xlfn.IFNA(INDEX($CT$6:$CT$66,MATCH(0,COUNTIF($CU$4:CU28,$CT$6:$CT$66),0),1),"")</f>
        <v/>
      </c>
      <c r="CW29" s="277" t="str">
        <f>IF(AND('1.4 Analyse &amp; Synthese'!AE30=1,'1.4 Analyse &amp; Synthese'!F30="Empfehlung"),'1.4 Analyse &amp; Synthese'!I30&amp;CHAR(13)&amp;"("&amp;'(Codierung)'!$C$2&amp;" - "&amp;'1.4 Analyse &amp; Synthese'!C30&amp;")","")</f>
        <v>Open-Source Plattform_x000D_(Empfehlung - Moscato)</v>
      </c>
      <c r="CX29" s="277" t="str">
        <f t="array" ref="CX29">_xlfn.IFNA(INDEX($CW$6:$CW$66,MATCH(0,COUNTIF($CX$4:CX28,$CW$6:$CW$66),0),1),"")</f>
        <v/>
      </c>
      <c r="CY29" s="277" t="str">
        <f>IF(AND('1.4 Analyse &amp; Synthese'!AE30=1,'1.4 Analyse &amp; Synthese'!F30="Methode"),'1.4 Analyse &amp; Synthese'!I30&amp;CHAR(13)&amp;"("&amp;'(Codierung)'!$C$3&amp;" - "&amp;'1.4 Analyse &amp; Synthese'!C30&amp;")","")</f>
        <v/>
      </c>
      <c r="CZ29" s="277" t="str">
        <f t="array" ref="CZ29">_xlfn.IFNA(INDEX($CY$6:$CY$66,MATCH(0,COUNTIF($CZ$4:CZ28,$CY$6:$CY$66),0),1),"")</f>
        <v/>
      </c>
      <c r="DA29" s="277" t="str">
        <f>IF(AND('1.4 Analyse &amp; Synthese'!AE30=1,'1.4 Analyse &amp; Synthese'!F30="Werkzeug"),'1.4 Analyse &amp; Synthese'!I30&amp;CHAR(13)&amp;"("&amp;'(Codierung)'!$C$4&amp;" - "&amp;'1.4 Analyse &amp; Synthese'!C30&amp;")","")</f>
        <v/>
      </c>
      <c r="DB29" s="277" t="str">
        <f t="array" ref="DB29">_xlfn.IFNA(INDEX($DA$6:$DA$66,MATCH(0,COUNTIF($DB$4:DB28,$DA$6:$DA$66),0),1),"")</f>
        <v/>
      </c>
      <c r="DD29" s="277" t="str">
        <f>IF(AND('1.4 Analyse &amp; Synthese'!AF30=1,'1.4 Analyse &amp; Synthese'!F30="Empfehlung"),'1.4 Analyse &amp; Synthese'!I30&amp;CHAR(13)&amp;"("&amp;'(Codierung)'!$C$2&amp;" - "&amp;'1.4 Analyse &amp; Synthese'!C30&amp;")","")</f>
        <v/>
      </c>
      <c r="DE29" s="277" t="str">
        <f t="array" ref="DE29">_xlfn.IFNA(INDEX($DD$6:$DD$66,MATCH(0,COUNTIF($DE$4:DE28,$DD$6:$DD$66),0),1),"")</f>
        <v/>
      </c>
      <c r="DF29" s="277" t="str">
        <f>IF(AND('1.4 Analyse &amp; Synthese'!AF30=1,'1.4 Analyse &amp; Synthese'!F30="Methode"),'1.4 Analyse &amp; Synthese'!I30&amp;CHAR(13)&amp;"("&amp;'(Codierung)'!$C$3&amp;" - "&amp;'1.4 Analyse &amp; Synthese'!C30&amp;")","")</f>
        <v/>
      </c>
      <c r="DG29" s="277" t="str">
        <f t="array" ref="DG29">_xlfn.IFNA(INDEX($DF$6:$DF$66,MATCH(0,COUNTIF($DG$4:DG28,$DF$6:$DF$66),0),1),"")</f>
        <v/>
      </c>
      <c r="DH29" s="277" t="str">
        <f>IF(AND('1.4 Analyse &amp; Synthese'!AF30=1,'1.4 Analyse &amp; Synthese'!F30="Werkzeug"),'1.4 Analyse &amp; Synthese'!I30&amp;CHAR(13)&amp;"("&amp;'(Codierung)'!$C$4&amp;" - "&amp;'1.4 Analyse &amp; Synthese'!C30&amp;")","")</f>
        <v/>
      </c>
      <c r="DI29" s="277" t="str">
        <f t="array" ref="DI29">_xlfn.IFNA(INDEX($DH$6:$DH$66,MATCH(0,COUNTIF($DI$4:DI28,$DH$6:$DH$66),0),1),"")</f>
        <v/>
      </c>
      <c r="DK29" s="277" t="str">
        <f>IF(AND('1.4 Analyse &amp; Synthese'!AG30=1,'1.4 Analyse &amp; Synthese'!F30="Empfehlung"),'1.4 Analyse &amp; Synthese'!I30&amp;CHAR(13)&amp;"("&amp;'(Codierung)'!$C$2&amp;" - "&amp;'1.4 Analyse &amp; Synthese'!C30&amp;")","")</f>
        <v>Open-Source Plattform_x000D_(Empfehlung - Moscato)</v>
      </c>
      <c r="DL29" s="277" t="str">
        <f t="array" ref="DL29">_xlfn.IFNA(INDEX($DK$6:$DK$66,MATCH(0,COUNTIF($DL$4:DL28,$DK$6:$DK$66),0),1),"")</f>
        <v/>
      </c>
      <c r="DM29" s="277" t="str">
        <f>IF(AND('1.4 Analyse &amp; Synthese'!AG30=1,'1.4 Analyse &amp; Synthese'!F30="Methode"),'1.4 Analyse &amp; Synthese'!I30&amp;CHAR(13)&amp;"("&amp;'(Codierung)'!$C$3&amp;" - "&amp;'1.4 Analyse &amp; Synthese'!C30&amp;")","")</f>
        <v/>
      </c>
      <c r="DN29" s="277" t="str">
        <f t="array" ref="DN29">_xlfn.IFNA(INDEX($DM$6:$DM$66,MATCH(0,COUNTIF($DN$4:DN28,$DM$6:$DM$66),0),1),"")</f>
        <v/>
      </c>
      <c r="DO29" s="277" t="str">
        <f>IF(AND('1.4 Analyse &amp; Synthese'!AG30=1,'1.4 Analyse &amp; Synthese'!F30="Werkzeug"),'1.4 Analyse &amp; Synthese'!I30&amp;CHAR(13)&amp;"("&amp;'(Codierung)'!$C$4&amp;" - "&amp;'1.4 Analyse &amp; Synthese'!C30&amp;")","")</f>
        <v/>
      </c>
      <c r="DP29" s="277" t="str">
        <f t="array" ref="DP29">_xlfn.IFNA(INDEX($DO$6:$DO$66,MATCH(0,COUNTIF($DP$4:DP28,$DO$6:$DO$66),0),1),"")</f>
        <v/>
      </c>
      <c r="DR29" s="277" t="str">
        <f>IF(AND('1.4 Analyse &amp; Synthese'!AH30=1,'1.4 Analyse &amp; Synthese'!F30="Empfehlung"),'1.4 Analyse &amp; Synthese'!I30&amp;CHAR(13)&amp;"("&amp;'(Codierung)'!$C$2&amp;" - "&amp;'1.4 Analyse &amp; Synthese'!C30&amp;")","")</f>
        <v/>
      </c>
      <c r="DS29" s="277" t="str">
        <f t="array" ref="DS29">_xlfn.IFNA(INDEX($DR$6:$DR$66,MATCH(0,COUNTIF($DS$4:DS28,$DR$6:$DR$66),0),1),"")</f>
        <v/>
      </c>
      <c r="DT29" s="277" t="str">
        <f>IF(AND('1.4 Analyse &amp; Synthese'!AH30=1,'1.4 Analyse &amp; Synthese'!F30="Methode"),'1.4 Analyse &amp; Synthese'!I30&amp;CHAR(13)&amp;"("&amp;'(Codierung)'!$C$3&amp;" - "&amp;'1.4 Analyse &amp; Synthese'!C30&amp;")","")</f>
        <v/>
      </c>
      <c r="DU29" s="277" t="str">
        <f t="array" ref="DU29">_xlfn.IFNA(INDEX($DT$6:$DT$66,MATCH(0,COUNTIF($DU$4:DU28,$DT$6:$DT$66),0),1),"")</f>
        <v/>
      </c>
      <c r="DV29" s="277" t="str">
        <f>IF(AND('1.4 Analyse &amp; Synthese'!AH30=1,'1.4 Analyse &amp; Synthese'!F30="Werkzeug"),'1.4 Analyse &amp; Synthese'!I30&amp;CHAR(13)&amp;"("&amp;'(Codierung)'!$C$4&amp;" - "&amp;'1.4 Analyse &amp; Synthese'!C30&amp;")","")</f>
        <v/>
      </c>
      <c r="DW29" s="277" t="str">
        <f t="array" ref="DW29">_xlfn.IFNA(INDEX($DV$6:$DV$66,MATCH(0,COUNTIF($DW$4:DW28,$DV$6:$DV$66),0),1),"")</f>
        <v/>
      </c>
      <c r="DY29" s="277" t="str">
        <f>IF(AND('1.4 Analyse &amp; Synthese'!AI30=1,'1.4 Analyse &amp; Synthese'!F30="Empfehlung"),'1.4 Analyse &amp; Synthese'!I30&amp;CHAR(13)&amp;"("&amp;'(Codierung)'!$C$2&amp;" - "&amp;'1.4 Analyse &amp; Synthese'!C30&amp;")","")</f>
        <v>Open-Source Plattform_x000D_(Empfehlung - Moscato)</v>
      </c>
      <c r="DZ29" s="277" t="str">
        <f t="array" ref="DZ29">_xlfn.IFNA(INDEX($DY$6:$DY$66,MATCH(0,COUNTIF($DZ$4:DZ28,$DY$6:$DY$66),0),1),"")</f>
        <v/>
      </c>
      <c r="EA29" s="277" t="str">
        <f>IF(AND('1.4 Analyse &amp; Synthese'!AI30=1,'1.4 Analyse &amp; Synthese'!F30="Methode"),'1.4 Analyse &amp; Synthese'!I30&amp;CHAR(13)&amp;"("&amp;'(Codierung)'!$C$3&amp;" - "&amp;'1.4 Analyse &amp; Synthese'!C30&amp;")","")</f>
        <v/>
      </c>
      <c r="EB29" s="277" t="str">
        <f t="array" ref="EB29">_xlfn.IFNA(INDEX($EA$6:$EA$66,MATCH(0,COUNTIF($EB$4:EB28,$EA$6:$EA$66),0),1),"")</f>
        <v/>
      </c>
      <c r="EC29" s="277" t="str">
        <f>IF(AND('1.4 Analyse &amp; Synthese'!AI30=1,'1.4 Analyse &amp; Synthese'!F30="Werkzeug"),'1.4 Analyse &amp; Synthese'!I30&amp;CHAR(13)&amp;"("&amp;'(Codierung)'!$C$4&amp;" - "&amp;'1.4 Analyse &amp; Synthese'!C30&amp;")","")</f>
        <v/>
      </c>
      <c r="ED29" s="277" t="str">
        <f t="array" ref="ED29">_xlfn.IFNA(INDEX($EC$6:$EC$66,MATCH(0,COUNTIF($ED$4:ED28,$EC$6:$EC$66),0),1),"")</f>
        <v/>
      </c>
      <c r="EF29" s="277" t="str">
        <f>IF(AND('1.4 Analyse &amp; Synthese'!AJ30=1,'1.4 Analyse &amp; Synthese'!F30="Empfehlung"),'1.4 Analyse &amp; Synthese'!I30&amp;CHAR(13)&amp;"("&amp;'(Codierung)'!$C$2&amp;" - "&amp;'1.4 Analyse &amp; Synthese'!C30&amp;")","")</f>
        <v/>
      </c>
      <c r="EG29" s="277" t="str">
        <f t="array" ref="EG29">_xlfn.IFNA(INDEX($EF$6:$EF$66,MATCH(0,COUNTIF($EG$4:EG28,$EF$6:$EF$66),0),1),"")</f>
        <v/>
      </c>
      <c r="EH29" s="277" t="str">
        <f>IF(AND('1.4 Analyse &amp; Synthese'!AJ30=1,'1.4 Analyse &amp; Synthese'!F30="Methode"),'1.4 Analyse &amp; Synthese'!I30&amp;CHAR(13)&amp;"("&amp;'(Codierung)'!$C$3&amp;" - "&amp;'1.4 Analyse &amp; Synthese'!C30&amp;")","")</f>
        <v/>
      </c>
      <c r="EI29" s="277" t="str">
        <f t="array" ref="EI29">_xlfn.IFNA(INDEX($EH$6:$EH$66,MATCH(0,COUNTIF($EI$4:EI28,$EH$6:$EH$66),0),1),"")</f>
        <v/>
      </c>
      <c r="EJ29" s="277" t="str">
        <f>IF(AND('1.4 Analyse &amp; Synthese'!AJ30=1,'1.4 Analyse &amp; Synthese'!F30="Werkzeug"),'1.4 Analyse &amp; Synthese'!I30&amp;CHAR(13)&amp;"("&amp;'(Codierung)'!$C$4&amp;" - "&amp;'1.4 Analyse &amp; Synthese'!C30&amp;")","")</f>
        <v/>
      </c>
      <c r="EK29" s="277" t="str">
        <f t="array" ref="EK29">_xlfn.IFNA(INDEX($EJ$6:$EJ$66,MATCH(0,COUNTIF($EK$4:EK28,$EJ$6:$EJ$66),0),1),"")</f>
        <v/>
      </c>
      <c r="EN29" s="222" t="str">
        <f t="shared" si="0"/>
        <v/>
      </c>
      <c r="EO29" s="277" t="str">
        <f t="shared" si="1"/>
        <v/>
      </c>
      <c r="EP29" s="277" t="str">
        <f t="shared" si="2"/>
        <v/>
      </c>
      <c r="EQ29" s="277" t="str">
        <f>ZahlenInBereich(Tabelle1[[Empfehlung]:[Werkzeug]],ROW()-5)</f>
        <v/>
      </c>
      <c r="ER29" s="277" t="str">
        <f t="shared" si="3"/>
        <v/>
      </c>
      <c r="ES29" s="277" t="str">
        <f t="shared" si="4"/>
        <v/>
      </c>
      <c r="ET29" s="277" t="str">
        <f t="shared" si="5"/>
        <v/>
      </c>
      <c r="EU29" s="277" t="str">
        <f>ZahlenInBereich(Tabelle1[[Empfehlung2]:[Werkzeug4]],ROW()-5)</f>
        <v/>
      </c>
      <c r="EV29" s="277" t="str">
        <f t="shared" si="6"/>
        <v/>
      </c>
      <c r="EW29" s="277" t="str">
        <f t="shared" si="7"/>
        <v/>
      </c>
      <c r="EX29" s="277" t="str">
        <f t="shared" si="8"/>
        <v/>
      </c>
      <c r="EY29" s="277" t="str">
        <f>ZahlenInBereich(Tabelle1[[Empfehlung6]:[Werkzeug8]],ROW()-5)</f>
        <v/>
      </c>
      <c r="EZ29" s="277" t="str">
        <f t="shared" si="9"/>
        <v/>
      </c>
      <c r="FA29" s="277" t="str">
        <f t="shared" si="10"/>
        <v/>
      </c>
      <c r="FB29" s="277" t="str">
        <f t="shared" si="11"/>
        <v/>
      </c>
      <c r="FC29" s="277" t="str">
        <f>ZahlenInBereich(Tabelle1[[Empfehlung10]:[Werkzeug12]],ROW()-5)</f>
        <v/>
      </c>
      <c r="FD29" s="277" t="str">
        <f t="shared" si="12"/>
        <v/>
      </c>
      <c r="FE29" s="277" t="str">
        <f t="shared" si="13"/>
        <v/>
      </c>
      <c r="FF29" s="277" t="str">
        <f t="shared" si="14"/>
        <v/>
      </c>
      <c r="FG29" s="277" t="str">
        <f>ZahlenInBereich(Tabelle1[[Empfehlung14]:[Werkzeug16]],ROW()-5)</f>
        <v/>
      </c>
      <c r="FH29" s="277" t="str">
        <f t="shared" si="15"/>
        <v/>
      </c>
      <c r="FI29" s="277" t="str">
        <f t="shared" si="16"/>
        <v/>
      </c>
      <c r="FJ29" s="277" t="str">
        <f t="shared" si="17"/>
        <v/>
      </c>
      <c r="FK29" s="277" t="str">
        <f>ZahlenInBereich(Tabelle1[[Empfehlung18]:[Werkzeug20]],ROW()-5)</f>
        <v/>
      </c>
      <c r="FL29" s="277" t="str">
        <f t="shared" si="18"/>
        <v/>
      </c>
      <c r="FM29" s="277" t="str">
        <f t="shared" si="19"/>
        <v/>
      </c>
      <c r="FN29" s="277" t="str">
        <f t="shared" si="20"/>
        <v/>
      </c>
      <c r="FO29" s="277" t="str">
        <f>ZahlenInBereich(Tabelle1[[Empfehlung22]:[Werkzeug24]],ROW()-5)</f>
        <v/>
      </c>
      <c r="FP29" s="277" t="str">
        <f t="shared" si="21"/>
        <v/>
      </c>
      <c r="FQ29" s="277" t="str">
        <f t="shared" si="22"/>
        <v/>
      </c>
      <c r="FR29" s="277" t="str">
        <f t="shared" si="23"/>
        <v/>
      </c>
      <c r="FS29" s="277" t="str">
        <f>ZahlenInBereich(Tabelle1[[Empfehlung26]:[Werkzeug28]],ROW()-5)</f>
        <v/>
      </c>
      <c r="FT29" s="277" t="str">
        <f t="shared" si="24"/>
        <v/>
      </c>
      <c r="FU29" s="277" t="str">
        <f t="shared" si="25"/>
        <v/>
      </c>
      <c r="FV29" s="277" t="str">
        <f t="shared" si="26"/>
        <v/>
      </c>
      <c r="FW29" s="277" t="str">
        <f>ZahlenInBereich(Tabelle1[[Empfehlung30]:[Werkzeug32]],ROW()-5)</f>
        <v/>
      </c>
      <c r="FX29" s="277" t="str">
        <f t="shared" si="27"/>
        <v/>
      </c>
      <c r="FY29" s="277" t="str">
        <f t="shared" si="28"/>
        <v/>
      </c>
      <c r="FZ29" s="277" t="str">
        <f t="shared" si="29"/>
        <v/>
      </c>
      <c r="GA29" s="277" t="str">
        <f>ZahlenInBereich(Tabelle1[[Empfehlung34]:[Werkzeug36]],ROW()-5)</f>
        <v/>
      </c>
      <c r="GB29" s="277" t="str">
        <f t="shared" si="30"/>
        <v/>
      </c>
      <c r="GC29" s="277" t="str">
        <f t="shared" si="31"/>
        <v/>
      </c>
      <c r="GD29" s="277" t="str">
        <f t="shared" si="32"/>
        <v/>
      </c>
      <c r="GE29" s="277" t="str">
        <f>ZahlenInBereich(Tabelle1[[Empfehlung38]:[Werkzeug40]],ROW()-5)</f>
        <v/>
      </c>
      <c r="GF29" s="277" t="str">
        <f t="shared" si="33"/>
        <v/>
      </c>
      <c r="GG29" s="277" t="str">
        <f t="shared" si="34"/>
        <v/>
      </c>
      <c r="GH29" s="277" t="str">
        <f t="shared" si="35"/>
        <v/>
      </c>
      <c r="GI29" s="277" t="str">
        <f>ZahlenInBereich(Tabelle1[[Empfehlung42]:[Werkzeug44]],ROW()-5)</f>
        <v/>
      </c>
      <c r="GJ29" s="277" t="str">
        <f t="shared" si="36"/>
        <v/>
      </c>
      <c r="GK29" s="277" t="str">
        <f t="shared" si="37"/>
        <v/>
      </c>
      <c r="GL29" s="277" t="str">
        <f t="shared" si="38"/>
        <v/>
      </c>
      <c r="GM29" s="277" t="str">
        <f>ZahlenInBereich(Tabelle1[[Empfehlung46]:[Werkzeug48]],ROW()-5)</f>
        <v/>
      </c>
      <c r="GN29" s="277" t="str">
        <f t="shared" si="39"/>
        <v/>
      </c>
      <c r="GO29" s="277" t="str">
        <f t="shared" si="40"/>
        <v/>
      </c>
      <c r="GP29" s="277" t="str">
        <f t="shared" si="41"/>
        <v/>
      </c>
      <c r="GQ29" s="277" t="str">
        <f>ZahlenInBereich(Tabelle1[[Empfehlung50]:[Werkzeug52]],ROW()-5)</f>
        <v/>
      </c>
      <c r="GR29" s="277" t="str">
        <f t="shared" si="42"/>
        <v/>
      </c>
      <c r="GS29" s="277" t="str">
        <f t="shared" si="43"/>
        <v/>
      </c>
      <c r="GT29" s="277" t="str">
        <f t="shared" si="44"/>
        <v/>
      </c>
      <c r="GU29" s="277" t="str">
        <f>ZahlenInBereich(Tabelle1[[Empfehlung54]:[Werkzeug56]],ROW()-5)</f>
        <v/>
      </c>
      <c r="GV29" s="277" t="str">
        <f t="shared" si="45"/>
        <v/>
      </c>
      <c r="GW29" s="277" t="str">
        <f t="shared" si="46"/>
        <v/>
      </c>
      <c r="GX29" s="277" t="str">
        <f t="shared" si="47"/>
        <v/>
      </c>
      <c r="GY29" s="277" t="str">
        <f>ZahlenInBereich(Tabelle1[[Empfehlung58]:[Werkzeug60]],ROW()-5)</f>
        <v/>
      </c>
      <c r="GZ29" s="277" t="str">
        <f t="shared" si="48"/>
        <v/>
      </c>
      <c r="HA29" s="277" t="str">
        <f t="shared" si="49"/>
        <v/>
      </c>
      <c r="HB29" s="277" t="str">
        <f t="shared" si="50"/>
        <v/>
      </c>
      <c r="HC29" s="277" t="str">
        <f>ZahlenInBereich(Tabelle1[[Empfehlung62]:[Werkzeug64]],ROW()-5)</f>
        <v/>
      </c>
      <c r="HD29" s="277" t="str">
        <f t="shared" si="51"/>
        <v/>
      </c>
      <c r="HE29" s="277" t="str">
        <f t="shared" si="52"/>
        <v/>
      </c>
      <c r="HF29" s="277" t="str">
        <f t="shared" si="53"/>
        <v/>
      </c>
      <c r="HG29" s="277" t="str">
        <f>ZahlenInBereich(Tabelle1[[Empfehlung66]:[Werkzeug68]],ROW()-5)</f>
        <v/>
      </c>
      <c r="HH29" s="277" t="str">
        <f t="shared" si="54"/>
        <v/>
      </c>
      <c r="HI29" s="277" t="str">
        <f t="shared" si="55"/>
        <v/>
      </c>
      <c r="HJ29" s="277" t="str">
        <f t="shared" si="56"/>
        <v/>
      </c>
      <c r="HK29" s="277" t="str">
        <f>ZahlenInBereich(Tabelle1[[Empfehlung70]:[Werkzeug72]],ROW()-5)</f>
        <v/>
      </c>
      <c r="HL29" s="277" t="str">
        <f t="shared" si="57"/>
        <v/>
      </c>
      <c r="HM29" s="277" t="str">
        <f t="shared" si="58"/>
        <v/>
      </c>
      <c r="HN29" s="277" t="str">
        <f t="shared" si="59"/>
        <v/>
      </c>
      <c r="HO29" s="277" t="str">
        <f>ZahlenInBereich(Tabelle1[[Empfehlung74]:[Werkzeug76]],ROW()-5)</f>
        <v/>
      </c>
    </row>
    <row r="30" spans="2:223" ht="32" x14ac:dyDescent="0.2">
      <c r="B30" s="134">
        <f>'1.4 Analyse &amp; Synthese'!B31</f>
        <v>25</v>
      </c>
      <c r="C30" s="277" t="str">
        <f>IF(AND('1.4 Analyse &amp; Synthese'!Q31=1,'1.4 Analyse &amp; Synthese'!F31="Empfehlung"),'1.4 Analyse &amp; Synthese'!I31&amp;CHAR(13)&amp;"("&amp;'(Codierung)'!$C$2&amp;" - "&amp;'1.4 Analyse &amp; Synthese'!C31&amp;")","")</f>
        <v/>
      </c>
      <c r="D30" s="222" t="str">
        <f t="array" ref="D30">_xlfn.IFNA(INDEX($C$6:$C$66,MATCH(0,COUNTIF($D$4:D29,$C$6:$C$66),0),1),"")</f>
        <v/>
      </c>
      <c r="E30" s="277" t="str">
        <f>IF(AND('1.4 Analyse &amp; Synthese'!Q31=1,'1.4 Analyse &amp; Synthese'!F31="Methode"),'1.4 Analyse &amp; Synthese'!I31&amp;CHAR(13)&amp;"("&amp;'(Codierung)'!$C$3&amp;" - "&amp;'1.4 Analyse &amp; Synthese'!C31&amp;")","")</f>
        <v/>
      </c>
      <c r="F30" s="277" t="str">
        <f t="array" ref="F30">_xlfn.IFNA(INDEX($E$6:$E$66,MATCH(0,COUNTIF($F$4:F29,$E$6:$E$66),0),1),"")</f>
        <v/>
      </c>
      <c r="G30" s="277" t="str">
        <f>IF(AND('1.4 Analyse &amp; Synthese'!Q31=1,'1.4 Analyse &amp; Synthese'!F31="Werkzeug"),'1.4 Analyse &amp; Synthese'!I31&amp;CHAR(13)&amp;"("&amp;'(Codierung)'!$C$4&amp;" - "&amp;'1.4 Analyse &amp; Synthese'!C31&amp;")","")</f>
        <v/>
      </c>
      <c r="H30" s="277" t="str">
        <f t="array" ref="H30">_xlfn.IFNA(INDEX($G$6:$G$66,MATCH(0,COUNTIF($H$4:H29,$G$6:$G$66),0),1),"")</f>
        <v/>
      </c>
      <c r="J30" s="277" t="str">
        <f>IF(AND('1.4 Analyse &amp; Synthese'!R31=1,'1.4 Analyse &amp; Synthese'!F31="Empfehlung"),'1.4 Analyse &amp; Synthese'!I31&amp;CHAR(13)&amp;"("&amp;'(Codierung)'!$C$2&amp;" - "&amp;'1.4 Analyse &amp; Synthese'!C31&amp;")","")</f>
        <v/>
      </c>
      <c r="K30" s="277" t="str">
        <f t="array" ref="K30">_xlfn.IFNA(INDEX($J$6:$J$66,MATCH(0,COUNTIF($K$4:K29,$J$6:$J$66),0),1),"")</f>
        <v/>
      </c>
      <c r="L30" s="277" t="str">
        <f>IF(AND('1.4 Analyse &amp; Synthese'!R31=1,'1.4 Analyse &amp; Synthese'!F31="Methode"),'1.4 Analyse &amp; Synthese'!I31&amp;CHAR(13)&amp;"("&amp;'(Codierung)'!$C$3&amp;" - "&amp;'1.4 Analyse &amp; Synthese'!C31&amp;")","")</f>
        <v/>
      </c>
      <c r="M30" s="277" t="str">
        <f t="array" ref="M30">_xlfn.IFNA(INDEX($L$6:$L$66,MATCH(0,COUNTIF($M$4:M29,$L$6:$L$66),0),1),"")</f>
        <v/>
      </c>
      <c r="N30" s="277" t="str">
        <f>IF(AND('1.4 Analyse &amp; Synthese'!R31=1,'1.4 Analyse &amp; Synthese'!F31="Werkzeug"),'1.4 Analyse &amp; Synthese'!I31&amp;CHAR(13)&amp;"("&amp;'(Codierung)'!$C$4&amp;" - "&amp;'1.4 Analyse &amp; Synthese'!C31&amp;")","")</f>
        <v/>
      </c>
      <c r="O30" s="277" t="str">
        <f t="array" ref="O30">_xlfn.IFNA(INDEX($N$6:$N$66,MATCH(0,COUNTIF($O$4:O29,$N$6:$N$66),0),1),"")</f>
        <v/>
      </c>
      <c r="Q30" s="277" t="str">
        <f>IF(AND('1.4 Analyse &amp; Synthese'!S31=1,'1.4 Analyse &amp; Synthese'!F31="Empfehlung"),'1.4 Analyse &amp; Synthese'!I31&amp;CHAR(13)&amp;"("&amp;'(Codierung)'!$C$2&amp;" - "&amp;'1.4 Analyse &amp; Synthese'!C31&amp;")","")</f>
        <v>SLA Management Aggregation_x000D_(Empfehlung - Muthusamy)</v>
      </c>
      <c r="R30" s="277" t="str">
        <f t="array" ref="R30">_xlfn.IFNA(INDEX($Q$6:$Q$66,MATCH(0,COUNTIF($R$4:R29,$Q$6:$Q$66),0),1),"")</f>
        <v/>
      </c>
      <c r="S30" s="277" t="str">
        <f>IF(AND('1.4 Analyse &amp; Synthese'!S31=1,'1.4 Analyse &amp; Synthese'!F31="Methode"),'1.4 Analyse &amp; Synthese'!I31&amp;CHAR(13)&amp;"("&amp;'(Codierung)'!$C$3&amp;" - "&amp;'1.4 Analyse &amp; Synthese'!C31&amp;")","")</f>
        <v/>
      </c>
      <c r="T30" s="277" t="str">
        <f t="array" ref="T30">_xlfn.IFNA(INDEX($S$6:$S$66,MATCH(0,COUNTIF($T$4:T29,$S$6:$S$66),0),1),"")</f>
        <v/>
      </c>
      <c r="U30" s="277" t="str">
        <f>IF(AND('1.4 Analyse &amp; Synthese'!S31=1,'1.4 Analyse &amp; Synthese'!F31="Werkzeug"),'1.4 Analyse &amp; Synthese'!I31&amp;CHAR(13)&amp;"("&amp;'(Codierung)'!$C$4&amp;" - "&amp;'1.4 Analyse &amp; Synthese'!C31&amp;")","")</f>
        <v/>
      </c>
      <c r="V30" s="277" t="str">
        <f t="array" ref="V30">_xlfn.IFNA(INDEX($U$6:$U$66,MATCH(0,COUNTIF($V$4:V29,$U$6:$U$66),0),1),"")</f>
        <v/>
      </c>
      <c r="X30" s="277" t="str">
        <f>IF(AND('1.4 Analyse &amp; Synthese'!T31=1,'1.4 Analyse &amp; Synthese'!F31="Empfehlung"),'1.4 Analyse &amp; Synthese'!I31&amp;CHAR(13)&amp;"("&amp;'(Codierung)'!$C$2&amp;" - "&amp;'1.4 Analyse &amp; Synthese'!C31&amp;")","")</f>
        <v/>
      </c>
      <c r="Y30" s="277" t="str">
        <f t="array" ref="Y30">_xlfn.IFNA(INDEX($X$6:$X$66,MATCH(0,COUNTIF($Y$4:Y29,$X$6:$X$66),0),1),"")</f>
        <v/>
      </c>
      <c r="Z30" s="277" t="str">
        <f>IF(AND('1.4 Analyse &amp; Synthese'!T31=1,'1.4 Analyse &amp; Synthese'!F31="Methode"),'1.4 Analyse &amp; Synthese'!I31&amp;CHAR(13)&amp;"("&amp;'(Codierung)'!$C$3&amp;" - "&amp;'1.4 Analyse &amp; Synthese'!C31&amp;")","")</f>
        <v/>
      </c>
      <c r="AA30" s="277" t="str">
        <f t="array" ref="AA30">_xlfn.IFNA(INDEX($Z$6:$Z$66,MATCH(0,COUNTIF($AA$4:AA29,$Z$6:$Z$66),0),1),"")</f>
        <v/>
      </c>
      <c r="AB30" s="277" t="str">
        <f>IF(AND('1.4 Analyse &amp; Synthese'!T31=1,'1.4 Analyse &amp; Synthese'!F31="Werkzeug"),'1.4 Analyse &amp; Synthese'!I31&amp;CHAR(13)&amp;"("&amp;'(Codierung)'!$C$4&amp;" - "&amp;'1.4 Analyse &amp; Synthese'!C31&amp;")","")</f>
        <v/>
      </c>
      <c r="AC30" s="277" t="str">
        <f t="array" ref="AC30">_xlfn.IFNA(INDEX($AB$6:$AB$66,MATCH(0,COUNTIF($AC$4:AC29,$AB$6:$AB$66),0),1),"")</f>
        <v/>
      </c>
      <c r="AE30" s="277" t="str">
        <f>IF(AND('1.4 Analyse &amp; Synthese'!U31=1,'1.4 Analyse &amp; Synthese'!F31="Empfehlung"),'1.4 Analyse &amp; Synthese'!I31&amp;CHAR(13)&amp;"("&amp;'(Codierung)'!$C$2&amp;" - "&amp;'1.4 Analyse &amp; Synthese'!C31&amp;")","")</f>
        <v/>
      </c>
      <c r="AF30" s="277" t="str">
        <f t="array" ref="AF30">_xlfn.IFNA(INDEX($AE$6:$AE$66,MATCH(0,COUNTIF($AF$4:AF29,$AE$6:$AE$66),0),1),"")</f>
        <v/>
      </c>
      <c r="AG30" s="277" t="str">
        <f>IF(AND('1.4 Analyse &amp; Synthese'!U31=1,'1.4 Analyse &amp; Synthese'!F31="Methode"),'1.4 Analyse &amp; Synthese'!I31&amp;CHAR(13)&amp;"("&amp;'(Codierung)'!$C$3&amp;" - "&amp;'1.4 Analyse &amp; Synthese'!C31&amp;")","")</f>
        <v/>
      </c>
      <c r="AH30" s="277" t="str">
        <f t="array" ref="AH30">_xlfn.IFNA(INDEX($AG$6:$AG$66,MATCH(0,COUNTIF($AH$4:AH29,$AG$6:$AG$66),0),1),"")</f>
        <v/>
      </c>
      <c r="AI30" s="277" t="str">
        <f>IF(AND('1.4 Analyse &amp; Synthese'!U31=1,'1.4 Analyse &amp; Synthese'!F31="Werkzeug"),'1.4 Analyse &amp; Synthese'!I31&amp;CHAR(13)&amp;"("&amp;'(Codierung)'!$C$4&amp;" - "&amp;'1.4 Analyse &amp; Synthese'!C31&amp;")","")</f>
        <v/>
      </c>
      <c r="AJ30" s="277" t="str">
        <f t="array" ref="AJ30">_xlfn.IFNA(INDEX($AI$6:$AI$66,MATCH(0,COUNTIF($AJ$4:AJ29,$AI$6:$AI$66),0),1),"")</f>
        <v/>
      </c>
      <c r="AL30" s="277" t="str">
        <f>IF(AND('1.4 Analyse &amp; Synthese'!V31=1,'1.4 Analyse &amp; Synthese'!F31="Empfehlung"),'1.4 Analyse &amp; Synthese'!I31&amp;CHAR(13)&amp;"("&amp;'(Codierung)'!$C$2&amp;" - "&amp;'1.4 Analyse &amp; Synthese'!C31&amp;")","")</f>
        <v/>
      </c>
      <c r="AM30" s="277" t="str">
        <f t="array" ref="AM30">_xlfn.IFNA(INDEX($AL$6:$AL$66,MATCH(0,COUNTIF($AM$4:AM29,$AL$6:$AL$66),0),1),"")</f>
        <v/>
      </c>
      <c r="AN30" s="277" t="str">
        <f>IF(AND('1.4 Analyse &amp; Synthese'!V31=1,'1.4 Analyse &amp; Synthese'!F31="Methode"),'1.4 Analyse &amp; Synthese'!I31&amp;CHAR(13)&amp;"("&amp;'(Codierung)'!$C$3&amp;" - "&amp;'1.4 Analyse &amp; Synthese'!C31&amp;")","")</f>
        <v/>
      </c>
      <c r="AO30" s="277" t="str">
        <f t="array" ref="AO30">_xlfn.IFNA(INDEX($AN$6:$AN$66,MATCH(0,COUNTIF($AO$4:AO29,$AN$6:$AN$66),0),1),"")</f>
        <v/>
      </c>
      <c r="AP30" s="277" t="str">
        <f>IF(AND('1.4 Analyse &amp; Synthese'!V31=1,'1.4 Analyse &amp; Synthese'!F31="Werkzeug"),'1.4 Analyse &amp; Synthese'!I31&amp;CHAR(13)&amp;"("&amp;'(Codierung)'!$C$4&amp;" - "&amp;'1.4 Analyse &amp; Synthese'!C31&amp;")","")</f>
        <v/>
      </c>
      <c r="AQ30" s="277" t="str">
        <f t="array" ref="AQ30">_xlfn.IFNA(INDEX($AP$6:$AP$66,MATCH(0,COUNTIF($AQ$4:AQ29,$AP$6:$AP$66),0),1),"")</f>
        <v/>
      </c>
      <c r="AS30" s="277" t="str">
        <f>IF(AND('1.4 Analyse &amp; Synthese'!W31=1,'1.4 Analyse &amp; Synthese'!F31="Empfehlung"),'1.4 Analyse &amp; Synthese'!I31&amp;CHAR(13)&amp;"("&amp;'(Codierung)'!$C$2&amp;" - "&amp;'1.4 Analyse &amp; Synthese'!C31&amp;")","")</f>
        <v/>
      </c>
      <c r="AT30" s="277" t="str">
        <f t="array" ref="AT30">_xlfn.IFNA(INDEX($AS$6:$AS$66,MATCH(0,COUNTIF($AT$4:AT29,$AS$6:$AS$66),0),1),"")</f>
        <v/>
      </c>
      <c r="AU30" s="277" t="str">
        <f>IF(AND('1.4 Analyse &amp; Synthese'!W31=1,'1.4 Analyse &amp; Synthese'!F31="Methode"),'1.4 Analyse &amp; Synthese'!I31&amp;CHAR(13)&amp;"("&amp;'(Codierung)'!$C$3&amp;" - "&amp;'1.4 Analyse &amp; Synthese'!C31&amp;")","")</f>
        <v/>
      </c>
      <c r="AV30" s="277" t="str">
        <f t="array" ref="AV30">_xlfn.IFNA(INDEX($AU$6:$AU$66,MATCH(0,COUNTIF($AV$4:AV29,$AU$6:$AU$66),0),1),"")</f>
        <v/>
      </c>
      <c r="AW30" s="277" t="str">
        <f>IF(AND('1.4 Analyse &amp; Synthese'!W31=1,'1.4 Analyse &amp; Synthese'!F31="Werkzeug"),'1.4 Analyse &amp; Synthese'!I31&amp;CHAR(13)&amp;"("&amp;'(Codierung)'!$C$4&amp;" - "&amp;'1.4 Analyse &amp; Synthese'!C31&amp;")","")</f>
        <v/>
      </c>
      <c r="AX30" s="277" t="str">
        <f t="array" ref="AX30">_xlfn.IFNA(INDEX($AW$6:$AW$66,MATCH(0,COUNTIF($AX$4:AX29,$AW$6:$AW$66),0),1),"")</f>
        <v/>
      </c>
      <c r="AZ30" s="277" t="str">
        <f>IF(AND('1.4 Analyse &amp; Synthese'!X31=1,'1.4 Analyse &amp; Synthese'!F31="Empfehlung"),'1.4 Analyse &amp; Synthese'!I31&amp;CHAR(13)&amp;"("&amp;'(Codierung)'!$C$2&amp;" - "&amp;'1.4 Analyse &amp; Synthese'!C31&amp;")","")</f>
        <v/>
      </c>
      <c r="BA30" s="277" t="str">
        <f t="array" ref="BA30">_xlfn.IFNA(INDEX($AZ$6:$AZ$66,MATCH(0,COUNTIF($BA$4:BA29,$AZ$6:$AZ$66),0),1),"")</f>
        <v/>
      </c>
      <c r="BB30" s="277" t="str">
        <f>IF(AND('1.4 Analyse &amp; Synthese'!X31=1,'1.4 Analyse &amp; Synthese'!F31="Methode"),'1.4 Analyse &amp; Synthese'!I31&amp;CHAR(13)&amp;"("&amp;'(Codierung)'!$C$3&amp;" - "&amp;'1.4 Analyse &amp; Synthese'!C31&amp;")","")</f>
        <v/>
      </c>
      <c r="BC30" s="277" t="str">
        <f t="array" ref="BC30">_xlfn.IFNA(INDEX($BB$6:$BB$66,MATCH(0,COUNTIF($BC$4:BC29,$BB$6:$BB$66),0),1),"")</f>
        <v/>
      </c>
      <c r="BD30" s="277" t="str">
        <f>IF(AND('1.4 Analyse &amp; Synthese'!X31=1,'1.4 Analyse &amp; Synthese'!F31="Werkzeug"),'1.4 Analyse &amp; Synthese'!I31&amp;CHAR(13)&amp;"("&amp;'(Codierung)'!$C$4&amp;" - "&amp;'1.4 Analyse &amp; Synthese'!C31&amp;")","")</f>
        <v/>
      </c>
      <c r="BE30" s="277" t="str">
        <f t="array" ref="BE30">_xlfn.IFNA(INDEX($BD$6:$BD$66,MATCH(0,COUNTIF($BE$4:BE29,$BD$6:$BD$66),0),1),"")</f>
        <v/>
      </c>
      <c r="BG30" s="277" t="str">
        <f>IF(AND('1.4 Analyse &amp; Synthese'!Y31=1,'1.4 Analyse &amp; Synthese'!F31="Empfehlung"),'1.4 Analyse &amp; Synthese'!I31&amp;CHAR(13)&amp;"("&amp;'(Codierung)'!$C$2&amp;" - "&amp;'1.4 Analyse &amp; Synthese'!C31&amp;")","")</f>
        <v/>
      </c>
      <c r="BH30" s="277" t="str">
        <f t="array" ref="BH30">_xlfn.IFNA(INDEX($BG$6:$BG$66,MATCH(0,COUNTIF($BH$4:BH29,$BG$6:$BG$66),0),1),"")</f>
        <v/>
      </c>
      <c r="BI30" s="277" t="str">
        <f>IF(AND('1.4 Analyse &amp; Synthese'!Y31=1,'1.4 Analyse &amp; Synthese'!F31="Methode"),'1.4 Analyse &amp; Synthese'!I31&amp;CHAR(13)&amp;"("&amp;'(Codierung)'!$C$3&amp;" - "&amp;'1.4 Analyse &amp; Synthese'!C31&amp;")","")</f>
        <v/>
      </c>
      <c r="BJ30" s="277" t="str">
        <f t="array" ref="BJ30">_xlfn.IFNA(INDEX($BI$6:$BI$66,MATCH(0,COUNTIF($BJ$4:BJ29,$BI$6:$BI$66),0),1),"")</f>
        <v/>
      </c>
      <c r="BK30" s="277" t="str">
        <f>IF(AND('1.4 Analyse &amp; Synthese'!Y31=1,'1.4 Analyse &amp; Synthese'!F31="Werkzeug"),'1.4 Analyse &amp; Synthese'!I31&amp;CHAR(13)&amp;"("&amp;'(Codierung)'!$C$4&amp;" - "&amp;'1.4 Analyse &amp; Synthese'!C31&amp;")","")</f>
        <v/>
      </c>
      <c r="BL30" s="277" t="str">
        <f t="array" ref="BL30">_xlfn.IFNA(INDEX($BK$6:$BK$66,MATCH(0,COUNTIF($BL$4:BL29,$BK$6:$BK$66),0),1),"")</f>
        <v/>
      </c>
      <c r="BN30" s="277" t="str">
        <f>IF(AND('1.4 Analyse &amp; Synthese'!Z31=1,'1.4 Analyse &amp; Synthese'!F31="Empfehlung"),'1.4 Analyse &amp; Synthese'!I31&amp;CHAR(13)&amp;"("&amp;'(Codierung)'!$C$2&amp;" - "&amp;'1.4 Analyse &amp; Synthese'!C31&amp;")","")</f>
        <v/>
      </c>
      <c r="BO30" s="277" t="str">
        <f t="array" ref="BO30">_xlfn.IFNA(INDEX($BN$6:$BN$66,MATCH(0,COUNTIF($BO$4:BO29,$BN$6:$BN$66),0),1),"")</f>
        <v/>
      </c>
      <c r="BP30" s="277" t="str">
        <f>IF(AND('1.4 Analyse &amp; Synthese'!Z31=1,'1.4 Analyse &amp; Synthese'!F31="Methode"),'1.4 Analyse &amp; Synthese'!I31&amp;CHAR(13)&amp;"("&amp;'(Codierung)'!$C$3&amp;" - "&amp;'1.4 Analyse &amp; Synthese'!C31&amp;")","")</f>
        <v/>
      </c>
      <c r="BQ30" s="277" t="str">
        <f t="array" ref="BQ30">_xlfn.IFNA(INDEX($BP$6:$BP$66,MATCH(0,COUNTIF($BQ$4:BQ29,$BP$6:$BP$66),0),1),"")</f>
        <v/>
      </c>
      <c r="BR30" s="277" t="str">
        <f>IF(AND('1.4 Analyse &amp; Synthese'!Z31=1,'1.4 Analyse &amp; Synthese'!F31="Werkzeug"),'1.4 Analyse &amp; Synthese'!I31&amp;CHAR(13)&amp;"("&amp;'(Codierung)'!$C$4&amp;" - "&amp;'1.4 Analyse &amp; Synthese'!C31&amp;")","")</f>
        <v/>
      </c>
      <c r="BS30" s="277" t="str">
        <f t="array" ref="BS30">_xlfn.IFNA(INDEX($BR$6:$BR$66,MATCH(0,COUNTIF($BS$4:BS29,$BR$6:$BR$66),0),1),"")</f>
        <v/>
      </c>
      <c r="BU30" s="277" t="str">
        <f>IF(AND('1.4 Analyse &amp; Synthese'!AA31=1,'1.4 Analyse &amp; Synthese'!F31="Empfehlung"),'1.4 Analyse &amp; Synthese'!I31&amp;CHAR(13)&amp;"("&amp;'(Codierung)'!$C$2&amp;" - "&amp;'1.4 Analyse &amp; Synthese'!C31&amp;")","")</f>
        <v/>
      </c>
      <c r="BV30" s="277" t="str">
        <f t="array" ref="BV30">_xlfn.IFNA(INDEX($BU$6:$BU$66,MATCH(0,COUNTIF($BV$4:BV29,$BU$6:$BU$66),0),1),"")</f>
        <v/>
      </c>
      <c r="BW30" s="277" t="str">
        <f>IF(AND('1.4 Analyse &amp; Synthese'!AA31=1,'1.4 Analyse &amp; Synthese'!F31="Methode"),'1.4 Analyse &amp; Synthese'!I31&amp;CHAR(13)&amp;"("&amp;'(Codierung)'!$C$3&amp;" - "&amp;'1.4 Analyse &amp; Synthese'!C31&amp;")","")</f>
        <v/>
      </c>
      <c r="BX30" s="277" t="str">
        <f t="array" ref="BX30">_xlfn.IFNA(INDEX($BW$6:$BW$66,MATCH(0,COUNTIF($BX$4:BX29,$BW$6:$BW$66),0),1),"")</f>
        <v/>
      </c>
      <c r="BY30" s="277" t="str">
        <f>IF(AND('1.4 Analyse &amp; Synthese'!AA31=1,'1.4 Analyse &amp; Synthese'!F31="Werkzeug"),'1.4 Analyse &amp; Synthese'!I31&amp;CHAR(13)&amp;"("&amp;'(Codierung)'!$C$4&amp;" - "&amp;'1.4 Analyse &amp; Synthese'!C31&amp;")","")</f>
        <v/>
      </c>
      <c r="BZ30" s="277" t="str">
        <f t="array" ref="BZ30">_xlfn.IFNA(INDEX($BY$6:$BY$66,MATCH(0,COUNTIF($BZ$4:BZ29,$BY$6:$BY$66),0),1),"")</f>
        <v/>
      </c>
      <c r="CB30" s="277" t="str">
        <f>IF(AND('1.4 Analyse &amp; Synthese'!AB31=1,'1.4 Analyse &amp; Synthese'!F31="Empfehlung"),'1.4 Analyse &amp; Synthese'!I31&amp;CHAR(13)&amp;"("&amp;'(Codierung)'!$C$2&amp;" - "&amp;'1.4 Analyse &amp; Synthese'!C31&amp;")","")</f>
        <v/>
      </c>
      <c r="CC30" s="277" t="str">
        <f t="array" ref="CC30">_xlfn.IFNA(INDEX($CB$6:$CB$66,MATCH(0,COUNTIF($CC$4:CC29,$CB$6:$CB$66),0),1),"")</f>
        <v/>
      </c>
      <c r="CD30" s="277" t="str">
        <f>IF(AND('1.4 Analyse &amp; Synthese'!AB31=1,'1.4 Analyse &amp; Synthese'!F31="Methode"),'1.4 Analyse &amp; Synthese'!I31&amp;CHAR(13)&amp;"("&amp;'(Codierung)'!$C$3&amp;" - "&amp;'1.4 Analyse &amp; Synthese'!C31&amp;")","")</f>
        <v/>
      </c>
      <c r="CE30" s="277" t="str">
        <f t="array" ref="CE30">_xlfn.IFNA(INDEX($CD$6:$CD$66,MATCH(0,COUNTIF($CE$4:CE29,$CD$6:$CD$66),0),1),"")</f>
        <v/>
      </c>
      <c r="CF30" s="277" t="str">
        <f>IF(AND('1.4 Analyse &amp; Synthese'!AB31=1,'1.4 Analyse &amp; Synthese'!F31="Werkzeug"),'1.4 Analyse &amp; Synthese'!I31&amp;CHAR(13)&amp;"("&amp;'(Codierung)'!$C$4&amp;" - "&amp;'1.4 Analyse &amp; Synthese'!C31&amp;")","")</f>
        <v/>
      </c>
      <c r="CG30" s="277" t="str">
        <f t="array" ref="CG30">_xlfn.IFNA(INDEX($CF$6:$CF$66,MATCH(0,COUNTIF($CG$4:CG29,$CF$6:$CF$66),0),1),"")</f>
        <v/>
      </c>
      <c r="CI30" s="277" t="str">
        <f>IF(AND('1.4 Analyse &amp; Synthese'!AC31=1,'1.4 Analyse &amp; Synthese'!F31="Empfehlung"),'1.4 Analyse &amp; Synthese'!I31&amp;CHAR(13)&amp;"("&amp;'(Codierung)'!$C$2&amp;" - "&amp;'1.4 Analyse &amp; Synthese'!C31&amp;")","")</f>
        <v>SLA Management Aggregation_x000D_(Empfehlung - Muthusamy)</v>
      </c>
      <c r="CJ30" s="277" t="str">
        <f t="array" ref="CJ30">_xlfn.IFNA(INDEX($CI$6:$CI$66,MATCH(0,COUNTIF($CJ$4:CJ29,$CI$6:$CI$66),0),1),"")</f>
        <v/>
      </c>
      <c r="CK30" s="277" t="str">
        <f>IF(AND('1.4 Analyse &amp; Synthese'!AC31=1,'1.4 Analyse &amp; Synthese'!F31="Methode"),'1.4 Analyse &amp; Synthese'!I31&amp;CHAR(13)&amp;"("&amp;'(Codierung)'!$C$3&amp;" - "&amp;'1.4 Analyse &amp; Synthese'!C31&amp;")","")</f>
        <v/>
      </c>
      <c r="CL30" s="277" t="str">
        <f t="array" ref="CL30">_xlfn.IFNA(INDEX($CK$6:$CK$66,MATCH(0,COUNTIF($CL$4:CL29,$CK$6:$CK$66),0),1),"")</f>
        <v/>
      </c>
      <c r="CM30" s="277" t="str">
        <f>IF(AND('1.4 Analyse &amp; Synthese'!AC31=1,'1.4 Analyse &amp; Synthese'!F31="Werkzeug"),'1.4 Analyse &amp; Synthese'!I31&amp;CHAR(13)&amp;"("&amp;'(Codierung)'!$C$4&amp;" - "&amp;'1.4 Analyse &amp; Synthese'!C31&amp;")","")</f>
        <v/>
      </c>
      <c r="CN30" s="277" t="str">
        <f t="array" ref="CN30">_xlfn.IFNA(INDEX($CM$6:$CM$66,MATCH(0,COUNTIF($CN$4:CN29,$CM$6:$CM$66),0),1),"")</f>
        <v/>
      </c>
      <c r="CP30" s="277" t="str">
        <f>IF(AND('1.4 Analyse &amp; Synthese'!AD31=1,'1.4 Analyse &amp; Synthese'!F31="Empfehlung"),'1.4 Analyse &amp; Synthese'!I31&amp;CHAR(13)&amp;"("&amp;'(Codierung)'!$C$2&amp;" - "&amp;'1.4 Analyse &amp; Synthese'!C31&amp;")","")</f>
        <v/>
      </c>
      <c r="CQ30" s="277" t="str">
        <f t="array" ref="CQ30">_xlfn.IFNA(INDEX($CP$6:$CP$66,MATCH(0,COUNTIF($CQ$4:CQ29,$CP$6:$CP$66),0),1),"")</f>
        <v/>
      </c>
      <c r="CR30" s="277" t="str">
        <f>IF(AND('1.4 Analyse &amp; Synthese'!AD31=1,'1.4 Analyse &amp; Synthese'!F31="Methode"),'1.4 Analyse &amp; Synthese'!I31&amp;CHAR(13)&amp;"("&amp;'(Codierung)'!$C$3&amp;" - "&amp;'1.4 Analyse &amp; Synthese'!C31&amp;")","")</f>
        <v/>
      </c>
      <c r="CS30" s="277" t="str">
        <f t="array" ref="CS30">_xlfn.IFNA(INDEX($CR$6:$CR$66,MATCH(0,COUNTIF($CS$4:CS29,$CR$6:$CR$66),0),1),"")</f>
        <v/>
      </c>
      <c r="CT30" s="277" t="str">
        <f>IF(AND('1.4 Analyse &amp; Synthese'!AD31=1,'1.4 Analyse &amp; Synthese'!F31="Werkzeug"),'1.4 Analyse &amp; Synthese'!I31&amp;CHAR(13)&amp;"("&amp;'(Codierung)'!$C$4&amp;" - "&amp;'1.4 Analyse &amp; Synthese'!C31&amp;")","")</f>
        <v/>
      </c>
      <c r="CU30" s="277" t="str">
        <f t="array" ref="CU30">_xlfn.IFNA(INDEX($CT$6:$CT$66,MATCH(0,COUNTIF($CU$4:CU29,$CT$6:$CT$66),0),1),"")</f>
        <v/>
      </c>
      <c r="CW30" s="277" t="str">
        <f>IF(AND('1.4 Analyse &amp; Synthese'!AE31=1,'1.4 Analyse &amp; Synthese'!F31="Empfehlung"),'1.4 Analyse &amp; Synthese'!I31&amp;CHAR(13)&amp;"("&amp;'(Codierung)'!$C$2&amp;" - "&amp;'1.4 Analyse &amp; Synthese'!C31&amp;")","")</f>
        <v/>
      </c>
      <c r="CX30" s="277" t="str">
        <f t="array" ref="CX30">_xlfn.IFNA(INDEX($CW$6:$CW$66,MATCH(0,COUNTIF($CX$4:CX29,$CW$6:$CW$66),0),1),"")</f>
        <v/>
      </c>
      <c r="CY30" s="277" t="str">
        <f>IF(AND('1.4 Analyse &amp; Synthese'!AE31=1,'1.4 Analyse &amp; Synthese'!F31="Methode"),'1.4 Analyse &amp; Synthese'!I31&amp;CHAR(13)&amp;"("&amp;'(Codierung)'!$C$3&amp;" - "&amp;'1.4 Analyse &amp; Synthese'!C31&amp;")","")</f>
        <v/>
      </c>
      <c r="CZ30" s="277" t="str">
        <f t="array" ref="CZ30">_xlfn.IFNA(INDEX($CY$6:$CY$66,MATCH(0,COUNTIF($CZ$4:CZ29,$CY$6:$CY$66),0),1),"")</f>
        <v/>
      </c>
      <c r="DA30" s="277" t="str">
        <f>IF(AND('1.4 Analyse &amp; Synthese'!AE31=1,'1.4 Analyse &amp; Synthese'!F31="Werkzeug"),'1.4 Analyse &amp; Synthese'!I31&amp;CHAR(13)&amp;"("&amp;'(Codierung)'!$C$4&amp;" - "&amp;'1.4 Analyse &amp; Synthese'!C31&amp;")","")</f>
        <v/>
      </c>
      <c r="DB30" s="277" t="str">
        <f t="array" ref="DB30">_xlfn.IFNA(INDEX($DA$6:$DA$66,MATCH(0,COUNTIF($DB$4:DB29,$DA$6:$DA$66),0),1),"")</f>
        <v/>
      </c>
      <c r="DD30" s="277" t="str">
        <f>IF(AND('1.4 Analyse &amp; Synthese'!AF31=1,'1.4 Analyse &amp; Synthese'!F31="Empfehlung"),'1.4 Analyse &amp; Synthese'!I31&amp;CHAR(13)&amp;"("&amp;'(Codierung)'!$C$2&amp;" - "&amp;'1.4 Analyse &amp; Synthese'!C31&amp;")","")</f>
        <v/>
      </c>
      <c r="DE30" s="277" t="str">
        <f t="array" ref="DE30">_xlfn.IFNA(INDEX($DD$6:$DD$66,MATCH(0,COUNTIF($DE$4:DE29,$DD$6:$DD$66),0),1),"")</f>
        <v/>
      </c>
      <c r="DF30" s="277" t="str">
        <f>IF(AND('1.4 Analyse &amp; Synthese'!AF31=1,'1.4 Analyse &amp; Synthese'!F31="Methode"),'1.4 Analyse &amp; Synthese'!I31&amp;CHAR(13)&amp;"("&amp;'(Codierung)'!$C$3&amp;" - "&amp;'1.4 Analyse &amp; Synthese'!C31&amp;")","")</f>
        <v/>
      </c>
      <c r="DG30" s="277" t="str">
        <f t="array" ref="DG30">_xlfn.IFNA(INDEX($DF$6:$DF$66,MATCH(0,COUNTIF($DG$4:DG29,$DF$6:$DF$66),0),1),"")</f>
        <v/>
      </c>
      <c r="DH30" s="277" t="str">
        <f>IF(AND('1.4 Analyse &amp; Synthese'!AF31=1,'1.4 Analyse &amp; Synthese'!F31="Werkzeug"),'1.4 Analyse &amp; Synthese'!I31&amp;CHAR(13)&amp;"("&amp;'(Codierung)'!$C$4&amp;" - "&amp;'1.4 Analyse &amp; Synthese'!C31&amp;")","")</f>
        <v/>
      </c>
      <c r="DI30" s="277" t="str">
        <f t="array" ref="DI30">_xlfn.IFNA(INDEX($DH$6:$DH$66,MATCH(0,COUNTIF($DI$4:DI29,$DH$6:$DH$66),0),1),"")</f>
        <v/>
      </c>
      <c r="DK30" s="277" t="str">
        <f>IF(AND('1.4 Analyse &amp; Synthese'!AG31=1,'1.4 Analyse &amp; Synthese'!F31="Empfehlung"),'1.4 Analyse &amp; Synthese'!I31&amp;CHAR(13)&amp;"("&amp;'(Codierung)'!$C$2&amp;" - "&amp;'1.4 Analyse &amp; Synthese'!C31&amp;")","")</f>
        <v/>
      </c>
      <c r="DL30" s="277" t="str">
        <f t="array" ref="DL30">_xlfn.IFNA(INDEX($DK$6:$DK$66,MATCH(0,COUNTIF($DL$4:DL29,$DK$6:$DK$66),0),1),"")</f>
        <v/>
      </c>
      <c r="DM30" s="277" t="str">
        <f>IF(AND('1.4 Analyse &amp; Synthese'!AG31=1,'1.4 Analyse &amp; Synthese'!F31="Methode"),'1.4 Analyse &amp; Synthese'!I31&amp;CHAR(13)&amp;"("&amp;'(Codierung)'!$C$3&amp;" - "&amp;'1.4 Analyse &amp; Synthese'!C31&amp;")","")</f>
        <v/>
      </c>
      <c r="DN30" s="277" t="str">
        <f t="array" ref="DN30">_xlfn.IFNA(INDEX($DM$6:$DM$66,MATCH(0,COUNTIF($DN$4:DN29,$DM$6:$DM$66),0),1),"")</f>
        <v/>
      </c>
      <c r="DO30" s="277" t="str">
        <f>IF(AND('1.4 Analyse &amp; Synthese'!AG31=1,'1.4 Analyse &amp; Synthese'!F31="Werkzeug"),'1.4 Analyse &amp; Synthese'!I31&amp;CHAR(13)&amp;"("&amp;'(Codierung)'!$C$4&amp;" - "&amp;'1.4 Analyse &amp; Synthese'!C31&amp;")","")</f>
        <v/>
      </c>
      <c r="DP30" s="277" t="str">
        <f t="array" ref="DP30">_xlfn.IFNA(INDEX($DO$6:$DO$66,MATCH(0,COUNTIF($DP$4:DP29,$DO$6:$DO$66),0),1),"")</f>
        <v/>
      </c>
      <c r="DR30" s="277" t="str">
        <f>IF(AND('1.4 Analyse &amp; Synthese'!AH31=1,'1.4 Analyse &amp; Synthese'!F31="Empfehlung"),'1.4 Analyse &amp; Synthese'!I31&amp;CHAR(13)&amp;"("&amp;'(Codierung)'!$C$2&amp;" - "&amp;'1.4 Analyse &amp; Synthese'!C31&amp;")","")</f>
        <v/>
      </c>
      <c r="DS30" s="277" t="str">
        <f t="array" ref="DS30">_xlfn.IFNA(INDEX($DR$6:$DR$66,MATCH(0,COUNTIF($DS$4:DS29,$DR$6:$DR$66),0),1),"")</f>
        <v/>
      </c>
      <c r="DT30" s="277" t="str">
        <f>IF(AND('1.4 Analyse &amp; Synthese'!AH31=1,'1.4 Analyse &amp; Synthese'!F31="Methode"),'1.4 Analyse &amp; Synthese'!I31&amp;CHAR(13)&amp;"("&amp;'(Codierung)'!$C$3&amp;" - "&amp;'1.4 Analyse &amp; Synthese'!C31&amp;")","")</f>
        <v/>
      </c>
      <c r="DU30" s="277" t="str">
        <f t="array" ref="DU30">_xlfn.IFNA(INDEX($DT$6:$DT$66,MATCH(0,COUNTIF($DU$4:DU29,$DT$6:$DT$66),0),1),"")</f>
        <v/>
      </c>
      <c r="DV30" s="277" t="str">
        <f>IF(AND('1.4 Analyse &amp; Synthese'!AH31=1,'1.4 Analyse &amp; Synthese'!F31="Werkzeug"),'1.4 Analyse &amp; Synthese'!I31&amp;CHAR(13)&amp;"("&amp;'(Codierung)'!$C$4&amp;" - "&amp;'1.4 Analyse &amp; Synthese'!C31&amp;")","")</f>
        <v/>
      </c>
      <c r="DW30" s="277" t="str">
        <f t="array" ref="DW30">_xlfn.IFNA(INDEX($DV$6:$DV$66,MATCH(0,COUNTIF($DW$4:DW29,$DV$6:$DV$66),0),1),"")</f>
        <v/>
      </c>
      <c r="DY30" s="277" t="str">
        <f>IF(AND('1.4 Analyse &amp; Synthese'!AI31=1,'1.4 Analyse &amp; Synthese'!F31="Empfehlung"),'1.4 Analyse &amp; Synthese'!I31&amp;CHAR(13)&amp;"("&amp;'(Codierung)'!$C$2&amp;" - "&amp;'1.4 Analyse &amp; Synthese'!C31&amp;")","")</f>
        <v/>
      </c>
      <c r="DZ30" s="277" t="str">
        <f t="array" ref="DZ30">_xlfn.IFNA(INDEX($DY$6:$DY$66,MATCH(0,COUNTIF($DZ$4:DZ29,$DY$6:$DY$66),0),1),"")</f>
        <v/>
      </c>
      <c r="EA30" s="277" t="str">
        <f>IF(AND('1.4 Analyse &amp; Synthese'!AI31=1,'1.4 Analyse &amp; Synthese'!F31="Methode"),'1.4 Analyse &amp; Synthese'!I31&amp;CHAR(13)&amp;"("&amp;'(Codierung)'!$C$3&amp;" - "&amp;'1.4 Analyse &amp; Synthese'!C31&amp;")","")</f>
        <v/>
      </c>
      <c r="EB30" s="277" t="str">
        <f t="array" ref="EB30">_xlfn.IFNA(INDEX($EA$6:$EA$66,MATCH(0,COUNTIF($EB$4:EB29,$EA$6:$EA$66),0),1),"")</f>
        <v/>
      </c>
      <c r="EC30" s="277" t="str">
        <f>IF(AND('1.4 Analyse &amp; Synthese'!AI31=1,'1.4 Analyse &amp; Synthese'!F31="Werkzeug"),'1.4 Analyse &amp; Synthese'!I31&amp;CHAR(13)&amp;"("&amp;'(Codierung)'!$C$4&amp;" - "&amp;'1.4 Analyse &amp; Synthese'!C31&amp;")","")</f>
        <v/>
      </c>
      <c r="ED30" s="277" t="str">
        <f t="array" ref="ED30">_xlfn.IFNA(INDEX($EC$6:$EC$66,MATCH(0,COUNTIF($ED$4:ED29,$EC$6:$EC$66),0),1),"")</f>
        <v/>
      </c>
      <c r="EF30" s="277" t="str">
        <f>IF(AND('1.4 Analyse &amp; Synthese'!AJ31=1,'1.4 Analyse &amp; Synthese'!F31="Empfehlung"),'1.4 Analyse &amp; Synthese'!I31&amp;CHAR(13)&amp;"("&amp;'(Codierung)'!$C$2&amp;" - "&amp;'1.4 Analyse &amp; Synthese'!C31&amp;")","")</f>
        <v/>
      </c>
      <c r="EG30" s="277" t="str">
        <f t="array" ref="EG30">_xlfn.IFNA(INDEX($EF$6:$EF$66,MATCH(0,COUNTIF($EG$4:EG29,$EF$6:$EF$66),0),1),"")</f>
        <v/>
      </c>
      <c r="EH30" s="277" t="str">
        <f>IF(AND('1.4 Analyse &amp; Synthese'!AJ31=1,'1.4 Analyse &amp; Synthese'!F31="Methode"),'1.4 Analyse &amp; Synthese'!I31&amp;CHAR(13)&amp;"("&amp;'(Codierung)'!$C$3&amp;" - "&amp;'1.4 Analyse &amp; Synthese'!C31&amp;")","")</f>
        <v/>
      </c>
      <c r="EI30" s="277" t="str">
        <f t="array" ref="EI30">_xlfn.IFNA(INDEX($EH$6:$EH$66,MATCH(0,COUNTIF($EI$4:EI29,$EH$6:$EH$66),0),1),"")</f>
        <v/>
      </c>
      <c r="EJ30" s="277" t="str">
        <f>IF(AND('1.4 Analyse &amp; Synthese'!AJ31=1,'1.4 Analyse &amp; Synthese'!F31="Werkzeug"),'1.4 Analyse &amp; Synthese'!I31&amp;CHAR(13)&amp;"("&amp;'(Codierung)'!$C$4&amp;" - "&amp;'1.4 Analyse &amp; Synthese'!C31&amp;")","")</f>
        <v/>
      </c>
      <c r="EK30" s="277" t="str">
        <f t="array" ref="EK30">_xlfn.IFNA(INDEX($EJ$6:$EJ$66,MATCH(0,COUNTIF($EK$4:EK29,$EJ$6:$EJ$66),0),1),"")</f>
        <v/>
      </c>
      <c r="EN30" s="222" t="str">
        <f t="shared" si="0"/>
        <v/>
      </c>
      <c r="EO30" s="277" t="str">
        <f t="shared" si="1"/>
        <v/>
      </c>
      <c r="EP30" s="277" t="str">
        <f t="shared" si="2"/>
        <v/>
      </c>
      <c r="EQ30" s="277" t="str">
        <f>ZahlenInBereich(Tabelle1[[Empfehlung]:[Werkzeug]],ROW()-5)</f>
        <v/>
      </c>
      <c r="ER30" s="277" t="str">
        <f t="shared" si="3"/>
        <v/>
      </c>
      <c r="ES30" s="277" t="str">
        <f t="shared" si="4"/>
        <v/>
      </c>
      <c r="ET30" s="277" t="str">
        <f t="shared" si="5"/>
        <v/>
      </c>
      <c r="EU30" s="277" t="str">
        <f>ZahlenInBereich(Tabelle1[[Empfehlung2]:[Werkzeug4]],ROW()-5)</f>
        <v/>
      </c>
      <c r="EV30" s="277" t="str">
        <f t="shared" si="6"/>
        <v/>
      </c>
      <c r="EW30" s="277" t="str">
        <f t="shared" si="7"/>
        <v/>
      </c>
      <c r="EX30" s="277" t="str">
        <f t="shared" si="8"/>
        <v/>
      </c>
      <c r="EY30" s="277" t="str">
        <f>ZahlenInBereich(Tabelle1[[Empfehlung6]:[Werkzeug8]],ROW()-5)</f>
        <v/>
      </c>
      <c r="EZ30" s="277" t="str">
        <f t="shared" si="9"/>
        <v/>
      </c>
      <c r="FA30" s="277" t="str">
        <f t="shared" si="10"/>
        <v/>
      </c>
      <c r="FB30" s="277" t="str">
        <f t="shared" si="11"/>
        <v/>
      </c>
      <c r="FC30" s="277" t="str">
        <f>ZahlenInBereich(Tabelle1[[Empfehlung10]:[Werkzeug12]],ROW()-5)</f>
        <v/>
      </c>
      <c r="FD30" s="277" t="str">
        <f t="shared" si="12"/>
        <v/>
      </c>
      <c r="FE30" s="277" t="str">
        <f t="shared" si="13"/>
        <v/>
      </c>
      <c r="FF30" s="277" t="str">
        <f t="shared" si="14"/>
        <v/>
      </c>
      <c r="FG30" s="277" t="str">
        <f>ZahlenInBereich(Tabelle1[[Empfehlung14]:[Werkzeug16]],ROW()-5)</f>
        <v/>
      </c>
      <c r="FH30" s="277" t="str">
        <f t="shared" si="15"/>
        <v/>
      </c>
      <c r="FI30" s="277" t="str">
        <f t="shared" si="16"/>
        <v/>
      </c>
      <c r="FJ30" s="277" t="str">
        <f t="shared" si="17"/>
        <v/>
      </c>
      <c r="FK30" s="277" t="str">
        <f>ZahlenInBereich(Tabelle1[[Empfehlung18]:[Werkzeug20]],ROW()-5)</f>
        <v/>
      </c>
      <c r="FL30" s="277" t="str">
        <f t="shared" si="18"/>
        <v/>
      </c>
      <c r="FM30" s="277" t="str">
        <f t="shared" si="19"/>
        <v/>
      </c>
      <c r="FN30" s="277" t="str">
        <f t="shared" si="20"/>
        <v/>
      </c>
      <c r="FO30" s="277" t="str">
        <f>ZahlenInBereich(Tabelle1[[Empfehlung22]:[Werkzeug24]],ROW()-5)</f>
        <v/>
      </c>
      <c r="FP30" s="277" t="str">
        <f t="shared" si="21"/>
        <v/>
      </c>
      <c r="FQ30" s="277" t="str">
        <f t="shared" si="22"/>
        <v/>
      </c>
      <c r="FR30" s="277" t="str">
        <f t="shared" si="23"/>
        <v/>
      </c>
      <c r="FS30" s="277" t="str">
        <f>ZahlenInBereich(Tabelle1[[Empfehlung26]:[Werkzeug28]],ROW()-5)</f>
        <v/>
      </c>
      <c r="FT30" s="277" t="str">
        <f t="shared" si="24"/>
        <v/>
      </c>
      <c r="FU30" s="277" t="str">
        <f t="shared" si="25"/>
        <v/>
      </c>
      <c r="FV30" s="277" t="str">
        <f t="shared" si="26"/>
        <v/>
      </c>
      <c r="FW30" s="277" t="str">
        <f>ZahlenInBereich(Tabelle1[[Empfehlung30]:[Werkzeug32]],ROW()-5)</f>
        <v/>
      </c>
      <c r="FX30" s="277" t="str">
        <f t="shared" si="27"/>
        <v/>
      </c>
      <c r="FY30" s="277" t="str">
        <f t="shared" si="28"/>
        <v/>
      </c>
      <c r="FZ30" s="277" t="str">
        <f t="shared" si="29"/>
        <v/>
      </c>
      <c r="GA30" s="277" t="str">
        <f>ZahlenInBereich(Tabelle1[[Empfehlung34]:[Werkzeug36]],ROW()-5)</f>
        <v/>
      </c>
      <c r="GB30" s="277" t="str">
        <f t="shared" si="30"/>
        <v/>
      </c>
      <c r="GC30" s="277" t="str">
        <f t="shared" si="31"/>
        <v/>
      </c>
      <c r="GD30" s="277" t="str">
        <f t="shared" si="32"/>
        <v/>
      </c>
      <c r="GE30" s="277" t="str">
        <f>ZahlenInBereich(Tabelle1[[Empfehlung38]:[Werkzeug40]],ROW()-5)</f>
        <v/>
      </c>
      <c r="GF30" s="277" t="str">
        <f t="shared" si="33"/>
        <v/>
      </c>
      <c r="GG30" s="277" t="str">
        <f t="shared" si="34"/>
        <v/>
      </c>
      <c r="GH30" s="277" t="str">
        <f t="shared" si="35"/>
        <v/>
      </c>
      <c r="GI30" s="277" t="str">
        <f>ZahlenInBereich(Tabelle1[[Empfehlung42]:[Werkzeug44]],ROW()-5)</f>
        <v/>
      </c>
      <c r="GJ30" s="277" t="str">
        <f t="shared" si="36"/>
        <v/>
      </c>
      <c r="GK30" s="277" t="str">
        <f t="shared" si="37"/>
        <v/>
      </c>
      <c r="GL30" s="277" t="str">
        <f t="shared" si="38"/>
        <v/>
      </c>
      <c r="GM30" s="277" t="str">
        <f>ZahlenInBereich(Tabelle1[[Empfehlung46]:[Werkzeug48]],ROW()-5)</f>
        <v/>
      </c>
      <c r="GN30" s="277" t="str">
        <f t="shared" si="39"/>
        <v/>
      </c>
      <c r="GO30" s="277" t="str">
        <f t="shared" si="40"/>
        <v/>
      </c>
      <c r="GP30" s="277" t="str">
        <f t="shared" si="41"/>
        <v/>
      </c>
      <c r="GQ30" s="277" t="str">
        <f>ZahlenInBereich(Tabelle1[[Empfehlung50]:[Werkzeug52]],ROW()-5)</f>
        <v/>
      </c>
      <c r="GR30" s="277" t="str">
        <f t="shared" si="42"/>
        <v/>
      </c>
      <c r="GS30" s="277" t="str">
        <f t="shared" si="43"/>
        <v/>
      </c>
      <c r="GT30" s="277" t="str">
        <f t="shared" si="44"/>
        <v/>
      </c>
      <c r="GU30" s="277" t="str">
        <f>ZahlenInBereich(Tabelle1[[Empfehlung54]:[Werkzeug56]],ROW()-5)</f>
        <v/>
      </c>
      <c r="GV30" s="277" t="str">
        <f t="shared" si="45"/>
        <v/>
      </c>
      <c r="GW30" s="277" t="str">
        <f t="shared" si="46"/>
        <v/>
      </c>
      <c r="GX30" s="277" t="str">
        <f t="shared" si="47"/>
        <v/>
      </c>
      <c r="GY30" s="277" t="str">
        <f>ZahlenInBereich(Tabelle1[[Empfehlung58]:[Werkzeug60]],ROW()-5)</f>
        <v/>
      </c>
      <c r="GZ30" s="277" t="str">
        <f t="shared" si="48"/>
        <v/>
      </c>
      <c r="HA30" s="277" t="str">
        <f t="shared" si="49"/>
        <v/>
      </c>
      <c r="HB30" s="277" t="str">
        <f t="shared" si="50"/>
        <v/>
      </c>
      <c r="HC30" s="277" t="str">
        <f>ZahlenInBereich(Tabelle1[[Empfehlung62]:[Werkzeug64]],ROW()-5)</f>
        <v/>
      </c>
      <c r="HD30" s="277" t="str">
        <f t="shared" si="51"/>
        <v/>
      </c>
      <c r="HE30" s="277" t="str">
        <f t="shared" si="52"/>
        <v/>
      </c>
      <c r="HF30" s="277" t="str">
        <f t="shared" si="53"/>
        <v/>
      </c>
      <c r="HG30" s="277" t="str">
        <f>ZahlenInBereich(Tabelle1[[Empfehlung66]:[Werkzeug68]],ROW()-5)</f>
        <v/>
      </c>
      <c r="HH30" s="277" t="str">
        <f t="shared" si="54"/>
        <v/>
      </c>
      <c r="HI30" s="277" t="str">
        <f t="shared" si="55"/>
        <v/>
      </c>
      <c r="HJ30" s="277" t="str">
        <f t="shared" si="56"/>
        <v/>
      </c>
      <c r="HK30" s="277" t="str">
        <f>ZahlenInBereich(Tabelle1[[Empfehlung70]:[Werkzeug72]],ROW()-5)</f>
        <v/>
      </c>
      <c r="HL30" s="277" t="str">
        <f t="shared" si="57"/>
        <v/>
      </c>
      <c r="HM30" s="277" t="str">
        <f t="shared" si="58"/>
        <v/>
      </c>
      <c r="HN30" s="277" t="str">
        <f t="shared" si="59"/>
        <v/>
      </c>
      <c r="HO30" s="277" t="str">
        <f>ZahlenInBereich(Tabelle1[[Empfehlung74]:[Werkzeug76]],ROW()-5)</f>
        <v/>
      </c>
    </row>
    <row r="31" spans="2:223" ht="32" x14ac:dyDescent="0.2">
      <c r="B31" s="134">
        <f>'1.4 Analyse &amp; Synthese'!B32</f>
        <v>26</v>
      </c>
      <c r="C31" s="277" t="str">
        <f>IF(AND('1.4 Analyse &amp; Synthese'!Q32=1,'1.4 Analyse &amp; Synthese'!F32="Empfehlung"),'1.4 Analyse &amp; Synthese'!I32&amp;CHAR(13)&amp;"("&amp;'(Codierung)'!$C$2&amp;" - "&amp;'1.4 Analyse &amp; Synthese'!C32&amp;")","")</f>
        <v/>
      </c>
      <c r="D31" s="222" t="str">
        <f t="array" ref="D31">_xlfn.IFNA(INDEX($C$6:$C$66,MATCH(0,COUNTIF($D$4:D30,$C$6:$C$66),0),1),"")</f>
        <v/>
      </c>
      <c r="E31" s="277" t="str">
        <f>IF(AND('1.4 Analyse &amp; Synthese'!Q32=1,'1.4 Analyse &amp; Synthese'!F32="Methode"),'1.4 Analyse &amp; Synthese'!I32&amp;CHAR(13)&amp;"("&amp;'(Codierung)'!$C$3&amp;" - "&amp;'1.4 Analyse &amp; Synthese'!C32&amp;")","")</f>
        <v/>
      </c>
      <c r="F31" s="277" t="str">
        <f t="array" ref="F31">_xlfn.IFNA(INDEX($E$6:$E$66,MATCH(0,COUNTIF($F$4:F30,$E$6:$E$66),0),1),"")</f>
        <v/>
      </c>
      <c r="G31" s="277" t="str">
        <f>IF(AND('1.4 Analyse &amp; Synthese'!Q32=1,'1.4 Analyse &amp; Synthese'!F32="Werkzeug"),'1.4 Analyse &amp; Synthese'!I32&amp;CHAR(13)&amp;"("&amp;'(Codierung)'!$C$4&amp;" - "&amp;'1.4 Analyse &amp; Synthese'!C32&amp;")","")</f>
        <v/>
      </c>
      <c r="H31" s="277" t="str">
        <f t="array" ref="H31">_xlfn.IFNA(INDEX($G$6:$G$66,MATCH(0,COUNTIF($H$4:H30,$G$6:$G$66),0),1),"")</f>
        <v/>
      </c>
      <c r="J31" s="277" t="str">
        <f>IF(AND('1.4 Analyse &amp; Synthese'!R32=1,'1.4 Analyse &amp; Synthese'!F32="Empfehlung"),'1.4 Analyse &amp; Synthese'!I32&amp;CHAR(13)&amp;"("&amp;'(Codierung)'!$C$2&amp;" - "&amp;'1.4 Analyse &amp; Synthese'!C32&amp;")","")</f>
        <v/>
      </c>
      <c r="K31" s="277" t="str">
        <f t="array" ref="K31">_xlfn.IFNA(INDEX($J$6:$J$66,MATCH(0,COUNTIF($K$4:K30,$J$6:$J$66),0),1),"")</f>
        <v/>
      </c>
      <c r="L31" s="277" t="str">
        <f>IF(AND('1.4 Analyse &amp; Synthese'!R32=1,'1.4 Analyse &amp; Synthese'!F32="Methode"),'1.4 Analyse &amp; Synthese'!I32&amp;CHAR(13)&amp;"("&amp;'(Codierung)'!$C$3&amp;" - "&amp;'1.4 Analyse &amp; Synthese'!C32&amp;")","")</f>
        <v/>
      </c>
      <c r="M31" s="277" t="str">
        <f t="array" ref="M31">_xlfn.IFNA(INDEX($L$6:$L$66,MATCH(0,COUNTIF($M$4:M30,$L$6:$L$66),0),1),"")</f>
        <v/>
      </c>
      <c r="N31" s="277" t="str">
        <f>IF(AND('1.4 Analyse &amp; Synthese'!R32=1,'1.4 Analyse &amp; Synthese'!F32="Werkzeug"),'1.4 Analyse &amp; Synthese'!I32&amp;CHAR(13)&amp;"("&amp;'(Codierung)'!$C$4&amp;" - "&amp;'1.4 Analyse &amp; Synthese'!C32&amp;")","")</f>
        <v/>
      </c>
      <c r="O31" s="277" t="str">
        <f t="array" ref="O31">_xlfn.IFNA(INDEX($N$6:$N$66,MATCH(0,COUNTIF($O$4:O30,$N$6:$N$66),0),1),"")</f>
        <v/>
      </c>
      <c r="Q31" s="277" t="str">
        <f>IF(AND('1.4 Analyse &amp; Synthese'!S32=1,'1.4 Analyse &amp; Synthese'!F32="Empfehlung"),'1.4 Analyse &amp; Synthese'!I32&amp;CHAR(13)&amp;"("&amp;'(Codierung)'!$C$2&amp;" - "&amp;'1.4 Analyse &amp; Synthese'!C32&amp;")","")</f>
        <v>Open-Source Plattform_x000D_(Empfehlung - Nodehi)</v>
      </c>
      <c r="R31" s="277" t="str">
        <f t="array" ref="R31">_xlfn.IFNA(INDEX($Q$6:$Q$66,MATCH(0,COUNTIF($R$4:R30,$Q$6:$Q$66),0),1),"")</f>
        <v/>
      </c>
      <c r="S31" s="277" t="str">
        <f>IF(AND('1.4 Analyse &amp; Synthese'!S32=1,'1.4 Analyse &amp; Synthese'!F32="Methode"),'1.4 Analyse &amp; Synthese'!I32&amp;CHAR(13)&amp;"("&amp;'(Codierung)'!$C$3&amp;" - "&amp;'1.4 Analyse &amp; Synthese'!C32&amp;")","")</f>
        <v/>
      </c>
      <c r="T31" s="277" t="str">
        <f t="array" ref="T31">_xlfn.IFNA(INDEX($S$6:$S$66,MATCH(0,COUNTIF($T$4:T30,$S$6:$S$66),0),1),"")</f>
        <v/>
      </c>
      <c r="U31" s="277" t="str">
        <f>IF(AND('1.4 Analyse &amp; Synthese'!S32=1,'1.4 Analyse &amp; Synthese'!F32="Werkzeug"),'1.4 Analyse &amp; Synthese'!I32&amp;CHAR(13)&amp;"("&amp;'(Codierung)'!$C$4&amp;" - "&amp;'1.4 Analyse &amp; Synthese'!C32&amp;")","")</f>
        <v/>
      </c>
      <c r="V31" s="277" t="str">
        <f t="array" ref="V31">_xlfn.IFNA(INDEX($U$6:$U$66,MATCH(0,COUNTIF($V$4:V30,$U$6:$U$66),0),1),"")</f>
        <v/>
      </c>
      <c r="X31" s="277" t="str">
        <f>IF(AND('1.4 Analyse &amp; Synthese'!T32=1,'1.4 Analyse &amp; Synthese'!F32="Empfehlung"),'1.4 Analyse &amp; Synthese'!I32&amp;CHAR(13)&amp;"("&amp;'(Codierung)'!$C$2&amp;" - "&amp;'1.4 Analyse &amp; Synthese'!C32&amp;")","")</f>
        <v/>
      </c>
      <c r="Y31" s="277" t="str">
        <f t="array" ref="Y31">_xlfn.IFNA(INDEX($X$6:$X$66,MATCH(0,COUNTIF($Y$4:Y30,$X$6:$X$66),0),1),"")</f>
        <v/>
      </c>
      <c r="Z31" s="277" t="str">
        <f>IF(AND('1.4 Analyse &amp; Synthese'!T32=1,'1.4 Analyse &amp; Synthese'!F32="Methode"),'1.4 Analyse &amp; Synthese'!I32&amp;CHAR(13)&amp;"("&amp;'(Codierung)'!$C$3&amp;" - "&amp;'1.4 Analyse &amp; Synthese'!C32&amp;")","")</f>
        <v/>
      </c>
      <c r="AA31" s="277" t="str">
        <f t="array" ref="AA31">_xlfn.IFNA(INDEX($Z$6:$Z$66,MATCH(0,COUNTIF($AA$4:AA30,$Z$6:$Z$66),0),1),"")</f>
        <v/>
      </c>
      <c r="AB31" s="277" t="str">
        <f>IF(AND('1.4 Analyse &amp; Synthese'!T32=1,'1.4 Analyse &amp; Synthese'!F32="Werkzeug"),'1.4 Analyse &amp; Synthese'!I32&amp;CHAR(13)&amp;"("&amp;'(Codierung)'!$C$4&amp;" - "&amp;'1.4 Analyse &amp; Synthese'!C32&amp;")","")</f>
        <v/>
      </c>
      <c r="AC31" s="277" t="str">
        <f t="array" ref="AC31">_xlfn.IFNA(INDEX($AB$6:$AB$66,MATCH(0,COUNTIF($AC$4:AC30,$AB$6:$AB$66),0),1),"")</f>
        <v/>
      </c>
      <c r="AE31" s="277" t="str">
        <f>IF(AND('1.4 Analyse &amp; Synthese'!U32=1,'1.4 Analyse &amp; Synthese'!F32="Empfehlung"),'1.4 Analyse &amp; Synthese'!I32&amp;CHAR(13)&amp;"("&amp;'(Codierung)'!$C$2&amp;" - "&amp;'1.4 Analyse &amp; Synthese'!C32&amp;")","")</f>
        <v/>
      </c>
      <c r="AF31" s="277" t="str">
        <f t="array" ref="AF31">_xlfn.IFNA(INDEX($AE$6:$AE$66,MATCH(0,COUNTIF($AF$4:AF30,$AE$6:$AE$66),0),1),"")</f>
        <v/>
      </c>
      <c r="AG31" s="277" t="str">
        <f>IF(AND('1.4 Analyse &amp; Synthese'!U32=1,'1.4 Analyse &amp; Synthese'!F32="Methode"),'1.4 Analyse &amp; Synthese'!I32&amp;CHAR(13)&amp;"("&amp;'(Codierung)'!$C$3&amp;" - "&amp;'1.4 Analyse &amp; Synthese'!C32&amp;")","")</f>
        <v/>
      </c>
      <c r="AH31" s="277" t="str">
        <f t="array" ref="AH31">_xlfn.IFNA(INDEX($AG$6:$AG$66,MATCH(0,COUNTIF($AH$4:AH30,$AG$6:$AG$66),0),1),"")</f>
        <v/>
      </c>
      <c r="AI31" s="277" t="str">
        <f>IF(AND('1.4 Analyse &amp; Synthese'!U32=1,'1.4 Analyse &amp; Synthese'!F32="Werkzeug"),'1.4 Analyse &amp; Synthese'!I32&amp;CHAR(13)&amp;"("&amp;'(Codierung)'!$C$4&amp;" - "&amp;'1.4 Analyse &amp; Synthese'!C32&amp;")","")</f>
        <v/>
      </c>
      <c r="AJ31" s="277" t="str">
        <f t="array" ref="AJ31">_xlfn.IFNA(INDEX($AI$6:$AI$66,MATCH(0,COUNTIF($AJ$4:AJ30,$AI$6:$AI$66),0),1),"")</f>
        <v/>
      </c>
      <c r="AL31" s="277" t="str">
        <f>IF(AND('1.4 Analyse &amp; Synthese'!V32=1,'1.4 Analyse &amp; Synthese'!F32="Empfehlung"),'1.4 Analyse &amp; Synthese'!I32&amp;CHAR(13)&amp;"("&amp;'(Codierung)'!$C$2&amp;" - "&amp;'1.4 Analyse &amp; Synthese'!C32&amp;")","")</f>
        <v/>
      </c>
      <c r="AM31" s="277" t="str">
        <f t="array" ref="AM31">_xlfn.IFNA(INDEX($AL$6:$AL$66,MATCH(0,COUNTIF($AM$4:AM30,$AL$6:$AL$66),0),1),"")</f>
        <v/>
      </c>
      <c r="AN31" s="277" t="str">
        <f>IF(AND('1.4 Analyse &amp; Synthese'!V32=1,'1.4 Analyse &amp; Synthese'!F32="Methode"),'1.4 Analyse &amp; Synthese'!I32&amp;CHAR(13)&amp;"("&amp;'(Codierung)'!$C$3&amp;" - "&amp;'1.4 Analyse &amp; Synthese'!C32&amp;")","")</f>
        <v/>
      </c>
      <c r="AO31" s="277" t="str">
        <f t="array" ref="AO31">_xlfn.IFNA(INDEX($AN$6:$AN$66,MATCH(0,COUNTIF($AO$4:AO30,$AN$6:$AN$66),0),1),"")</f>
        <v/>
      </c>
      <c r="AP31" s="277" t="str">
        <f>IF(AND('1.4 Analyse &amp; Synthese'!V32=1,'1.4 Analyse &amp; Synthese'!F32="Werkzeug"),'1.4 Analyse &amp; Synthese'!I32&amp;CHAR(13)&amp;"("&amp;'(Codierung)'!$C$4&amp;" - "&amp;'1.4 Analyse &amp; Synthese'!C32&amp;")","")</f>
        <v/>
      </c>
      <c r="AQ31" s="277" t="str">
        <f t="array" ref="AQ31">_xlfn.IFNA(INDEX($AP$6:$AP$66,MATCH(0,COUNTIF($AQ$4:AQ30,$AP$6:$AP$66),0),1),"")</f>
        <v/>
      </c>
      <c r="AS31" s="277" t="str">
        <f>IF(AND('1.4 Analyse &amp; Synthese'!W32=1,'1.4 Analyse &amp; Synthese'!F32="Empfehlung"),'1.4 Analyse &amp; Synthese'!I32&amp;CHAR(13)&amp;"("&amp;'(Codierung)'!$C$2&amp;" - "&amp;'1.4 Analyse &amp; Synthese'!C32&amp;")","")</f>
        <v/>
      </c>
      <c r="AT31" s="277" t="str">
        <f t="array" ref="AT31">_xlfn.IFNA(INDEX($AS$6:$AS$66,MATCH(0,COUNTIF($AT$4:AT30,$AS$6:$AS$66),0),1),"")</f>
        <v/>
      </c>
      <c r="AU31" s="277" t="str">
        <f>IF(AND('1.4 Analyse &amp; Synthese'!W32=1,'1.4 Analyse &amp; Synthese'!F32="Methode"),'1.4 Analyse &amp; Synthese'!I32&amp;CHAR(13)&amp;"("&amp;'(Codierung)'!$C$3&amp;" - "&amp;'1.4 Analyse &amp; Synthese'!C32&amp;")","")</f>
        <v/>
      </c>
      <c r="AV31" s="277" t="str">
        <f t="array" ref="AV31">_xlfn.IFNA(INDEX($AU$6:$AU$66,MATCH(0,COUNTIF($AV$4:AV30,$AU$6:$AU$66),0),1),"")</f>
        <v/>
      </c>
      <c r="AW31" s="277" t="str">
        <f>IF(AND('1.4 Analyse &amp; Synthese'!W32=1,'1.4 Analyse &amp; Synthese'!F32="Werkzeug"),'1.4 Analyse &amp; Synthese'!I32&amp;CHAR(13)&amp;"("&amp;'(Codierung)'!$C$4&amp;" - "&amp;'1.4 Analyse &amp; Synthese'!C32&amp;")","")</f>
        <v/>
      </c>
      <c r="AX31" s="277" t="str">
        <f t="array" ref="AX31">_xlfn.IFNA(INDEX($AW$6:$AW$66,MATCH(0,COUNTIF($AX$4:AX30,$AW$6:$AW$66),0),1),"")</f>
        <v/>
      </c>
      <c r="AZ31" s="277" t="str">
        <f>IF(AND('1.4 Analyse &amp; Synthese'!X32=1,'1.4 Analyse &amp; Synthese'!F32="Empfehlung"),'1.4 Analyse &amp; Synthese'!I32&amp;CHAR(13)&amp;"("&amp;'(Codierung)'!$C$2&amp;" - "&amp;'1.4 Analyse &amp; Synthese'!C32&amp;")","")</f>
        <v/>
      </c>
      <c r="BA31" s="277" t="str">
        <f t="array" ref="BA31">_xlfn.IFNA(INDEX($AZ$6:$AZ$66,MATCH(0,COUNTIF($BA$4:BA30,$AZ$6:$AZ$66),0),1),"")</f>
        <v/>
      </c>
      <c r="BB31" s="277" t="str">
        <f>IF(AND('1.4 Analyse &amp; Synthese'!X32=1,'1.4 Analyse &amp; Synthese'!F32="Methode"),'1.4 Analyse &amp; Synthese'!I32&amp;CHAR(13)&amp;"("&amp;'(Codierung)'!$C$3&amp;" - "&amp;'1.4 Analyse &amp; Synthese'!C32&amp;")","")</f>
        <v/>
      </c>
      <c r="BC31" s="277" t="str">
        <f t="array" ref="BC31">_xlfn.IFNA(INDEX($BB$6:$BB$66,MATCH(0,COUNTIF($BC$4:BC30,$BB$6:$BB$66),0),1),"")</f>
        <v/>
      </c>
      <c r="BD31" s="277" t="str">
        <f>IF(AND('1.4 Analyse &amp; Synthese'!X32=1,'1.4 Analyse &amp; Synthese'!F32="Werkzeug"),'1.4 Analyse &amp; Synthese'!I32&amp;CHAR(13)&amp;"("&amp;'(Codierung)'!$C$4&amp;" - "&amp;'1.4 Analyse &amp; Synthese'!C32&amp;")","")</f>
        <v/>
      </c>
      <c r="BE31" s="277" t="str">
        <f t="array" ref="BE31">_xlfn.IFNA(INDEX($BD$6:$BD$66,MATCH(0,COUNTIF($BE$4:BE30,$BD$6:$BD$66),0),1),"")</f>
        <v/>
      </c>
      <c r="BG31" s="277" t="str">
        <f>IF(AND('1.4 Analyse &amp; Synthese'!Y32=1,'1.4 Analyse &amp; Synthese'!F32="Empfehlung"),'1.4 Analyse &amp; Synthese'!I32&amp;CHAR(13)&amp;"("&amp;'(Codierung)'!$C$2&amp;" - "&amp;'1.4 Analyse &amp; Synthese'!C32&amp;")","")</f>
        <v/>
      </c>
      <c r="BH31" s="277" t="str">
        <f t="array" ref="BH31">_xlfn.IFNA(INDEX($BG$6:$BG$66,MATCH(0,COUNTIF($BH$4:BH30,$BG$6:$BG$66),0),1),"")</f>
        <v/>
      </c>
      <c r="BI31" s="277" t="str">
        <f>IF(AND('1.4 Analyse &amp; Synthese'!Y32=1,'1.4 Analyse &amp; Synthese'!F32="Methode"),'1.4 Analyse &amp; Synthese'!I32&amp;CHAR(13)&amp;"("&amp;'(Codierung)'!$C$3&amp;" - "&amp;'1.4 Analyse &amp; Synthese'!C32&amp;")","")</f>
        <v/>
      </c>
      <c r="BJ31" s="277" t="str">
        <f t="array" ref="BJ31">_xlfn.IFNA(INDEX($BI$6:$BI$66,MATCH(0,COUNTIF($BJ$4:BJ30,$BI$6:$BI$66),0),1),"")</f>
        <v/>
      </c>
      <c r="BK31" s="277" t="str">
        <f>IF(AND('1.4 Analyse &amp; Synthese'!Y32=1,'1.4 Analyse &amp; Synthese'!F32="Werkzeug"),'1.4 Analyse &amp; Synthese'!I32&amp;CHAR(13)&amp;"("&amp;'(Codierung)'!$C$4&amp;" - "&amp;'1.4 Analyse &amp; Synthese'!C32&amp;")","")</f>
        <v/>
      </c>
      <c r="BL31" s="277" t="str">
        <f t="array" ref="BL31">_xlfn.IFNA(INDEX($BK$6:$BK$66,MATCH(0,COUNTIF($BL$4:BL30,$BK$6:$BK$66),0),1),"")</f>
        <v/>
      </c>
      <c r="BN31" s="277" t="str">
        <f>IF(AND('1.4 Analyse &amp; Synthese'!Z32=1,'1.4 Analyse &amp; Synthese'!F32="Empfehlung"),'1.4 Analyse &amp; Synthese'!I32&amp;CHAR(13)&amp;"("&amp;'(Codierung)'!$C$2&amp;" - "&amp;'1.4 Analyse &amp; Synthese'!C32&amp;")","")</f>
        <v/>
      </c>
      <c r="BO31" s="277" t="str">
        <f t="array" ref="BO31">_xlfn.IFNA(INDEX($BN$6:$BN$66,MATCH(0,COUNTIF($BO$4:BO30,$BN$6:$BN$66),0),1),"")</f>
        <v/>
      </c>
      <c r="BP31" s="277" t="str">
        <f>IF(AND('1.4 Analyse &amp; Synthese'!Z32=1,'1.4 Analyse &amp; Synthese'!F32="Methode"),'1.4 Analyse &amp; Synthese'!I32&amp;CHAR(13)&amp;"("&amp;'(Codierung)'!$C$3&amp;" - "&amp;'1.4 Analyse &amp; Synthese'!C32&amp;")","")</f>
        <v/>
      </c>
      <c r="BQ31" s="277" t="str">
        <f t="array" ref="BQ31">_xlfn.IFNA(INDEX($BP$6:$BP$66,MATCH(0,COUNTIF($BQ$4:BQ30,$BP$6:$BP$66),0),1),"")</f>
        <v/>
      </c>
      <c r="BR31" s="277" t="str">
        <f>IF(AND('1.4 Analyse &amp; Synthese'!Z32=1,'1.4 Analyse &amp; Synthese'!F32="Werkzeug"),'1.4 Analyse &amp; Synthese'!I32&amp;CHAR(13)&amp;"("&amp;'(Codierung)'!$C$4&amp;" - "&amp;'1.4 Analyse &amp; Synthese'!C32&amp;")","")</f>
        <v/>
      </c>
      <c r="BS31" s="277" t="str">
        <f t="array" ref="BS31">_xlfn.IFNA(INDEX($BR$6:$BR$66,MATCH(0,COUNTIF($BS$4:BS30,$BR$6:$BR$66),0),1),"")</f>
        <v/>
      </c>
      <c r="BU31" s="277" t="str">
        <f>IF(AND('1.4 Analyse &amp; Synthese'!AA32=1,'1.4 Analyse &amp; Synthese'!F32="Empfehlung"),'1.4 Analyse &amp; Synthese'!I32&amp;CHAR(13)&amp;"("&amp;'(Codierung)'!$C$2&amp;" - "&amp;'1.4 Analyse &amp; Synthese'!C32&amp;")","")</f>
        <v/>
      </c>
      <c r="BV31" s="277" t="str">
        <f t="array" ref="BV31">_xlfn.IFNA(INDEX($BU$6:$BU$66,MATCH(0,COUNTIF($BV$4:BV30,$BU$6:$BU$66),0),1),"")</f>
        <v/>
      </c>
      <c r="BW31" s="277" t="str">
        <f>IF(AND('1.4 Analyse &amp; Synthese'!AA32=1,'1.4 Analyse &amp; Synthese'!F32="Methode"),'1.4 Analyse &amp; Synthese'!I32&amp;CHAR(13)&amp;"("&amp;'(Codierung)'!$C$3&amp;" - "&amp;'1.4 Analyse &amp; Synthese'!C32&amp;")","")</f>
        <v/>
      </c>
      <c r="BX31" s="277" t="str">
        <f t="array" ref="BX31">_xlfn.IFNA(INDEX($BW$6:$BW$66,MATCH(0,COUNTIF($BX$4:BX30,$BW$6:$BW$66),0),1),"")</f>
        <v/>
      </c>
      <c r="BY31" s="277" t="str">
        <f>IF(AND('1.4 Analyse &amp; Synthese'!AA32=1,'1.4 Analyse &amp; Synthese'!F32="Werkzeug"),'1.4 Analyse &amp; Synthese'!I32&amp;CHAR(13)&amp;"("&amp;'(Codierung)'!$C$4&amp;" - "&amp;'1.4 Analyse &amp; Synthese'!C32&amp;")","")</f>
        <v/>
      </c>
      <c r="BZ31" s="277" t="str">
        <f t="array" ref="BZ31">_xlfn.IFNA(INDEX($BY$6:$BY$66,MATCH(0,COUNTIF($BZ$4:BZ30,$BY$6:$BY$66),0),1),"")</f>
        <v/>
      </c>
      <c r="CB31" s="277" t="str">
        <f>IF(AND('1.4 Analyse &amp; Synthese'!AB32=1,'1.4 Analyse &amp; Synthese'!F32="Empfehlung"),'1.4 Analyse &amp; Synthese'!I32&amp;CHAR(13)&amp;"("&amp;'(Codierung)'!$C$2&amp;" - "&amp;'1.4 Analyse &amp; Synthese'!C32&amp;")","")</f>
        <v/>
      </c>
      <c r="CC31" s="277" t="str">
        <f t="array" ref="CC31">_xlfn.IFNA(INDEX($CB$6:$CB$66,MATCH(0,COUNTIF($CC$4:CC30,$CB$6:$CB$66),0),1),"")</f>
        <v/>
      </c>
      <c r="CD31" s="277" t="str">
        <f>IF(AND('1.4 Analyse &amp; Synthese'!AB32=1,'1.4 Analyse &amp; Synthese'!F32="Methode"),'1.4 Analyse &amp; Synthese'!I32&amp;CHAR(13)&amp;"("&amp;'(Codierung)'!$C$3&amp;" - "&amp;'1.4 Analyse &amp; Synthese'!C32&amp;")","")</f>
        <v/>
      </c>
      <c r="CE31" s="277" t="str">
        <f t="array" ref="CE31">_xlfn.IFNA(INDEX($CD$6:$CD$66,MATCH(0,COUNTIF($CE$4:CE30,$CD$6:$CD$66),0),1),"")</f>
        <v/>
      </c>
      <c r="CF31" s="277" t="str">
        <f>IF(AND('1.4 Analyse &amp; Synthese'!AB32=1,'1.4 Analyse &amp; Synthese'!F32="Werkzeug"),'1.4 Analyse &amp; Synthese'!I32&amp;CHAR(13)&amp;"("&amp;'(Codierung)'!$C$4&amp;" - "&amp;'1.4 Analyse &amp; Synthese'!C32&amp;")","")</f>
        <v/>
      </c>
      <c r="CG31" s="277" t="str">
        <f t="array" ref="CG31">_xlfn.IFNA(INDEX($CF$6:$CF$66,MATCH(0,COUNTIF($CG$4:CG30,$CF$6:$CF$66),0),1),"")</f>
        <v/>
      </c>
      <c r="CI31" s="277" t="str">
        <f>IF(AND('1.4 Analyse &amp; Synthese'!AC32=1,'1.4 Analyse &amp; Synthese'!F32="Empfehlung"),'1.4 Analyse &amp; Synthese'!I32&amp;CHAR(13)&amp;"("&amp;'(Codierung)'!$C$2&amp;" - "&amp;'1.4 Analyse &amp; Synthese'!C32&amp;")","")</f>
        <v/>
      </c>
      <c r="CJ31" s="277" t="str">
        <f t="array" ref="CJ31">_xlfn.IFNA(INDEX($CI$6:$CI$66,MATCH(0,COUNTIF($CJ$4:CJ30,$CI$6:$CI$66),0),1),"")</f>
        <v/>
      </c>
      <c r="CK31" s="277" t="str">
        <f>IF(AND('1.4 Analyse &amp; Synthese'!AC32=1,'1.4 Analyse &amp; Synthese'!F32="Methode"),'1.4 Analyse &amp; Synthese'!I32&amp;CHAR(13)&amp;"("&amp;'(Codierung)'!$C$3&amp;" - "&amp;'1.4 Analyse &amp; Synthese'!C32&amp;")","")</f>
        <v/>
      </c>
      <c r="CL31" s="277" t="str">
        <f t="array" ref="CL31">_xlfn.IFNA(INDEX($CK$6:$CK$66,MATCH(0,COUNTIF($CL$4:CL30,$CK$6:$CK$66),0),1),"")</f>
        <v/>
      </c>
      <c r="CM31" s="277" t="str">
        <f>IF(AND('1.4 Analyse &amp; Synthese'!AC32=1,'1.4 Analyse &amp; Synthese'!F32="Werkzeug"),'1.4 Analyse &amp; Synthese'!I32&amp;CHAR(13)&amp;"("&amp;'(Codierung)'!$C$4&amp;" - "&amp;'1.4 Analyse &amp; Synthese'!C32&amp;")","")</f>
        <v/>
      </c>
      <c r="CN31" s="277" t="str">
        <f t="array" ref="CN31">_xlfn.IFNA(INDEX($CM$6:$CM$66,MATCH(0,COUNTIF($CN$4:CN30,$CM$6:$CM$66),0),1),"")</f>
        <v/>
      </c>
      <c r="CP31" s="277" t="str">
        <f>IF(AND('1.4 Analyse &amp; Synthese'!AD32=1,'1.4 Analyse &amp; Synthese'!F32="Empfehlung"),'1.4 Analyse &amp; Synthese'!I32&amp;CHAR(13)&amp;"("&amp;'(Codierung)'!$C$2&amp;" - "&amp;'1.4 Analyse &amp; Synthese'!C32&amp;")","")</f>
        <v/>
      </c>
      <c r="CQ31" s="277" t="str">
        <f t="array" ref="CQ31">_xlfn.IFNA(INDEX($CP$6:$CP$66,MATCH(0,COUNTIF($CQ$4:CQ30,$CP$6:$CP$66),0),1),"")</f>
        <v/>
      </c>
      <c r="CR31" s="277" t="str">
        <f>IF(AND('1.4 Analyse &amp; Synthese'!AD32=1,'1.4 Analyse &amp; Synthese'!F32="Methode"),'1.4 Analyse &amp; Synthese'!I32&amp;CHAR(13)&amp;"("&amp;'(Codierung)'!$C$3&amp;" - "&amp;'1.4 Analyse &amp; Synthese'!C32&amp;")","")</f>
        <v/>
      </c>
      <c r="CS31" s="277" t="str">
        <f t="array" ref="CS31">_xlfn.IFNA(INDEX($CR$6:$CR$66,MATCH(0,COUNTIF($CS$4:CS30,$CR$6:$CR$66),0),1),"")</f>
        <v/>
      </c>
      <c r="CT31" s="277" t="str">
        <f>IF(AND('1.4 Analyse &amp; Synthese'!AD32=1,'1.4 Analyse &amp; Synthese'!F32="Werkzeug"),'1.4 Analyse &amp; Synthese'!I32&amp;CHAR(13)&amp;"("&amp;'(Codierung)'!$C$4&amp;" - "&amp;'1.4 Analyse &amp; Synthese'!C32&amp;")","")</f>
        <v/>
      </c>
      <c r="CU31" s="277" t="str">
        <f t="array" ref="CU31">_xlfn.IFNA(INDEX($CT$6:$CT$66,MATCH(0,COUNTIF($CU$4:CU30,$CT$6:$CT$66),0),1),"")</f>
        <v/>
      </c>
      <c r="CW31" s="277" t="str">
        <f>IF(AND('1.4 Analyse &amp; Synthese'!AE32=1,'1.4 Analyse &amp; Synthese'!F32="Empfehlung"),'1.4 Analyse &amp; Synthese'!I32&amp;CHAR(13)&amp;"("&amp;'(Codierung)'!$C$2&amp;" - "&amp;'1.4 Analyse &amp; Synthese'!C32&amp;")","")</f>
        <v>Open-Source Plattform_x000D_(Empfehlung - Nodehi)</v>
      </c>
      <c r="CX31" s="277" t="str">
        <f t="array" ref="CX31">_xlfn.IFNA(INDEX($CW$6:$CW$66,MATCH(0,COUNTIF($CX$4:CX30,$CW$6:$CW$66),0),1),"")</f>
        <v/>
      </c>
      <c r="CY31" s="277" t="str">
        <f>IF(AND('1.4 Analyse &amp; Synthese'!AE32=1,'1.4 Analyse &amp; Synthese'!F32="Methode"),'1.4 Analyse &amp; Synthese'!I32&amp;CHAR(13)&amp;"("&amp;'(Codierung)'!$C$3&amp;" - "&amp;'1.4 Analyse &amp; Synthese'!C32&amp;")","")</f>
        <v/>
      </c>
      <c r="CZ31" s="277" t="str">
        <f t="array" ref="CZ31">_xlfn.IFNA(INDEX($CY$6:$CY$66,MATCH(0,COUNTIF($CZ$4:CZ30,$CY$6:$CY$66),0),1),"")</f>
        <v/>
      </c>
      <c r="DA31" s="277" t="str">
        <f>IF(AND('1.4 Analyse &amp; Synthese'!AE32=1,'1.4 Analyse &amp; Synthese'!F32="Werkzeug"),'1.4 Analyse &amp; Synthese'!I32&amp;CHAR(13)&amp;"("&amp;'(Codierung)'!$C$4&amp;" - "&amp;'1.4 Analyse &amp; Synthese'!C32&amp;")","")</f>
        <v/>
      </c>
      <c r="DB31" s="277" t="str">
        <f t="array" ref="DB31">_xlfn.IFNA(INDEX($DA$6:$DA$66,MATCH(0,COUNTIF($DB$4:DB30,$DA$6:$DA$66),0),1),"")</f>
        <v/>
      </c>
      <c r="DD31" s="277" t="str">
        <f>IF(AND('1.4 Analyse &amp; Synthese'!AF32=1,'1.4 Analyse &amp; Synthese'!F32="Empfehlung"),'1.4 Analyse &amp; Synthese'!I32&amp;CHAR(13)&amp;"("&amp;'(Codierung)'!$C$2&amp;" - "&amp;'1.4 Analyse &amp; Synthese'!C32&amp;")","")</f>
        <v/>
      </c>
      <c r="DE31" s="277" t="str">
        <f t="array" ref="DE31">_xlfn.IFNA(INDEX($DD$6:$DD$66,MATCH(0,COUNTIF($DE$4:DE30,$DD$6:$DD$66),0),1),"")</f>
        <v/>
      </c>
      <c r="DF31" s="277" t="str">
        <f>IF(AND('1.4 Analyse &amp; Synthese'!AF32=1,'1.4 Analyse &amp; Synthese'!F32="Methode"),'1.4 Analyse &amp; Synthese'!I32&amp;CHAR(13)&amp;"("&amp;'(Codierung)'!$C$3&amp;" - "&amp;'1.4 Analyse &amp; Synthese'!C32&amp;")","")</f>
        <v/>
      </c>
      <c r="DG31" s="277" t="str">
        <f t="array" ref="DG31">_xlfn.IFNA(INDEX($DF$6:$DF$66,MATCH(0,COUNTIF($DG$4:DG30,$DF$6:$DF$66),0),1),"")</f>
        <v/>
      </c>
      <c r="DH31" s="277" t="str">
        <f>IF(AND('1.4 Analyse &amp; Synthese'!AF32=1,'1.4 Analyse &amp; Synthese'!F32="Werkzeug"),'1.4 Analyse &amp; Synthese'!I32&amp;CHAR(13)&amp;"("&amp;'(Codierung)'!$C$4&amp;" - "&amp;'1.4 Analyse &amp; Synthese'!C32&amp;")","")</f>
        <v/>
      </c>
      <c r="DI31" s="277" t="str">
        <f t="array" ref="DI31">_xlfn.IFNA(INDEX($DH$6:$DH$66,MATCH(0,COUNTIF($DI$4:DI30,$DH$6:$DH$66),0),1),"")</f>
        <v/>
      </c>
      <c r="DK31" s="277" t="str">
        <f>IF(AND('1.4 Analyse &amp; Synthese'!AG32=1,'1.4 Analyse &amp; Synthese'!F32="Empfehlung"),'1.4 Analyse &amp; Synthese'!I32&amp;CHAR(13)&amp;"("&amp;'(Codierung)'!$C$2&amp;" - "&amp;'1.4 Analyse &amp; Synthese'!C32&amp;")","")</f>
        <v>Open-Source Plattform_x000D_(Empfehlung - Nodehi)</v>
      </c>
      <c r="DL31" s="277" t="str">
        <f t="array" ref="DL31">_xlfn.IFNA(INDEX($DK$6:$DK$66,MATCH(0,COUNTIF($DL$4:DL30,$DK$6:$DK$66),0),1),"")</f>
        <v/>
      </c>
      <c r="DM31" s="277" t="str">
        <f>IF(AND('1.4 Analyse &amp; Synthese'!AG32=1,'1.4 Analyse &amp; Synthese'!F32="Methode"),'1.4 Analyse &amp; Synthese'!I32&amp;CHAR(13)&amp;"("&amp;'(Codierung)'!$C$3&amp;" - "&amp;'1.4 Analyse &amp; Synthese'!C32&amp;")","")</f>
        <v/>
      </c>
      <c r="DN31" s="277" t="str">
        <f t="array" ref="DN31">_xlfn.IFNA(INDEX($DM$6:$DM$66,MATCH(0,COUNTIF($DN$4:DN30,$DM$6:$DM$66),0),1),"")</f>
        <v/>
      </c>
      <c r="DO31" s="277" t="str">
        <f>IF(AND('1.4 Analyse &amp; Synthese'!AG32=1,'1.4 Analyse &amp; Synthese'!F32="Werkzeug"),'1.4 Analyse &amp; Synthese'!I32&amp;CHAR(13)&amp;"("&amp;'(Codierung)'!$C$4&amp;" - "&amp;'1.4 Analyse &amp; Synthese'!C32&amp;")","")</f>
        <v/>
      </c>
      <c r="DP31" s="277" t="str">
        <f t="array" ref="DP31">_xlfn.IFNA(INDEX($DO$6:$DO$66,MATCH(0,COUNTIF($DP$4:DP30,$DO$6:$DO$66),0),1),"")</f>
        <v/>
      </c>
      <c r="DR31" s="277" t="str">
        <f>IF(AND('1.4 Analyse &amp; Synthese'!AH32=1,'1.4 Analyse &amp; Synthese'!F32="Empfehlung"),'1.4 Analyse &amp; Synthese'!I32&amp;CHAR(13)&amp;"("&amp;'(Codierung)'!$C$2&amp;" - "&amp;'1.4 Analyse &amp; Synthese'!C32&amp;")","")</f>
        <v/>
      </c>
      <c r="DS31" s="277" t="str">
        <f t="array" ref="DS31">_xlfn.IFNA(INDEX($DR$6:$DR$66,MATCH(0,COUNTIF($DS$4:DS30,$DR$6:$DR$66),0),1),"")</f>
        <v/>
      </c>
      <c r="DT31" s="277" t="str">
        <f>IF(AND('1.4 Analyse &amp; Synthese'!AH32=1,'1.4 Analyse &amp; Synthese'!F32="Methode"),'1.4 Analyse &amp; Synthese'!I32&amp;CHAR(13)&amp;"("&amp;'(Codierung)'!$C$3&amp;" - "&amp;'1.4 Analyse &amp; Synthese'!C32&amp;")","")</f>
        <v/>
      </c>
      <c r="DU31" s="277" t="str">
        <f t="array" ref="DU31">_xlfn.IFNA(INDEX($DT$6:$DT$66,MATCH(0,COUNTIF($DU$4:DU30,$DT$6:$DT$66),0),1),"")</f>
        <v/>
      </c>
      <c r="DV31" s="277" t="str">
        <f>IF(AND('1.4 Analyse &amp; Synthese'!AH32=1,'1.4 Analyse &amp; Synthese'!F32="Werkzeug"),'1.4 Analyse &amp; Synthese'!I32&amp;CHAR(13)&amp;"("&amp;'(Codierung)'!$C$4&amp;" - "&amp;'1.4 Analyse &amp; Synthese'!C32&amp;")","")</f>
        <v/>
      </c>
      <c r="DW31" s="277" t="str">
        <f t="array" ref="DW31">_xlfn.IFNA(INDEX($DV$6:$DV$66,MATCH(0,COUNTIF($DW$4:DW30,$DV$6:$DV$66),0),1),"")</f>
        <v/>
      </c>
      <c r="DY31" s="277" t="str">
        <f>IF(AND('1.4 Analyse &amp; Synthese'!AI32=1,'1.4 Analyse &amp; Synthese'!F32="Empfehlung"),'1.4 Analyse &amp; Synthese'!I32&amp;CHAR(13)&amp;"("&amp;'(Codierung)'!$C$2&amp;" - "&amp;'1.4 Analyse &amp; Synthese'!C32&amp;")","")</f>
        <v>Open-Source Plattform_x000D_(Empfehlung - Nodehi)</v>
      </c>
      <c r="DZ31" s="277" t="str">
        <f t="array" ref="DZ31">_xlfn.IFNA(INDEX($DY$6:$DY$66,MATCH(0,COUNTIF($DZ$4:DZ30,$DY$6:$DY$66),0),1),"")</f>
        <v/>
      </c>
      <c r="EA31" s="277" t="str">
        <f>IF(AND('1.4 Analyse &amp; Synthese'!AI32=1,'1.4 Analyse &amp; Synthese'!F32="Methode"),'1.4 Analyse &amp; Synthese'!I32&amp;CHAR(13)&amp;"("&amp;'(Codierung)'!$C$3&amp;" - "&amp;'1.4 Analyse &amp; Synthese'!C32&amp;")","")</f>
        <v/>
      </c>
      <c r="EB31" s="277" t="str">
        <f t="array" ref="EB31">_xlfn.IFNA(INDEX($EA$6:$EA$66,MATCH(0,COUNTIF($EB$4:EB30,$EA$6:$EA$66),0),1),"")</f>
        <v/>
      </c>
      <c r="EC31" s="277" t="str">
        <f>IF(AND('1.4 Analyse &amp; Synthese'!AI32=1,'1.4 Analyse &amp; Synthese'!F32="Werkzeug"),'1.4 Analyse &amp; Synthese'!I32&amp;CHAR(13)&amp;"("&amp;'(Codierung)'!$C$4&amp;" - "&amp;'1.4 Analyse &amp; Synthese'!C32&amp;")","")</f>
        <v/>
      </c>
      <c r="ED31" s="277" t="str">
        <f t="array" ref="ED31">_xlfn.IFNA(INDEX($EC$6:$EC$66,MATCH(0,COUNTIF($ED$4:ED30,$EC$6:$EC$66),0),1),"")</f>
        <v/>
      </c>
      <c r="EF31" s="277" t="str">
        <f>IF(AND('1.4 Analyse &amp; Synthese'!AJ32=1,'1.4 Analyse &amp; Synthese'!F32="Empfehlung"),'1.4 Analyse &amp; Synthese'!I32&amp;CHAR(13)&amp;"("&amp;'(Codierung)'!$C$2&amp;" - "&amp;'1.4 Analyse &amp; Synthese'!C32&amp;")","")</f>
        <v/>
      </c>
      <c r="EG31" s="277" t="str">
        <f t="array" ref="EG31">_xlfn.IFNA(INDEX($EF$6:$EF$66,MATCH(0,COUNTIF($EG$4:EG30,$EF$6:$EF$66),0),1),"")</f>
        <v/>
      </c>
      <c r="EH31" s="277" t="str">
        <f>IF(AND('1.4 Analyse &amp; Synthese'!AJ32=1,'1.4 Analyse &amp; Synthese'!F32="Methode"),'1.4 Analyse &amp; Synthese'!I32&amp;CHAR(13)&amp;"("&amp;'(Codierung)'!$C$3&amp;" - "&amp;'1.4 Analyse &amp; Synthese'!C32&amp;")","")</f>
        <v/>
      </c>
      <c r="EI31" s="277" t="str">
        <f t="array" ref="EI31">_xlfn.IFNA(INDEX($EH$6:$EH$66,MATCH(0,COUNTIF($EI$4:EI30,$EH$6:$EH$66),0),1),"")</f>
        <v/>
      </c>
      <c r="EJ31" s="277" t="str">
        <f>IF(AND('1.4 Analyse &amp; Synthese'!AJ32=1,'1.4 Analyse &amp; Synthese'!F32="Werkzeug"),'1.4 Analyse &amp; Synthese'!I32&amp;CHAR(13)&amp;"("&amp;'(Codierung)'!$C$4&amp;" - "&amp;'1.4 Analyse &amp; Synthese'!C32&amp;")","")</f>
        <v/>
      </c>
      <c r="EK31" s="277" t="str">
        <f t="array" ref="EK31">_xlfn.IFNA(INDEX($EJ$6:$EJ$66,MATCH(0,COUNTIF($EK$4:EK30,$EJ$6:$EJ$66),0),1),"")</f>
        <v/>
      </c>
      <c r="EN31" s="222" t="str">
        <f t="shared" si="0"/>
        <v/>
      </c>
      <c r="EO31" s="277" t="str">
        <f t="shared" si="1"/>
        <v/>
      </c>
      <c r="EP31" s="277" t="str">
        <f t="shared" si="2"/>
        <v/>
      </c>
      <c r="EQ31" s="277" t="str">
        <f>ZahlenInBereich(Tabelle1[[Empfehlung]:[Werkzeug]],ROW()-5)</f>
        <v/>
      </c>
      <c r="ER31" s="277" t="str">
        <f t="shared" si="3"/>
        <v/>
      </c>
      <c r="ES31" s="277" t="str">
        <f t="shared" si="4"/>
        <v/>
      </c>
      <c r="ET31" s="277" t="str">
        <f t="shared" si="5"/>
        <v/>
      </c>
      <c r="EU31" s="277" t="str">
        <f>ZahlenInBereich(Tabelle1[[Empfehlung2]:[Werkzeug4]],ROW()-5)</f>
        <v/>
      </c>
      <c r="EV31" s="277" t="str">
        <f t="shared" si="6"/>
        <v/>
      </c>
      <c r="EW31" s="277" t="str">
        <f t="shared" si="7"/>
        <v/>
      </c>
      <c r="EX31" s="277" t="str">
        <f t="shared" si="8"/>
        <v/>
      </c>
      <c r="EY31" s="277" t="str">
        <f>ZahlenInBereich(Tabelle1[[Empfehlung6]:[Werkzeug8]],ROW()-5)</f>
        <v/>
      </c>
      <c r="EZ31" s="277" t="str">
        <f t="shared" si="9"/>
        <v/>
      </c>
      <c r="FA31" s="277" t="str">
        <f t="shared" si="10"/>
        <v/>
      </c>
      <c r="FB31" s="277" t="str">
        <f t="shared" si="11"/>
        <v/>
      </c>
      <c r="FC31" s="277" t="str">
        <f>ZahlenInBereich(Tabelle1[[Empfehlung10]:[Werkzeug12]],ROW()-5)</f>
        <v/>
      </c>
      <c r="FD31" s="277" t="str">
        <f t="shared" si="12"/>
        <v/>
      </c>
      <c r="FE31" s="277" t="str">
        <f t="shared" si="13"/>
        <v/>
      </c>
      <c r="FF31" s="277" t="str">
        <f t="shared" si="14"/>
        <v/>
      </c>
      <c r="FG31" s="277" t="str">
        <f>ZahlenInBereich(Tabelle1[[Empfehlung14]:[Werkzeug16]],ROW()-5)</f>
        <v/>
      </c>
      <c r="FH31" s="277" t="str">
        <f t="shared" si="15"/>
        <v/>
      </c>
      <c r="FI31" s="277" t="str">
        <f t="shared" si="16"/>
        <v/>
      </c>
      <c r="FJ31" s="277" t="str">
        <f t="shared" si="17"/>
        <v/>
      </c>
      <c r="FK31" s="277" t="str">
        <f>ZahlenInBereich(Tabelle1[[Empfehlung18]:[Werkzeug20]],ROW()-5)</f>
        <v/>
      </c>
      <c r="FL31" s="277" t="str">
        <f t="shared" si="18"/>
        <v/>
      </c>
      <c r="FM31" s="277" t="str">
        <f t="shared" si="19"/>
        <v/>
      </c>
      <c r="FN31" s="277" t="str">
        <f t="shared" si="20"/>
        <v/>
      </c>
      <c r="FO31" s="277" t="str">
        <f>ZahlenInBereich(Tabelle1[[Empfehlung22]:[Werkzeug24]],ROW()-5)</f>
        <v/>
      </c>
      <c r="FP31" s="277" t="str">
        <f t="shared" si="21"/>
        <v/>
      </c>
      <c r="FQ31" s="277" t="str">
        <f t="shared" si="22"/>
        <v/>
      </c>
      <c r="FR31" s="277" t="str">
        <f t="shared" si="23"/>
        <v/>
      </c>
      <c r="FS31" s="277" t="str">
        <f>ZahlenInBereich(Tabelle1[[Empfehlung26]:[Werkzeug28]],ROW()-5)</f>
        <v/>
      </c>
      <c r="FT31" s="277" t="str">
        <f t="shared" si="24"/>
        <v/>
      </c>
      <c r="FU31" s="277" t="str">
        <f t="shared" si="25"/>
        <v/>
      </c>
      <c r="FV31" s="277" t="str">
        <f t="shared" si="26"/>
        <v/>
      </c>
      <c r="FW31" s="277" t="str">
        <f>ZahlenInBereich(Tabelle1[[Empfehlung30]:[Werkzeug32]],ROW()-5)</f>
        <v/>
      </c>
      <c r="FX31" s="277" t="str">
        <f t="shared" si="27"/>
        <v/>
      </c>
      <c r="FY31" s="277" t="str">
        <f t="shared" si="28"/>
        <v/>
      </c>
      <c r="FZ31" s="277" t="str">
        <f t="shared" si="29"/>
        <v/>
      </c>
      <c r="GA31" s="277" t="str">
        <f>ZahlenInBereich(Tabelle1[[Empfehlung34]:[Werkzeug36]],ROW()-5)</f>
        <v/>
      </c>
      <c r="GB31" s="277" t="str">
        <f t="shared" si="30"/>
        <v/>
      </c>
      <c r="GC31" s="277" t="str">
        <f t="shared" si="31"/>
        <v/>
      </c>
      <c r="GD31" s="277" t="str">
        <f t="shared" si="32"/>
        <v/>
      </c>
      <c r="GE31" s="277" t="str">
        <f>ZahlenInBereich(Tabelle1[[Empfehlung38]:[Werkzeug40]],ROW()-5)</f>
        <v/>
      </c>
      <c r="GF31" s="277" t="str">
        <f t="shared" si="33"/>
        <v/>
      </c>
      <c r="GG31" s="277" t="str">
        <f t="shared" si="34"/>
        <v/>
      </c>
      <c r="GH31" s="277" t="str">
        <f t="shared" si="35"/>
        <v/>
      </c>
      <c r="GI31" s="277" t="str">
        <f>ZahlenInBereich(Tabelle1[[Empfehlung42]:[Werkzeug44]],ROW()-5)</f>
        <v/>
      </c>
      <c r="GJ31" s="277" t="str">
        <f t="shared" si="36"/>
        <v/>
      </c>
      <c r="GK31" s="277" t="str">
        <f t="shared" si="37"/>
        <v/>
      </c>
      <c r="GL31" s="277" t="str">
        <f t="shared" si="38"/>
        <v/>
      </c>
      <c r="GM31" s="277" t="str">
        <f>ZahlenInBereich(Tabelle1[[Empfehlung46]:[Werkzeug48]],ROW()-5)</f>
        <v/>
      </c>
      <c r="GN31" s="277" t="str">
        <f t="shared" si="39"/>
        <v/>
      </c>
      <c r="GO31" s="277" t="str">
        <f t="shared" si="40"/>
        <v/>
      </c>
      <c r="GP31" s="277" t="str">
        <f t="shared" si="41"/>
        <v/>
      </c>
      <c r="GQ31" s="277" t="str">
        <f>ZahlenInBereich(Tabelle1[[Empfehlung50]:[Werkzeug52]],ROW()-5)</f>
        <v/>
      </c>
      <c r="GR31" s="277" t="str">
        <f t="shared" si="42"/>
        <v/>
      </c>
      <c r="GS31" s="277" t="str">
        <f t="shared" si="43"/>
        <v/>
      </c>
      <c r="GT31" s="277" t="str">
        <f t="shared" si="44"/>
        <v/>
      </c>
      <c r="GU31" s="277" t="str">
        <f>ZahlenInBereich(Tabelle1[[Empfehlung54]:[Werkzeug56]],ROW()-5)</f>
        <v/>
      </c>
      <c r="GV31" s="277" t="str">
        <f t="shared" si="45"/>
        <v/>
      </c>
      <c r="GW31" s="277" t="str">
        <f t="shared" si="46"/>
        <v/>
      </c>
      <c r="GX31" s="277" t="str">
        <f t="shared" si="47"/>
        <v/>
      </c>
      <c r="GY31" s="277" t="str">
        <f>ZahlenInBereich(Tabelle1[[Empfehlung58]:[Werkzeug60]],ROW()-5)</f>
        <v/>
      </c>
      <c r="GZ31" s="277" t="str">
        <f t="shared" si="48"/>
        <v/>
      </c>
      <c r="HA31" s="277" t="str">
        <f t="shared" si="49"/>
        <v/>
      </c>
      <c r="HB31" s="277" t="str">
        <f t="shared" si="50"/>
        <v/>
      </c>
      <c r="HC31" s="277" t="str">
        <f>ZahlenInBereich(Tabelle1[[Empfehlung62]:[Werkzeug64]],ROW()-5)</f>
        <v/>
      </c>
      <c r="HD31" s="277" t="str">
        <f t="shared" si="51"/>
        <v/>
      </c>
      <c r="HE31" s="277" t="str">
        <f t="shared" si="52"/>
        <v/>
      </c>
      <c r="HF31" s="277" t="str">
        <f t="shared" si="53"/>
        <v/>
      </c>
      <c r="HG31" s="277" t="str">
        <f>ZahlenInBereich(Tabelle1[[Empfehlung66]:[Werkzeug68]],ROW()-5)</f>
        <v/>
      </c>
      <c r="HH31" s="277" t="str">
        <f t="shared" si="54"/>
        <v/>
      </c>
      <c r="HI31" s="277" t="str">
        <f t="shared" si="55"/>
        <v/>
      </c>
      <c r="HJ31" s="277" t="str">
        <f t="shared" si="56"/>
        <v/>
      </c>
      <c r="HK31" s="277" t="str">
        <f>ZahlenInBereich(Tabelle1[[Empfehlung70]:[Werkzeug72]],ROW()-5)</f>
        <v/>
      </c>
      <c r="HL31" s="277" t="str">
        <f t="shared" si="57"/>
        <v/>
      </c>
      <c r="HM31" s="277" t="str">
        <f t="shared" si="58"/>
        <v/>
      </c>
      <c r="HN31" s="277" t="str">
        <f t="shared" si="59"/>
        <v/>
      </c>
      <c r="HO31" s="277" t="str">
        <f>ZahlenInBereich(Tabelle1[[Empfehlung74]:[Werkzeug76]],ROW()-5)</f>
        <v/>
      </c>
    </row>
    <row r="32" spans="2:223" ht="32" x14ac:dyDescent="0.2">
      <c r="B32" s="134">
        <f>'1.4 Analyse &amp; Synthese'!B33</f>
        <v>27</v>
      </c>
      <c r="C32" s="277" t="str">
        <f>IF(AND('1.4 Analyse &amp; Synthese'!Q33=1,'1.4 Analyse &amp; Synthese'!F33="Empfehlung"),'1.4 Analyse &amp; Synthese'!I33&amp;CHAR(13)&amp;"("&amp;'(Codierung)'!$C$2&amp;" - "&amp;'1.4 Analyse &amp; Synthese'!C33&amp;")","")</f>
        <v/>
      </c>
      <c r="D32" s="222" t="str">
        <f t="array" ref="D32">_xlfn.IFNA(INDEX($C$6:$C$66,MATCH(0,COUNTIF($D$4:D31,$C$6:$C$66),0),1),"")</f>
        <v/>
      </c>
      <c r="E32" s="277" t="str">
        <f>IF(AND('1.4 Analyse &amp; Synthese'!Q33=1,'1.4 Analyse &amp; Synthese'!F33="Methode"),'1.4 Analyse &amp; Synthese'!I33&amp;CHAR(13)&amp;"("&amp;'(Codierung)'!$C$3&amp;" - "&amp;'1.4 Analyse &amp; Synthese'!C33&amp;")","")</f>
        <v/>
      </c>
      <c r="F32" s="277" t="str">
        <f t="array" ref="F32">_xlfn.IFNA(INDEX($E$6:$E$66,MATCH(0,COUNTIF($F$4:F31,$E$6:$E$66),0),1),"")</f>
        <v/>
      </c>
      <c r="G32" s="277" t="str">
        <f>IF(AND('1.4 Analyse &amp; Synthese'!Q33=1,'1.4 Analyse &amp; Synthese'!F33="Werkzeug"),'1.4 Analyse &amp; Synthese'!I33&amp;CHAR(13)&amp;"("&amp;'(Codierung)'!$C$4&amp;" - "&amp;'1.4 Analyse &amp; Synthese'!C33&amp;")","")</f>
        <v/>
      </c>
      <c r="H32" s="277" t="str">
        <f t="array" ref="H32">_xlfn.IFNA(INDEX($G$6:$G$66,MATCH(0,COUNTIF($H$4:H31,$G$6:$G$66),0),1),"")</f>
        <v/>
      </c>
      <c r="J32" s="277" t="str">
        <f>IF(AND('1.4 Analyse &amp; Synthese'!R33=1,'1.4 Analyse &amp; Synthese'!F33="Empfehlung"),'1.4 Analyse &amp; Synthese'!I33&amp;CHAR(13)&amp;"("&amp;'(Codierung)'!$C$2&amp;" - "&amp;'1.4 Analyse &amp; Synthese'!C33&amp;")","")</f>
        <v/>
      </c>
      <c r="K32" s="277" t="str">
        <f t="array" ref="K32">_xlfn.IFNA(INDEX($J$6:$J$66,MATCH(0,COUNTIF($K$4:K31,$J$6:$J$66),0),1),"")</f>
        <v/>
      </c>
      <c r="L32" s="277" t="str">
        <f>IF(AND('1.4 Analyse &amp; Synthese'!R33=1,'1.4 Analyse &amp; Synthese'!F33="Methode"),'1.4 Analyse &amp; Synthese'!I33&amp;CHAR(13)&amp;"("&amp;'(Codierung)'!$C$3&amp;" - "&amp;'1.4 Analyse &amp; Synthese'!C33&amp;")","")</f>
        <v/>
      </c>
      <c r="M32" s="277" t="str">
        <f t="array" ref="M32">_xlfn.IFNA(INDEX($L$6:$L$66,MATCH(0,COUNTIF($M$4:M31,$L$6:$L$66),0),1),"")</f>
        <v/>
      </c>
      <c r="N32" s="277" t="str">
        <f>IF(AND('1.4 Analyse &amp; Synthese'!R33=1,'1.4 Analyse &amp; Synthese'!F33="Werkzeug"),'1.4 Analyse &amp; Synthese'!I33&amp;CHAR(13)&amp;"("&amp;'(Codierung)'!$C$4&amp;" - "&amp;'1.4 Analyse &amp; Synthese'!C33&amp;")","")</f>
        <v/>
      </c>
      <c r="O32" s="277" t="str">
        <f t="array" ref="O32">_xlfn.IFNA(INDEX($N$6:$N$66,MATCH(0,COUNTIF($O$4:O31,$N$6:$N$66),0),1),"")</f>
        <v/>
      </c>
      <c r="Q32" s="277" t="str">
        <f>IF(AND('1.4 Analyse &amp; Synthese'!S33=1,'1.4 Analyse &amp; Synthese'!F33="Empfehlung"),'1.4 Analyse &amp; Synthese'!I33&amp;CHAR(13)&amp;"("&amp;'(Codierung)'!$C$2&amp;" - "&amp;'1.4 Analyse &amp; Synthese'!C33&amp;")","")</f>
        <v/>
      </c>
      <c r="R32" s="277" t="str">
        <f t="array" ref="R32">_xlfn.IFNA(INDEX($Q$6:$Q$66,MATCH(0,COUNTIF($R$4:R31,$Q$6:$Q$66),0),1),"")</f>
        <v/>
      </c>
      <c r="S32" s="277" t="str">
        <f>IF(AND('1.4 Analyse &amp; Synthese'!S33=1,'1.4 Analyse &amp; Synthese'!F33="Methode"),'1.4 Analyse &amp; Synthese'!I33&amp;CHAR(13)&amp;"("&amp;'(Codierung)'!$C$3&amp;" - "&amp;'1.4 Analyse &amp; Synthese'!C33&amp;")","")</f>
        <v/>
      </c>
      <c r="T32" s="277" t="str">
        <f t="array" ref="T32">_xlfn.IFNA(INDEX($S$6:$S$66,MATCH(0,COUNTIF($T$4:T31,$S$6:$S$66),0),1),"")</f>
        <v/>
      </c>
      <c r="U32" s="277" t="str">
        <f>IF(AND('1.4 Analyse &amp; Synthese'!S33=1,'1.4 Analyse &amp; Synthese'!F33="Werkzeug"),'1.4 Analyse &amp; Synthese'!I33&amp;CHAR(13)&amp;"("&amp;'(Codierung)'!$C$4&amp;" - "&amp;'1.4 Analyse &amp; Synthese'!C33&amp;")","")</f>
        <v/>
      </c>
      <c r="V32" s="277" t="str">
        <f t="array" ref="V32">_xlfn.IFNA(INDEX($U$6:$U$66,MATCH(0,COUNTIF($V$4:V31,$U$6:$U$66),0),1),"")</f>
        <v/>
      </c>
      <c r="X32" s="277" t="str">
        <f>IF(AND('1.4 Analyse &amp; Synthese'!T33=1,'1.4 Analyse &amp; Synthese'!F33="Empfehlung"),'1.4 Analyse &amp; Synthese'!I33&amp;CHAR(13)&amp;"("&amp;'(Codierung)'!$C$2&amp;" - "&amp;'1.4 Analyse &amp; Synthese'!C33&amp;")","")</f>
        <v/>
      </c>
      <c r="Y32" s="277" t="str">
        <f t="array" ref="Y32">_xlfn.IFNA(INDEX($X$6:$X$66,MATCH(0,COUNTIF($Y$4:Y31,$X$6:$X$66),0),1),"")</f>
        <v/>
      </c>
      <c r="Z32" s="277" t="str">
        <f>IF(AND('1.4 Analyse &amp; Synthese'!T33=1,'1.4 Analyse &amp; Synthese'!F33="Methode"),'1.4 Analyse &amp; Synthese'!I33&amp;CHAR(13)&amp;"("&amp;'(Codierung)'!$C$3&amp;" - "&amp;'1.4 Analyse &amp; Synthese'!C33&amp;")","")</f>
        <v/>
      </c>
      <c r="AA32" s="277" t="str">
        <f t="array" ref="AA32">_xlfn.IFNA(INDEX($Z$6:$Z$66,MATCH(0,COUNTIF($AA$4:AA31,$Z$6:$Z$66),0),1),"")</f>
        <v/>
      </c>
      <c r="AB32" s="277" t="str">
        <f>IF(AND('1.4 Analyse &amp; Synthese'!T33=1,'1.4 Analyse &amp; Synthese'!F33="Werkzeug"),'1.4 Analyse &amp; Synthese'!I33&amp;CHAR(13)&amp;"("&amp;'(Codierung)'!$C$4&amp;" - "&amp;'1.4 Analyse &amp; Synthese'!C33&amp;")","")</f>
        <v/>
      </c>
      <c r="AC32" s="277" t="str">
        <f t="array" ref="AC32">_xlfn.IFNA(INDEX($AB$6:$AB$66,MATCH(0,COUNTIF($AC$4:AC31,$AB$6:$AB$66),0),1),"")</f>
        <v/>
      </c>
      <c r="AE32" s="277" t="str">
        <f>IF(AND('1.4 Analyse &amp; Synthese'!U33=1,'1.4 Analyse &amp; Synthese'!F33="Empfehlung"),'1.4 Analyse &amp; Synthese'!I33&amp;CHAR(13)&amp;"("&amp;'(Codierung)'!$C$2&amp;" - "&amp;'1.4 Analyse &amp; Synthese'!C33&amp;")","")</f>
        <v/>
      </c>
      <c r="AF32" s="277" t="str">
        <f t="array" ref="AF32">_xlfn.IFNA(INDEX($AE$6:$AE$66,MATCH(0,COUNTIF($AF$4:AF31,$AE$6:$AE$66),0),1),"")</f>
        <v/>
      </c>
      <c r="AG32" s="277" t="str">
        <f>IF(AND('1.4 Analyse &amp; Synthese'!U33=1,'1.4 Analyse &amp; Synthese'!F33="Methode"),'1.4 Analyse &amp; Synthese'!I33&amp;CHAR(13)&amp;"("&amp;'(Codierung)'!$C$3&amp;" - "&amp;'1.4 Analyse &amp; Synthese'!C33&amp;")","")</f>
        <v/>
      </c>
      <c r="AH32" s="277" t="str">
        <f t="array" ref="AH32">_xlfn.IFNA(INDEX($AG$6:$AG$66,MATCH(0,COUNTIF($AH$4:AH31,$AG$6:$AG$66),0),1),"")</f>
        <v/>
      </c>
      <c r="AI32" s="277" t="str">
        <f>IF(AND('1.4 Analyse &amp; Synthese'!U33=1,'1.4 Analyse &amp; Synthese'!F33="Werkzeug"),'1.4 Analyse &amp; Synthese'!I33&amp;CHAR(13)&amp;"("&amp;'(Codierung)'!$C$4&amp;" - "&amp;'1.4 Analyse &amp; Synthese'!C33&amp;")","")</f>
        <v/>
      </c>
      <c r="AJ32" s="277" t="str">
        <f t="array" ref="AJ32">_xlfn.IFNA(INDEX($AI$6:$AI$66,MATCH(0,COUNTIF($AJ$4:AJ31,$AI$6:$AI$66),0),1),"")</f>
        <v/>
      </c>
      <c r="AL32" s="277" t="str">
        <f>IF(AND('1.4 Analyse &amp; Synthese'!V33=1,'1.4 Analyse &amp; Synthese'!F33="Empfehlung"),'1.4 Analyse &amp; Synthese'!I33&amp;CHAR(13)&amp;"("&amp;'(Codierung)'!$C$2&amp;" - "&amp;'1.4 Analyse &amp; Synthese'!C33&amp;")","")</f>
        <v/>
      </c>
      <c r="AM32" s="277" t="str">
        <f t="array" ref="AM32">_xlfn.IFNA(INDEX($AL$6:$AL$66,MATCH(0,COUNTIF($AM$4:AM31,$AL$6:$AL$66),0),1),"")</f>
        <v/>
      </c>
      <c r="AN32" s="277" t="str">
        <f>IF(AND('1.4 Analyse &amp; Synthese'!V33=1,'1.4 Analyse &amp; Synthese'!F33="Methode"),'1.4 Analyse &amp; Synthese'!I33&amp;CHAR(13)&amp;"("&amp;'(Codierung)'!$C$3&amp;" - "&amp;'1.4 Analyse &amp; Synthese'!C33&amp;")","")</f>
        <v/>
      </c>
      <c r="AO32" s="277" t="str">
        <f t="array" ref="AO32">_xlfn.IFNA(INDEX($AN$6:$AN$66,MATCH(0,COUNTIF($AO$4:AO31,$AN$6:$AN$66),0),1),"")</f>
        <v/>
      </c>
      <c r="AP32" s="277" t="str">
        <f>IF(AND('1.4 Analyse &amp; Synthese'!V33=1,'1.4 Analyse &amp; Synthese'!F33="Werkzeug"),'1.4 Analyse &amp; Synthese'!I33&amp;CHAR(13)&amp;"("&amp;'(Codierung)'!$C$4&amp;" - "&amp;'1.4 Analyse &amp; Synthese'!C33&amp;")","")</f>
        <v/>
      </c>
      <c r="AQ32" s="277" t="str">
        <f t="array" ref="AQ32">_xlfn.IFNA(INDEX($AP$6:$AP$66,MATCH(0,COUNTIF($AQ$4:AQ31,$AP$6:$AP$66),0),1),"")</f>
        <v/>
      </c>
      <c r="AS32" s="277" t="str">
        <f>IF(AND('1.4 Analyse &amp; Synthese'!W33=1,'1.4 Analyse &amp; Synthese'!F33="Empfehlung"),'1.4 Analyse &amp; Synthese'!I33&amp;CHAR(13)&amp;"("&amp;'(Codierung)'!$C$2&amp;" - "&amp;'1.4 Analyse &amp; Synthese'!C33&amp;")","")</f>
        <v>Application Programming Interface_x000D_(Empfehlung - Oprescu)</v>
      </c>
      <c r="AT32" s="277" t="str">
        <f t="array" ref="AT32">_xlfn.IFNA(INDEX($AS$6:$AS$66,MATCH(0,COUNTIF($AT$4:AT31,$AS$6:$AS$66),0),1),"")</f>
        <v/>
      </c>
      <c r="AU32" s="277" t="str">
        <f>IF(AND('1.4 Analyse &amp; Synthese'!W33=1,'1.4 Analyse &amp; Synthese'!F33="Methode"),'1.4 Analyse &amp; Synthese'!I33&amp;CHAR(13)&amp;"("&amp;'(Codierung)'!$C$3&amp;" - "&amp;'1.4 Analyse &amp; Synthese'!C33&amp;")","")</f>
        <v/>
      </c>
      <c r="AV32" s="277" t="str">
        <f t="array" ref="AV32">_xlfn.IFNA(INDEX($AU$6:$AU$66,MATCH(0,COUNTIF($AV$4:AV31,$AU$6:$AU$66),0),1),"")</f>
        <v/>
      </c>
      <c r="AW32" s="277" t="str">
        <f>IF(AND('1.4 Analyse &amp; Synthese'!W33=1,'1.4 Analyse &amp; Synthese'!F33="Werkzeug"),'1.4 Analyse &amp; Synthese'!I33&amp;CHAR(13)&amp;"("&amp;'(Codierung)'!$C$4&amp;" - "&amp;'1.4 Analyse &amp; Synthese'!C33&amp;")","")</f>
        <v/>
      </c>
      <c r="AX32" s="277" t="str">
        <f t="array" ref="AX32">_xlfn.IFNA(INDEX($AW$6:$AW$66,MATCH(0,COUNTIF($AX$4:AX31,$AW$6:$AW$66),0),1),"")</f>
        <v/>
      </c>
      <c r="AZ32" s="277" t="str">
        <f>IF(AND('1.4 Analyse &amp; Synthese'!X33=1,'1.4 Analyse &amp; Synthese'!F33="Empfehlung"),'1.4 Analyse &amp; Synthese'!I33&amp;CHAR(13)&amp;"("&amp;'(Codierung)'!$C$2&amp;" - "&amp;'1.4 Analyse &amp; Synthese'!C33&amp;")","")</f>
        <v/>
      </c>
      <c r="BA32" s="277" t="str">
        <f t="array" ref="BA32">_xlfn.IFNA(INDEX($AZ$6:$AZ$66,MATCH(0,COUNTIF($BA$4:BA31,$AZ$6:$AZ$66),0),1),"")</f>
        <v/>
      </c>
      <c r="BB32" s="277" t="str">
        <f>IF(AND('1.4 Analyse &amp; Synthese'!X33=1,'1.4 Analyse &amp; Synthese'!F33="Methode"),'1.4 Analyse &amp; Synthese'!I33&amp;CHAR(13)&amp;"("&amp;'(Codierung)'!$C$3&amp;" - "&amp;'1.4 Analyse &amp; Synthese'!C33&amp;")","")</f>
        <v/>
      </c>
      <c r="BC32" s="277" t="str">
        <f t="array" ref="BC32">_xlfn.IFNA(INDEX($BB$6:$BB$66,MATCH(0,COUNTIF($BC$4:BC31,$BB$6:$BB$66),0),1),"")</f>
        <v/>
      </c>
      <c r="BD32" s="277" t="str">
        <f>IF(AND('1.4 Analyse &amp; Synthese'!X33=1,'1.4 Analyse &amp; Synthese'!F33="Werkzeug"),'1.4 Analyse &amp; Synthese'!I33&amp;CHAR(13)&amp;"("&amp;'(Codierung)'!$C$4&amp;" - "&amp;'1.4 Analyse &amp; Synthese'!C33&amp;")","")</f>
        <v/>
      </c>
      <c r="BE32" s="277" t="str">
        <f t="array" ref="BE32">_xlfn.IFNA(INDEX($BD$6:$BD$66,MATCH(0,COUNTIF($BE$4:BE31,$BD$6:$BD$66),0),1),"")</f>
        <v/>
      </c>
      <c r="BG32" s="277" t="str">
        <f>IF(AND('1.4 Analyse &amp; Synthese'!Y33=1,'1.4 Analyse &amp; Synthese'!F33="Empfehlung"),'1.4 Analyse &amp; Synthese'!I33&amp;CHAR(13)&amp;"("&amp;'(Codierung)'!$C$2&amp;" - "&amp;'1.4 Analyse &amp; Synthese'!C33&amp;")","")</f>
        <v/>
      </c>
      <c r="BH32" s="277" t="str">
        <f t="array" ref="BH32">_xlfn.IFNA(INDEX($BG$6:$BG$66,MATCH(0,COUNTIF($BH$4:BH31,$BG$6:$BG$66),0),1),"")</f>
        <v/>
      </c>
      <c r="BI32" s="277" t="str">
        <f>IF(AND('1.4 Analyse &amp; Synthese'!Y33=1,'1.4 Analyse &amp; Synthese'!F33="Methode"),'1.4 Analyse &amp; Synthese'!I33&amp;CHAR(13)&amp;"("&amp;'(Codierung)'!$C$3&amp;" - "&amp;'1.4 Analyse &amp; Synthese'!C33&amp;")","")</f>
        <v/>
      </c>
      <c r="BJ32" s="277" t="str">
        <f t="array" ref="BJ32">_xlfn.IFNA(INDEX($BI$6:$BI$66,MATCH(0,COUNTIF($BJ$4:BJ31,$BI$6:$BI$66),0),1),"")</f>
        <v/>
      </c>
      <c r="BK32" s="277" t="str">
        <f>IF(AND('1.4 Analyse &amp; Synthese'!Y33=1,'1.4 Analyse &amp; Synthese'!F33="Werkzeug"),'1.4 Analyse &amp; Synthese'!I33&amp;CHAR(13)&amp;"("&amp;'(Codierung)'!$C$4&amp;" - "&amp;'1.4 Analyse &amp; Synthese'!C33&amp;")","")</f>
        <v/>
      </c>
      <c r="BL32" s="277" t="str">
        <f t="array" ref="BL32">_xlfn.IFNA(INDEX($BK$6:$BK$66,MATCH(0,COUNTIF($BL$4:BL31,$BK$6:$BK$66),0),1),"")</f>
        <v/>
      </c>
      <c r="BN32" s="277" t="str">
        <f>IF(AND('1.4 Analyse &amp; Synthese'!Z33=1,'1.4 Analyse &amp; Synthese'!F33="Empfehlung"),'1.4 Analyse &amp; Synthese'!I33&amp;CHAR(13)&amp;"("&amp;'(Codierung)'!$C$2&amp;" - "&amp;'1.4 Analyse &amp; Synthese'!C33&amp;")","")</f>
        <v/>
      </c>
      <c r="BO32" s="277" t="str">
        <f t="array" ref="BO32">_xlfn.IFNA(INDEX($BN$6:$BN$66,MATCH(0,COUNTIF($BO$4:BO31,$BN$6:$BN$66),0),1),"")</f>
        <v/>
      </c>
      <c r="BP32" s="277" t="str">
        <f>IF(AND('1.4 Analyse &amp; Synthese'!Z33=1,'1.4 Analyse &amp; Synthese'!F33="Methode"),'1.4 Analyse &amp; Synthese'!I33&amp;CHAR(13)&amp;"("&amp;'(Codierung)'!$C$3&amp;" - "&amp;'1.4 Analyse &amp; Synthese'!C33&amp;")","")</f>
        <v/>
      </c>
      <c r="BQ32" s="277" t="str">
        <f t="array" ref="BQ32">_xlfn.IFNA(INDEX($BP$6:$BP$66,MATCH(0,COUNTIF($BQ$4:BQ31,$BP$6:$BP$66),0),1),"")</f>
        <v/>
      </c>
      <c r="BR32" s="277" t="str">
        <f>IF(AND('1.4 Analyse &amp; Synthese'!Z33=1,'1.4 Analyse &amp; Synthese'!F33="Werkzeug"),'1.4 Analyse &amp; Synthese'!I33&amp;CHAR(13)&amp;"("&amp;'(Codierung)'!$C$4&amp;" - "&amp;'1.4 Analyse &amp; Synthese'!C33&amp;")","")</f>
        <v/>
      </c>
      <c r="BS32" s="277" t="str">
        <f t="array" ref="BS32">_xlfn.IFNA(INDEX($BR$6:$BR$66,MATCH(0,COUNTIF($BS$4:BS31,$BR$6:$BR$66),0),1),"")</f>
        <v/>
      </c>
      <c r="BU32" s="277" t="str">
        <f>IF(AND('1.4 Analyse &amp; Synthese'!AA33=1,'1.4 Analyse &amp; Synthese'!F33="Empfehlung"),'1.4 Analyse &amp; Synthese'!I33&amp;CHAR(13)&amp;"("&amp;'(Codierung)'!$C$2&amp;" - "&amp;'1.4 Analyse &amp; Synthese'!C33&amp;")","")</f>
        <v/>
      </c>
      <c r="BV32" s="277" t="str">
        <f t="array" ref="BV32">_xlfn.IFNA(INDEX($BU$6:$BU$66,MATCH(0,COUNTIF($BV$4:BV31,$BU$6:$BU$66),0),1),"")</f>
        <v/>
      </c>
      <c r="BW32" s="277" t="str">
        <f>IF(AND('1.4 Analyse &amp; Synthese'!AA33=1,'1.4 Analyse &amp; Synthese'!F33="Methode"),'1.4 Analyse &amp; Synthese'!I33&amp;CHAR(13)&amp;"("&amp;'(Codierung)'!$C$3&amp;" - "&amp;'1.4 Analyse &amp; Synthese'!C33&amp;")","")</f>
        <v/>
      </c>
      <c r="BX32" s="277" t="str">
        <f t="array" ref="BX32">_xlfn.IFNA(INDEX($BW$6:$BW$66,MATCH(0,COUNTIF($BX$4:BX31,$BW$6:$BW$66),0),1),"")</f>
        <v/>
      </c>
      <c r="BY32" s="277" t="str">
        <f>IF(AND('1.4 Analyse &amp; Synthese'!AA33=1,'1.4 Analyse &amp; Synthese'!F33="Werkzeug"),'1.4 Analyse &amp; Synthese'!I33&amp;CHAR(13)&amp;"("&amp;'(Codierung)'!$C$4&amp;" - "&amp;'1.4 Analyse &amp; Synthese'!C33&amp;")","")</f>
        <v/>
      </c>
      <c r="BZ32" s="277" t="str">
        <f t="array" ref="BZ32">_xlfn.IFNA(INDEX($BY$6:$BY$66,MATCH(0,COUNTIF($BZ$4:BZ31,$BY$6:$BY$66),0),1),"")</f>
        <v/>
      </c>
      <c r="CB32" s="277" t="str">
        <f>IF(AND('1.4 Analyse &amp; Synthese'!AB33=1,'1.4 Analyse &amp; Synthese'!F33="Empfehlung"),'1.4 Analyse &amp; Synthese'!I33&amp;CHAR(13)&amp;"("&amp;'(Codierung)'!$C$2&amp;" - "&amp;'1.4 Analyse &amp; Synthese'!C33&amp;")","")</f>
        <v/>
      </c>
      <c r="CC32" s="277" t="str">
        <f t="array" ref="CC32">_xlfn.IFNA(INDEX($CB$6:$CB$66,MATCH(0,COUNTIF($CC$4:CC31,$CB$6:$CB$66),0),1),"")</f>
        <v/>
      </c>
      <c r="CD32" s="277" t="str">
        <f>IF(AND('1.4 Analyse &amp; Synthese'!AB33=1,'1.4 Analyse &amp; Synthese'!F33="Methode"),'1.4 Analyse &amp; Synthese'!I33&amp;CHAR(13)&amp;"("&amp;'(Codierung)'!$C$3&amp;" - "&amp;'1.4 Analyse &amp; Synthese'!C33&amp;")","")</f>
        <v/>
      </c>
      <c r="CE32" s="277" t="str">
        <f t="array" ref="CE32">_xlfn.IFNA(INDEX($CD$6:$CD$66,MATCH(0,COUNTIF($CE$4:CE31,$CD$6:$CD$66),0),1),"")</f>
        <v/>
      </c>
      <c r="CF32" s="277" t="str">
        <f>IF(AND('1.4 Analyse &amp; Synthese'!AB33=1,'1.4 Analyse &amp; Synthese'!F33="Werkzeug"),'1.4 Analyse &amp; Synthese'!I33&amp;CHAR(13)&amp;"("&amp;'(Codierung)'!$C$4&amp;" - "&amp;'1.4 Analyse &amp; Synthese'!C33&amp;")","")</f>
        <v/>
      </c>
      <c r="CG32" s="277" t="str">
        <f t="array" ref="CG32">_xlfn.IFNA(INDEX($CF$6:$CF$66,MATCH(0,COUNTIF($CG$4:CG31,$CF$6:$CF$66),0),1),"")</f>
        <v/>
      </c>
      <c r="CI32" s="277" t="str">
        <f>IF(AND('1.4 Analyse &amp; Synthese'!AC33=1,'1.4 Analyse &amp; Synthese'!F33="Empfehlung"),'1.4 Analyse &amp; Synthese'!I33&amp;CHAR(13)&amp;"("&amp;'(Codierung)'!$C$2&amp;" - "&amp;'1.4 Analyse &amp; Synthese'!C33&amp;")","")</f>
        <v/>
      </c>
      <c r="CJ32" s="277" t="str">
        <f t="array" ref="CJ32">_xlfn.IFNA(INDEX($CI$6:$CI$66,MATCH(0,COUNTIF($CJ$4:CJ31,$CI$6:$CI$66),0),1),"")</f>
        <v/>
      </c>
      <c r="CK32" s="277" t="str">
        <f>IF(AND('1.4 Analyse &amp; Synthese'!AC33=1,'1.4 Analyse &amp; Synthese'!F33="Methode"),'1.4 Analyse &amp; Synthese'!I33&amp;CHAR(13)&amp;"("&amp;'(Codierung)'!$C$3&amp;" - "&amp;'1.4 Analyse &amp; Synthese'!C33&amp;")","")</f>
        <v/>
      </c>
      <c r="CL32" s="277" t="str">
        <f t="array" ref="CL32">_xlfn.IFNA(INDEX($CK$6:$CK$66,MATCH(0,COUNTIF($CL$4:CL31,$CK$6:$CK$66),0),1),"")</f>
        <v/>
      </c>
      <c r="CM32" s="277" t="str">
        <f>IF(AND('1.4 Analyse &amp; Synthese'!AC33=1,'1.4 Analyse &amp; Synthese'!F33="Werkzeug"),'1.4 Analyse &amp; Synthese'!I33&amp;CHAR(13)&amp;"("&amp;'(Codierung)'!$C$4&amp;" - "&amp;'1.4 Analyse &amp; Synthese'!C33&amp;")","")</f>
        <v/>
      </c>
      <c r="CN32" s="277" t="str">
        <f t="array" ref="CN32">_xlfn.IFNA(INDEX($CM$6:$CM$66,MATCH(0,COUNTIF($CN$4:CN31,$CM$6:$CM$66),0),1),"")</f>
        <v/>
      </c>
      <c r="CP32" s="277" t="str">
        <f>IF(AND('1.4 Analyse &amp; Synthese'!AD33=1,'1.4 Analyse &amp; Synthese'!F33="Empfehlung"),'1.4 Analyse &amp; Synthese'!I33&amp;CHAR(13)&amp;"("&amp;'(Codierung)'!$C$2&amp;" - "&amp;'1.4 Analyse &amp; Synthese'!C33&amp;")","")</f>
        <v/>
      </c>
      <c r="CQ32" s="277" t="str">
        <f t="array" ref="CQ32">_xlfn.IFNA(INDEX($CP$6:$CP$66,MATCH(0,COUNTIF($CQ$4:CQ31,$CP$6:$CP$66),0),1),"")</f>
        <v/>
      </c>
      <c r="CR32" s="277" t="str">
        <f>IF(AND('1.4 Analyse &amp; Synthese'!AD33=1,'1.4 Analyse &amp; Synthese'!F33="Methode"),'1.4 Analyse &amp; Synthese'!I33&amp;CHAR(13)&amp;"("&amp;'(Codierung)'!$C$3&amp;" - "&amp;'1.4 Analyse &amp; Synthese'!C33&amp;")","")</f>
        <v/>
      </c>
      <c r="CS32" s="277" t="str">
        <f t="array" ref="CS32">_xlfn.IFNA(INDEX($CR$6:$CR$66,MATCH(0,COUNTIF($CS$4:CS31,$CR$6:$CR$66),0),1),"")</f>
        <v/>
      </c>
      <c r="CT32" s="277" t="str">
        <f>IF(AND('1.4 Analyse &amp; Synthese'!AD33=1,'1.4 Analyse &amp; Synthese'!F33="Werkzeug"),'1.4 Analyse &amp; Synthese'!I33&amp;CHAR(13)&amp;"("&amp;'(Codierung)'!$C$4&amp;" - "&amp;'1.4 Analyse &amp; Synthese'!C33&amp;")","")</f>
        <v/>
      </c>
      <c r="CU32" s="277" t="str">
        <f t="array" ref="CU32">_xlfn.IFNA(INDEX($CT$6:$CT$66,MATCH(0,COUNTIF($CU$4:CU31,$CT$6:$CT$66),0),1),"")</f>
        <v/>
      </c>
      <c r="CW32" s="277" t="str">
        <f>IF(AND('1.4 Analyse &amp; Synthese'!AE33=1,'1.4 Analyse &amp; Synthese'!F33="Empfehlung"),'1.4 Analyse &amp; Synthese'!I33&amp;CHAR(13)&amp;"("&amp;'(Codierung)'!$C$2&amp;" - "&amp;'1.4 Analyse &amp; Synthese'!C33&amp;")","")</f>
        <v>Application Programming Interface_x000D_(Empfehlung - Oprescu)</v>
      </c>
      <c r="CX32" s="277" t="str">
        <f t="array" ref="CX32">_xlfn.IFNA(INDEX($CW$6:$CW$66,MATCH(0,COUNTIF($CX$4:CX31,$CW$6:$CW$66),0),1),"")</f>
        <v/>
      </c>
      <c r="CY32" s="277" t="str">
        <f>IF(AND('1.4 Analyse &amp; Synthese'!AE33=1,'1.4 Analyse &amp; Synthese'!F33="Methode"),'1.4 Analyse &amp; Synthese'!I33&amp;CHAR(13)&amp;"("&amp;'(Codierung)'!$C$3&amp;" - "&amp;'1.4 Analyse &amp; Synthese'!C33&amp;")","")</f>
        <v/>
      </c>
      <c r="CZ32" s="277" t="str">
        <f t="array" ref="CZ32">_xlfn.IFNA(INDEX($CY$6:$CY$66,MATCH(0,COUNTIF($CZ$4:CZ31,$CY$6:$CY$66),0),1),"")</f>
        <v/>
      </c>
      <c r="DA32" s="277" t="str">
        <f>IF(AND('1.4 Analyse &amp; Synthese'!AE33=1,'1.4 Analyse &amp; Synthese'!F33="Werkzeug"),'1.4 Analyse &amp; Synthese'!I33&amp;CHAR(13)&amp;"("&amp;'(Codierung)'!$C$4&amp;" - "&amp;'1.4 Analyse &amp; Synthese'!C33&amp;")","")</f>
        <v/>
      </c>
      <c r="DB32" s="277" t="str">
        <f t="array" ref="DB32">_xlfn.IFNA(INDEX($DA$6:$DA$66,MATCH(0,COUNTIF($DB$4:DB31,$DA$6:$DA$66),0),1),"")</f>
        <v/>
      </c>
      <c r="DD32" s="277" t="str">
        <f>IF(AND('1.4 Analyse &amp; Synthese'!AF33=1,'1.4 Analyse &amp; Synthese'!F33="Empfehlung"),'1.4 Analyse &amp; Synthese'!I33&amp;CHAR(13)&amp;"("&amp;'(Codierung)'!$C$2&amp;" - "&amp;'1.4 Analyse &amp; Synthese'!C33&amp;")","")</f>
        <v/>
      </c>
      <c r="DE32" s="277" t="str">
        <f t="array" ref="DE32">_xlfn.IFNA(INDEX($DD$6:$DD$66,MATCH(0,COUNTIF($DE$4:DE31,$DD$6:$DD$66),0),1),"")</f>
        <v/>
      </c>
      <c r="DF32" s="277" t="str">
        <f>IF(AND('1.4 Analyse &amp; Synthese'!AF33=1,'1.4 Analyse &amp; Synthese'!F33="Methode"),'1.4 Analyse &amp; Synthese'!I33&amp;CHAR(13)&amp;"("&amp;'(Codierung)'!$C$3&amp;" - "&amp;'1.4 Analyse &amp; Synthese'!C33&amp;")","")</f>
        <v/>
      </c>
      <c r="DG32" s="277" t="str">
        <f t="array" ref="DG32">_xlfn.IFNA(INDEX($DF$6:$DF$66,MATCH(0,COUNTIF($DG$4:DG31,$DF$6:$DF$66),0),1),"")</f>
        <v/>
      </c>
      <c r="DH32" s="277" t="str">
        <f>IF(AND('1.4 Analyse &amp; Synthese'!AF33=1,'1.4 Analyse &amp; Synthese'!F33="Werkzeug"),'1.4 Analyse &amp; Synthese'!I33&amp;CHAR(13)&amp;"("&amp;'(Codierung)'!$C$4&amp;" - "&amp;'1.4 Analyse &amp; Synthese'!C33&amp;")","")</f>
        <v/>
      </c>
      <c r="DI32" s="277" t="str">
        <f t="array" ref="DI32">_xlfn.IFNA(INDEX($DH$6:$DH$66,MATCH(0,COUNTIF($DI$4:DI31,$DH$6:$DH$66),0),1),"")</f>
        <v/>
      </c>
      <c r="DK32" s="277" t="str">
        <f>IF(AND('1.4 Analyse &amp; Synthese'!AG33=1,'1.4 Analyse &amp; Synthese'!F33="Empfehlung"),'1.4 Analyse &amp; Synthese'!I33&amp;CHAR(13)&amp;"("&amp;'(Codierung)'!$C$2&amp;" - "&amp;'1.4 Analyse &amp; Synthese'!C33&amp;")","")</f>
        <v>Application Programming Interface_x000D_(Empfehlung - Oprescu)</v>
      </c>
      <c r="DL32" s="277" t="str">
        <f t="array" ref="DL32">_xlfn.IFNA(INDEX($DK$6:$DK$66,MATCH(0,COUNTIF($DL$4:DL31,$DK$6:$DK$66),0),1),"")</f>
        <v/>
      </c>
      <c r="DM32" s="277" t="str">
        <f>IF(AND('1.4 Analyse &amp; Synthese'!AG33=1,'1.4 Analyse &amp; Synthese'!F33="Methode"),'1.4 Analyse &amp; Synthese'!I33&amp;CHAR(13)&amp;"("&amp;'(Codierung)'!$C$3&amp;" - "&amp;'1.4 Analyse &amp; Synthese'!C33&amp;")","")</f>
        <v/>
      </c>
      <c r="DN32" s="277" t="str">
        <f t="array" ref="DN32">_xlfn.IFNA(INDEX($DM$6:$DM$66,MATCH(0,COUNTIF($DN$4:DN31,$DM$6:$DM$66),0),1),"")</f>
        <v/>
      </c>
      <c r="DO32" s="277" t="str">
        <f>IF(AND('1.4 Analyse &amp; Synthese'!AG33=1,'1.4 Analyse &amp; Synthese'!F33="Werkzeug"),'1.4 Analyse &amp; Synthese'!I33&amp;CHAR(13)&amp;"("&amp;'(Codierung)'!$C$4&amp;" - "&amp;'1.4 Analyse &amp; Synthese'!C33&amp;")","")</f>
        <v/>
      </c>
      <c r="DP32" s="277" t="str">
        <f t="array" ref="DP32">_xlfn.IFNA(INDEX($DO$6:$DO$66,MATCH(0,COUNTIF($DP$4:DP31,$DO$6:$DO$66),0),1),"")</f>
        <v/>
      </c>
      <c r="DR32" s="277" t="str">
        <f>IF(AND('1.4 Analyse &amp; Synthese'!AH33=1,'1.4 Analyse &amp; Synthese'!F33="Empfehlung"),'1.4 Analyse &amp; Synthese'!I33&amp;CHAR(13)&amp;"("&amp;'(Codierung)'!$C$2&amp;" - "&amp;'1.4 Analyse &amp; Synthese'!C33&amp;")","")</f>
        <v/>
      </c>
      <c r="DS32" s="277" t="str">
        <f t="array" ref="DS32">_xlfn.IFNA(INDEX($DR$6:$DR$66,MATCH(0,COUNTIF($DS$4:DS31,$DR$6:$DR$66),0),1),"")</f>
        <v/>
      </c>
      <c r="DT32" s="277" t="str">
        <f>IF(AND('1.4 Analyse &amp; Synthese'!AH33=1,'1.4 Analyse &amp; Synthese'!F33="Methode"),'1.4 Analyse &amp; Synthese'!I33&amp;CHAR(13)&amp;"("&amp;'(Codierung)'!$C$3&amp;" - "&amp;'1.4 Analyse &amp; Synthese'!C33&amp;")","")</f>
        <v/>
      </c>
      <c r="DU32" s="277" t="str">
        <f t="array" ref="DU32">_xlfn.IFNA(INDEX($DT$6:$DT$66,MATCH(0,COUNTIF($DU$4:DU31,$DT$6:$DT$66),0),1),"")</f>
        <v/>
      </c>
      <c r="DV32" s="277" t="str">
        <f>IF(AND('1.4 Analyse &amp; Synthese'!AH33=1,'1.4 Analyse &amp; Synthese'!F33="Werkzeug"),'1.4 Analyse &amp; Synthese'!I33&amp;CHAR(13)&amp;"("&amp;'(Codierung)'!$C$4&amp;" - "&amp;'1.4 Analyse &amp; Synthese'!C33&amp;")","")</f>
        <v/>
      </c>
      <c r="DW32" s="277" t="str">
        <f t="array" ref="DW32">_xlfn.IFNA(INDEX($DV$6:$DV$66,MATCH(0,COUNTIF($DW$4:DW31,$DV$6:$DV$66),0),1),"")</f>
        <v/>
      </c>
      <c r="DY32" s="277" t="str">
        <f>IF(AND('1.4 Analyse &amp; Synthese'!AI33=1,'1.4 Analyse &amp; Synthese'!F33="Empfehlung"),'1.4 Analyse &amp; Synthese'!I33&amp;CHAR(13)&amp;"("&amp;'(Codierung)'!$C$2&amp;" - "&amp;'1.4 Analyse &amp; Synthese'!C33&amp;")","")</f>
        <v>Application Programming Interface_x000D_(Empfehlung - Oprescu)</v>
      </c>
      <c r="DZ32" s="277" t="str">
        <f t="array" ref="DZ32">_xlfn.IFNA(INDEX($DY$6:$DY$66,MATCH(0,COUNTIF($DZ$4:DZ31,$DY$6:$DY$66),0),1),"")</f>
        <v/>
      </c>
      <c r="EA32" s="277" t="str">
        <f>IF(AND('1.4 Analyse &amp; Synthese'!AI33=1,'1.4 Analyse &amp; Synthese'!F33="Methode"),'1.4 Analyse &amp; Synthese'!I33&amp;CHAR(13)&amp;"("&amp;'(Codierung)'!$C$3&amp;" - "&amp;'1.4 Analyse &amp; Synthese'!C33&amp;")","")</f>
        <v/>
      </c>
      <c r="EB32" s="277" t="str">
        <f t="array" ref="EB32">_xlfn.IFNA(INDEX($EA$6:$EA$66,MATCH(0,COUNTIF($EB$4:EB31,$EA$6:$EA$66),0),1),"")</f>
        <v/>
      </c>
      <c r="EC32" s="277" t="str">
        <f>IF(AND('1.4 Analyse &amp; Synthese'!AI33=1,'1.4 Analyse &amp; Synthese'!F33="Werkzeug"),'1.4 Analyse &amp; Synthese'!I33&amp;CHAR(13)&amp;"("&amp;'(Codierung)'!$C$4&amp;" - "&amp;'1.4 Analyse &amp; Synthese'!C33&amp;")","")</f>
        <v/>
      </c>
      <c r="ED32" s="277" t="str">
        <f t="array" ref="ED32">_xlfn.IFNA(INDEX($EC$6:$EC$66,MATCH(0,COUNTIF($ED$4:ED31,$EC$6:$EC$66),0),1),"")</f>
        <v/>
      </c>
      <c r="EF32" s="277" t="str">
        <f>IF(AND('1.4 Analyse &amp; Synthese'!AJ33=1,'1.4 Analyse &amp; Synthese'!F33="Empfehlung"),'1.4 Analyse &amp; Synthese'!I33&amp;CHAR(13)&amp;"("&amp;'(Codierung)'!$C$2&amp;" - "&amp;'1.4 Analyse &amp; Synthese'!C33&amp;")","")</f>
        <v/>
      </c>
      <c r="EG32" s="277" t="str">
        <f t="array" ref="EG32">_xlfn.IFNA(INDEX($EF$6:$EF$66,MATCH(0,COUNTIF($EG$4:EG31,$EF$6:$EF$66),0),1),"")</f>
        <v/>
      </c>
      <c r="EH32" s="277" t="str">
        <f>IF(AND('1.4 Analyse &amp; Synthese'!AJ33=1,'1.4 Analyse &amp; Synthese'!F33="Methode"),'1.4 Analyse &amp; Synthese'!I33&amp;CHAR(13)&amp;"("&amp;'(Codierung)'!$C$3&amp;" - "&amp;'1.4 Analyse &amp; Synthese'!C33&amp;")","")</f>
        <v/>
      </c>
      <c r="EI32" s="277" t="str">
        <f t="array" ref="EI32">_xlfn.IFNA(INDEX($EH$6:$EH$66,MATCH(0,COUNTIF($EI$4:EI31,$EH$6:$EH$66),0),1),"")</f>
        <v/>
      </c>
      <c r="EJ32" s="277" t="str">
        <f>IF(AND('1.4 Analyse &amp; Synthese'!AJ33=1,'1.4 Analyse &amp; Synthese'!F33="Werkzeug"),'1.4 Analyse &amp; Synthese'!I33&amp;CHAR(13)&amp;"("&amp;'(Codierung)'!$C$4&amp;" - "&amp;'1.4 Analyse &amp; Synthese'!C33&amp;")","")</f>
        <v/>
      </c>
      <c r="EK32" s="277" t="str">
        <f t="array" ref="EK32">_xlfn.IFNA(INDEX($EJ$6:$EJ$66,MATCH(0,COUNTIF($EK$4:EK31,$EJ$6:$EJ$66),0),1),"")</f>
        <v/>
      </c>
      <c r="EN32" s="222" t="str">
        <f t="shared" si="0"/>
        <v/>
      </c>
      <c r="EO32" s="277" t="str">
        <f t="shared" si="1"/>
        <v/>
      </c>
      <c r="EP32" s="277" t="str">
        <f t="shared" si="2"/>
        <v/>
      </c>
      <c r="EQ32" s="277" t="str">
        <f>ZahlenInBereich(Tabelle1[[Empfehlung]:[Werkzeug]],ROW()-5)</f>
        <v/>
      </c>
      <c r="ER32" s="277" t="str">
        <f t="shared" si="3"/>
        <v/>
      </c>
      <c r="ES32" s="277" t="str">
        <f t="shared" si="4"/>
        <v/>
      </c>
      <c r="ET32" s="277" t="str">
        <f t="shared" si="5"/>
        <v/>
      </c>
      <c r="EU32" s="277" t="str">
        <f>ZahlenInBereich(Tabelle1[[Empfehlung2]:[Werkzeug4]],ROW()-5)</f>
        <v/>
      </c>
      <c r="EV32" s="277" t="str">
        <f t="shared" si="6"/>
        <v/>
      </c>
      <c r="EW32" s="277" t="str">
        <f t="shared" si="7"/>
        <v/>
      </c>
      <c r="EX32" s="277" t="str">
        <f t="shared" si="8"/>
        <v/>
      </c>
      <c r="EY32" s="277" t="str">
        <f>ZahlenInBereich(Tabelle1[[Empfehlung6]:[Werkzeug8]],ROW()-5)</f>
        <v/>
      </c>
      <c r="EZ32" s="277" t="str">
        <f t="shared" si="9"/>
        <v/>
      </c>
      <c r="FA32" s="277" t="str">
        <f t="shared" si="10"/>
        <v/>
      </c>
      <c r="FB32" s="277" t="str">
        <f t="shared" si="11"/>
        <v/>
      </c>
      <c r="FC32" s="277" t="str">
        <f>ZahlenInBereich(Tabelle1[[Empfehlung10]:[Werkzeug12]],ROW()-5)</f>
        <v/>
      </c>
      <c r="FD32" s="277" t="str">
        <f t="shared" si="12"/>
        <v/>
      </c>
      <c r="FE32" s="277" t="str">
        <f t="shared" si="13"/>
        <v/>
      </c>
      <c r="FF32" s="277" t="str">
        <f t="shared" si="14"/>
        <v/>
      </c>
      <c r="FG32" s="277" t="str">
        <f>ZahlenInBereich(Tabelle1[[Empfehlung14]:[Werkzeug16]],ROW()-5)</f>
        <v/>
      </c>
      <c r="FH32" s="277" t="str">
        <f t="shared" si="15"/>
        <v/>
      </c>
      <c r="FI32" s="277" t="str">
        <f t="shared" si="16"/>
        <v/>
      </c>
      <c r="FJ32" s="277" t="str">
        <f t="shared" si="17"/>
        <v/>
      </c>
      <c r="FK32" s="277" t="str">
        <f>ZahlenInBereich(Tabelle1[[Empfehlung18]:[Werkzeug20]],ROW()-5)</f>
        <v/>
      </c>
      <c r="FL32" s="277" t="str">
        <f t="shared" si="18"/>
        <v/>
      </c>
      <c r="FM32" s="277" t="str">
        <f t="shared" si="19"/>
        <v/>
      </c>
      <c r="FN32" s="277" t="str">
        <f t="shared" si="20"/>
        <v/>
      </c>
      <c r="FO32" s="277" t="str">
        <f>ZahlenInBereich(Tabelle1[[Empfehlung22]:[Werkzeug24]],ROW()-5)</f>
        <v/>
      </c>
      <c r="FP32" s="277" t="str">
        <f t="shared" si="21"/>
        <v/>
      </c>
      <c r="FQ32" s="277" t="str">
        <f t="shared" si="22"/>
        <v/>
      </c>
      <c r="FR32" s="277" t="str">
        <f t="shared" si="23"/>
        <v/>
      </c>
      <c r="FS32" s="277" t="str">
        <f>ZahlenInBereich(Tabelle1[[Empfehlung26]:[Werkzeug28]],ROW()-5)</f>
        <v/>
      </c>
      <c r="FT32" s="277" t="str">
        <f t="shared" si="24"/>
        <v/>
      </c>
      <c r="FU32" s="277" t="str">
        <f t="shared" si="25"/>
        <v/>
      </c>
      <c r="FV32" s="277" t="str">
        <f t="shared" si="26"/>
        <v/>
      </c>
      <c r="FW32" s="277" t="str">
        <f>ZahlenInBereich(Tabelle1[[Empfehlung30]:[Werkzeug32]],ROW()-5)</f>
        <v/>
      </c>
      <c r="FX32" s="277" t="str">
        <f t="shared" si="27"/>
        <v/>
      </c>
      <c r="FY32" s="277" t="str">
        <f t="shared" si="28"/>
        <v/>
      </c>
      <c r="FZ32" s="277" t="str">
        <f t="shared" si="29"/>
        <v/>
      </c>
      <c r="GA32" s="277" t="str">
        <f>ZahlenInBereich(Tabelle1[[Empfehlung34]:[Werkzeug36]],ROW()-5)</f>
        <v/>
      </c>
      <c r="GB32" s="277" t="str">
        <f t="shared" si="30"/>
        <v/>
      </c>
      <c r="GC32" s="277" t="str">
        <f t="shared" si="31"/>
        <v/>
      </c>
      <c r="GD32" s="277" t="str">
        <f t="shared" si="32"/>
        <v/>
      </c>
      <c r="GE32" s="277" t="str">
        <f>ZahlenInBereich(Tabelle1[[Empfehlung38]:[Werkzeug40]],ROW()-5)</f>
        <v/>
      </c>
      <c r="GF32" s="277" t="str">
        <f t="shared" si="33"/>
        <v/>
      </c>
      <c r="GG32" s="277" t="str">
        <f t="shared" si="34"/>
        <v/>
      </c>
      <c r="GH32" s="277" t="str">
        <f t="shared" si="35"/>
        <v/>
      </c>
      <c r="GI32" s="277" t="str">
        <f>ZahlenInBereich(Tabelle1[[Empfehlung42]:[Werkzeug44]],ROW()-5)</f>
        <v/>
      </c>
      <c r="GJ32" s="277" t="str">
        <f t="shared" si="36"/>
        <v/>
      </c>
      <c r="GK32" s="277" t="str">
        <f t="shared" si="37"/>
        <v/>
      </c>
      <c r="GL32" s="277" t="str">
        <f t="shared" si="38"/>
        <v/>
      </c>
      <c r="GM32" s="277" t="str">
        <f>ZahlenInBereich(Tabelle1[[Empfehlung46]:[Werkzeug48]],ROW()-5)</f>
        <v/>
      </c>
      <c r="GN32" s="277" t="str">
        <f t="shared" si="39"/>
        <v/>
      </c>
      <c r="GO32" s="277" t="str">
        <f t="shared" si="40"/>
        <v/>
      </c>
      <c r="GP32" s="277" t="str">
        <f t="shared" si="41"/>
        <v/>
      </c>
      <c r="GQ32" s="277" t="str">
        <f>ZahlenInBereich(Tabelle1[[Empfehlung50]:[Werkzeug52]],ROW()-5)</f>
        <v/>
      </c>
      <c r="GR32" s="277" t="str">
        <f t="shared" si="42"/>
        <v/>
      </c>
      <c r="GS32" s="277" t="str">
        <f t="shared" si="43"/>
        <v/>
      </c>
      <c r="GT32" s="277" t="str">
        <f t="shared" si="44"/>
        <v/>
      </c>
      <c r="GU32" s="277" t="str">
        <f>ZahlenInBereich(Tabelle1[[Empfehlung54]:[Werkzeug56]],ROW()-5)</f>
        <v/>
      </c>
      <c r="GV32" s="277" t="str">
        <f t="shared" si="45"/>
        <v/>
      </c>
      <c r="GW32" s="277" t="str">
        <f t="shared" si="46"/>
        <v/>
      </c>
      <c r="GX32" s="277" t="str">
        <f t="shared" si="47"/>
        <v/>
      </c>
      <c r="GY32" s="277" t="str">
        <f>ZahlenInBereich(Tabelle1[[Empfehlung58]:[Werkzeug60]],ROW()-5)</f>
        <v/>
      </c>
      <c r="GZ32" s="277" t="str">
        <f t="shared" si="48"/>
        <v/>
      </c>
      <c r="HA32" s="277" t="str">
        <f t="shared" si="49"/>
        <v/>
      </c>
      <c r="HB32" s="277" t="str">
        <f t="shared" si="50"/>
        <v/>
      </c>
      <c r="HC32" s="277" t="str">
        <f>ZahlenInBereich(Tabelle1[[Empfehlung62]:[Werkzeug64]],ROW()-5)</f>
        <v/>
      </c>
      <c r="HD32" s="277" t="str">
        <f t="shared" si="51"/>
        <v/>
      </c>
      <c r="HE32" s="277" t="str">
        <f t="shared" si="52"/>
        <v/>
      </c>
      <c r="HF32" s="277" t="str">
        <f t="shared" si="53"/>
        <v/>
      </c>
      <c r="HG32" s="277" t="str">
        <f>ZahlenInBereich(Tabelle1[[Empfehlung66]:[Werkzeug68]],ROW()-5)</f>
        <v/>
      </c>
      <c r="HH32" s="277" t="str">
        <f t="shared" si="54"/>
        <v/>
      </c>
      <c r="HI32" s="277" t="str">
        <f t="shared" si="55"/>
        <v/>
      </c>
      <c r="HJ32" s="277" t="str">
        <f t="shared" si="56"/>
        <v/>
      </c>
      <c r="HK32" s="277" t="str">
        <f>ZahlenInBereich(Tabelle1[[Empfehlung70]:[Werkzeug72]],ROW()-5)</f>
        <v/>
      </c>
      <c r="HL32" s="277" t="str">
        <f t="shared" si="57"/>
        <v/>
      </c>
      <c r="HM32" s="277" t="str">
        <f t="shared" si="58"/>
        <v/>
      </c>
      <c r="HN32" s="277" t="str">
        <f t="shared" si="59"/>
        <v/>
      </c>
      <c r="HO32" s="277" t="str">
        <f>ZahlenInBereich(Tabelle1[[Empfehlung74]:[Werkzeug76]],ROW()-5)</f>
        <v/>
      </c>
    </row>
    <row r="33" spans="2:223" ht="48" x14ac:dyDescent="0.2">
      <c r="B33" s="134">
        <f>'1.4 Analyse &amp; Synthese'!B34</f>
        <v>28</v>
      </c>
      <c r="C33" s="277" t="str">
        <f>IF(AND('1.4 Analyse &amp; Synthese'!Q34=1,'1.4 Analyse &amp; Synthese'!F34="Empfehlung"),'1.4 Analyse &amp; Synthese'!I34&amp;CHAR(13)&amp;"("&amp;'(Codierung)'!$C$2&amp;" - "&amp;'1.4 Analyse &amp; Synthese'!C34&amp;")","")</f>
        <v/>
      </c>
      <c r="D33" s="222" t="str">
        <f t="array" ref="D33">_xlfn.IFNA(INDEX($C$6:$C$66,MATCH(0,COUNTIF($D$4:D32,$C$6:$C$66),0),1),"")</f>
        <v/>
      </c>
      <c r="E33" s="277" t="str">
        <f>IF(AND('1.4 Analyse &amp; Synthese'!Q34=1,'1.4 Analyse &amp; Synthese'!F34="Methode"),'1.4 Analyse &amp; Synthese'!I34&amp;CHAR(13)&amp;"("&amp;'(Codierung)'!$C$3&amp;" - "&amp;'1.4 Analyse &amp; Synthese'!C34&amp;")","")</f>
        <v/>
      </c>
      <c r="F33" s="277" t="str">
        <f t="array" ref="F33">_xlfn.IFNA(INDEX($E$6:$E$66,MATCH(0,COUNTIF($F$4:F32,$E$6:$E$66),0),1),"")</f>
        <v/>
      </c>
      <c r="G33" s="277" t="str">
        <f>IF(AND('1.4 Analyse &amp; Synthese'!Q34=1,'1.4 Analyse &amp; Synthese'!F34="Werkzeug"),'1.4 Analyse &amp; Synthese'!I34&amp;CHAR(13)&amp;"("&amp;'(Codierung)'!$C$4&amp;" - "&amp;'1.4 Analyse &amp; Synthese'!C34&amp;")","")</f>
        <v/>
      </c>
      <c r="H33" s="277" t="str">
        <f t="array" ref="H33">_xlfn.IFNA(INDEX($G$6:$G$66,MATCH(0,COUNTIF($H$4:H32,$G$6:$G$66),0),1),"")</f>
        <v/>
      </c>
      <c r="J33" s="277" t="str">
        <f>IF(AND('1.4 Analyse &amp; Synthese'!R34=1,'1.4 Analyse &amp; Synthese'!F34="Empfehlung"),'1.4 Analyse &amp; Synthese'!I34&amp;CHAR(13)&amp;"("&amp;'(Codierung)'!$C$2&amp;" - "&amp;'1.4 Analyse &amp; Synthese'!C34&amp;")","")</f>
        <v/>
      </c>
      <c r="K33" s="277" t="str">
        <f t="array" ref="K33">_xlfn.IFNA(INDEX($J$6:$J$66,MATCH(0,COUNTIF($K$4:K32,$J$6:$J$66),0),1),"")</f>
        <v/>
      </c>
      <c r="L33" s="277" t="str">
        <f>IF(AND('1.4 Analyse &amp; Synthese'!R34=1,'1.4 Analyse &amp; Synthese'!F34="Methode"),'1.4 Analyse &amp; Synthese'!I34&amp;CHAR(13)&amp;"("&amp;'(Codierung)'!$C$3&amp;" - "&amp;'1.4 Analyse &amp; Synthese'!C34&amp;")","")</f>
        <v/>
      </c>
      <c r="M33" s="277" t="str">
        <f t="array" ref="M33">_xlfn.IFNA(INDEX($L$6:$L$66,MATCH(0,COUNTIF($M$4:M32,$L$6:$L$66),0),1),"")</f>
        <v/>
      </c>
      <c r="N33" s="277" t="str">
        <f>IF(AND('1.4 Analyse &amp; Synthese'!R34=1,'1.4 Analyse &amp; Synthese'!F34="Werkzeug"),'1.4 Analyse &amp; Synthese'!I34&amp;CHAR(13)&amp;"("&amp;'(Codierung)'!$C$4&amp;" - "&amp;'1.4 Analyse &amp; Synthese'!C34&amp;")","")</f>
        <v/>
      </c>
      <c r="O33" s="277" t="str">
        <f t="array" ref="O33">_xlfn.IFNA(INDEX($N$6:$N$66,MATCH(0,COUNTIF($O$4:O32,$N$6:$N$66),0),1),"")</f>
        <v/>
      </c>
      <c r="Q33" s="277" t="str">
        <f>IF(AND('1.4 Analyse &amp; Synthese'!S34=1,'1.4 Analyse &amp; Synthese'!F34="Empfehlung"),'1.4 Analyse &amp; Synthese'!I34&amp;CHAR(13)&amp;"("&amp;'(Codierung)'!$C$2&amp;" - "&amp;'1.4 Analyse &amp; Synthese'!C34&amp;")","")</f>
        <v/>
      </c>
      <c r="R33" s="277" t="str">
        <f t="array" ref="R33">_xlfn.IFNA(INDEX($Q$6:$Q$66,MATCH(0,COUNTIF($R$4:R32,$Q$6:$Q$66),0),1),"")</f>
        <v/>
      </c>
      <c r="S33" s="277" t="str">
        <f>IF(AND('1.4 Analyse &amp; Synthese'!S34=1,'1.4 Analyse &amp; Synthese'!F34="Methode"),'1.4 Analyse &amp; Synthese'!I34&amp;CHAR(13)&amp;"("&amp;'(Codierung)'!$C$3&amp;" - "&amp;'1.4 Analyse &amp; Synthese'!C34&amp;")","")</f>
        <v/>
      </c>
      <c r="T33" s="277" t="str">
        <f t="array" ref="T33">_xlfn.IFNA(INDEX($S$6:$S$66,MATCH(0,COUNTIF($T$4:T32,$S$6:$S$66),0),1),"")</f>
        <v/>
      </c>
      <c r="U33" s="277" t="str">
        <f>IF(AND('1.4 Analyse &amp; Synthese'!S34=1,'1.4 Analyse &amp; Synthese'!F34="Werkzeug"),'1.4 Analyse &amp; Synthese'!I34&amp;CHAR(13)&amp;"("&amp;'(Codierung)'!$C$4&amp;" - "&amp;'1.4 Analyse &amp; Synthese'!C34&amp;")","")</f>
        <v/>
      </c>
      <c r="V33" s="277" t="str">
        <f t="array" ref="V33">_xlfn.IFNA(INDEX($U$6:$U$66,MATCH(0,COUNTIF($V$4:V32,$U$6:$U$66),0),1),"")</f>
        <v/>
      </c>
      <c r="X33" s="277" t="str">
        <f>IF(AND('1.4 Analyse &amp; Synthese'!T34=1,'1.4 Analyse &amp; Synthese'!F34="Empfehlung"),'1.4 Analyse &amp; Synthese'!I34&amp;CHAR(13)&amp;"("&amp;'(Codierung)'!$C$2&amp;" - "&amp;'1.4 Analyse &amp; Synthese'!C34&amp;")","")</f>
        <v/>
      </c>
      <c r="Y33" s="277" t="str">
        <f t="array" ref="Y33">_xlfn.IFNA(INDEX($X$6:$X$66,MATCH(0,COUNTIF($Y$4:Y32,$X$6:$X$66),0),1),"")</f>
        <v/>
      </c>
      <c r="Z33" s="277" t="str">
        <f>IF(AND('1.4 Analyse &amp; Synthese'!T34=1,'1.4 Analyse &amp; Synthese'!F34="Methode"),'1.4 Analyse &amp; Synthese'!I34&amp;CHAR(13)&amp;"("&amp;'(Codierung)'!$C$3&amp;" - "&amp;'1.4 Analyse &amp; Synthese'!C34&amp;")","")</f>
        <v/>
      </c>
      <c r="AA33" s="277" t="str">
        <f t="array" ref="AA33">_xlfn.IFNA(INDEX($Z$6:$Z$66,MATCH(0,COUNTIF($AA$4:AA32,$Z$6:$Z$66),0),1),"")</f>
        <v/>
      </c>
      <c r="AB33" s="277" t="str">
        <f>IF(AND('1.4 Analyse &amp; Synthese'!T34=1,'1.4 Analyse &amp; Synthese'!F34="Werkzeug"),'1.4 Analyse &amp; Synthese'!I34&amp;CHAR(13)&amp;"("&amp;'(Codierung)'!$C$4&amp;" - "&amp;'1.4 Analyse &amp; Synthese'!C34&amp;")","")</f>
        <v/>
      </c>
      <c r="AC33" s="277" t="str">
        <f t="array" ref="AC33">_xlfn.IFNA(INDEX($AB$6:$AB$66,MATCH(0,COUNTIF($AC$4:AC32,$AB$6:$AB$66),0),1),"")</f>
        <v/>
      </c>
      <c r="AE33" s="277" t="str">
        <f>IF(AND('1.4 Analyse &amp; Synthese'!U34=1,'1.4 Analyse &amp; Synthese'!F34="Empfehlung"),'1.4 Analyse &amp; Synthese'!I34&amp;CHAR(13)&amp;"("&amp;'(Codierung)'!$C$2&amp;" - "&amp;'1.4 Analyse &amp; Synthese'!C34&amp;")","")</f>
        <v/>
      </c>
      <c r="AF33" s="277" t="str">
        <f t="array" ref="AF33">_xlfn.IFNA(INDEX($AE$6:$AE$66,MATCH(0,COUNTIF($AF$4:AF32,$AE$6:$AE$66),0),1),"")</f>
        <v/>
      </c>
      <c r="AG33" s="277" t="str">
        <f>IF(AND('1.4 Analyse &amp; Synthese'!U34=1,'1.4 Analyse &amp; Synthese'!F34="Methode"),'1.4 Analyse &amp; Synthese'!I34&amp;CHAR(13)&amp;"("&amp;'(Codierung)'!$C$3&amp;" - "&amp;'1.4 Analyse &amp; Synthese'!C34&amp;")","")</f>
        <v/>
      </c>
      <c r="AH33" s="277" t="str">
        <f t="array" ref="AH33">_xlfn.IFNA(INDEX($AG$6:$AG$66,MATCH(0,COUNTIF($AH$4:AH32,$AG$6:$AG$66),0),1),"")</f>
        <v/>
      </c>
      <c r="AI33" s="277" t="str">
        <f>IF(AND('1.4 Analyse &amp; Synthese'!U34=1,'1.4 Analyse &amp; Synthese'!F34="Werkzeug"),'1.4 Analyse &amp; Synthese'!I34&amp;CHAR(13)&amp;"("&amp;'(Codierung)'!$C$4&amp;" - "&amp;'1.4 Analyse &amp; Synthese'!C34&amp;")","")</f>
        <v>Open-Source Plattform_x000D_(Werkzeug - Paraiso)</v>
      </c>
      <c r="AJ33" s="277" t="str">
        <f t="array" ref="AJ33">_xlfn.IFNA(INDEX($AI$6:$AI$66,MATCH(0,COUNTIF($AJ$4:AJ32,$AI$6:$AI$66),0),1),"")</f>
        <v/>
      </c>
      <c r="AL33" s="277" t="str">
        <f>IF(AND('1.4 Analyse &amp; Synthese'!V34=1,'1.4 Analyse &amp; Synthese'!F34="Empfehlung"),'1.4 Analyse &amp; Synthese'!I34&amp;CHAR(13)&amp;"("&amp;'(Codierung)'!$C$2&amp;" - "&amp;'1.4 Analyse &amp; Synthese'!C34&amp;")","")</f>
        <v/>
      </c>
      <c r="AM33" s="277" t="str">
        <f t="array" ref="AM33">_xlfn.IFNA(INDEX($AL$6:$AL$66,MATCH(0,COUNTIF($AM$4:AM32,$AL$6:$AL$66),0),1),"")</f>
        <v/>
      </c>
      <c r="AN33" s="277" t="str">
        <f>IF(AND('1.4 Analyse &amp; Synthese'!V34=1,'1.4 Analyse &amp; Synthese'!F34="Methode"),'1.4 Analyse &amp; Synthese'!I34&amp;CHAR(13)&amp;"("&amp;'(Codierung)'!$C$3&amp;" - "&amp;'1.4 Analyse &amp; Synthese'!C34&amp;")","")</f>
        <v/>
      </c>
      <c r="AO33" s="277" t="str">
        <f t="array" ref="AO33">_xlfn.IFNA(INDEX($AN$6:$AN$66,MATCH(0,COUNTIF($AO$4:AO32,$AN$6:$AN$66),0),1),"")</f>
        <v/>
      </c>
      <c r="AP33" s="277" t="str">
        <f>IF(AND('1.4 Analyse &amp; Synthese'!V34=1,'1.4 Analyse &amp; Synthese'!F34="Werkzeug"),'1.4 Analyse &amp; Synthese'!I34&amp;CHAR(13)&amp;"("&amp;'(Codierung)'!$C$4&amp;" - "&amp;'1.4 Analyse &amp; Synthese'!C34&amp;")","")</f>
        <v/>
      </c>
      <c r="AQ33" s="277" t="str">
        <f t="array" ref="AQ33">_xlfn.IFNA(INDEX($AP$6:$AP$66,MATCH(0,COUNTIF($AQ$4:AQ32,$AP$6:$AP$66),0),1),"")</f>
        <v/>
      </c>
      <c r="AS33" s="277" t="str">
        <f>IF(AND('1.4 Analyse &amp; Synthese'!W34=1,'1.4 Analyse &amp; Synthese'!F34="Empfehlung"),'1.4 Analyse &amp; Synthese'!I34&amp;CHAR(13)&amp;"("&amp;'(Codierung)'!$C$2&amp;" - "&amp;'1.4 Analyse &amp; Synthese'!C34&amp;")","")</f>
        <v/>
      </c>
      <c r="AT33" s="277" t="str">
        <f t="array" ref="AT33">_xlfn.IFNA(INDEX($AS$6:$AS$66,MATCH(0,COUNTIF($AT$4:AT32,$AS$6:$AS$66),0),1),"")</f>
        <v/>
      </c>
      <c r="AU33" s="277" t="str">
        <f>IF(AND('1.4 Analyse &amp; Synthese'!W34=1,'1.4 Analyse &amp; Synthese'!F34="Methode"),'1.4 Analyse &amp; Synthese'!I34&amp;CHAR(13)&amp;"("&amp;'(Codierung)'!$C$3&amp;" - "&amp;'1.4 Analyse &amp; Synthese'!C34&amp;")","")</f>
        <v/>
      </c>
      <c r="AV33" s="277" t="str">
        <f t="array" ref="AV33">_xlfn.IFNA(INDEX($AU$6:$AU$66,MATCH(0,COUNTIF($AV$4:AV32,$AU$6:$AU$66),0),1),"")</f>
        <v/>
      </c>
      <c r="AW33" s="277" t="str">
        <f>IF(AND('1.4 Analyse &amp; Synthese'!W34=1,'1.4 Analyse &amp; Synthese'!F34="Werkzeug"),'1.4 Analyse &amp; Synthese'!I34&amp;CHAR(13)&amp;"("&amp;'(Codierung)'!$C$4&amp;" - "&amp;'1.4 Analyse &amp; Synthese'!C34&amp;")","")</f>
        <v/>
      </c>
      <c r="AX33" s="277" t="str">
        <f t="array" ref="AX33">_xlfn.IFNA(INDEX($AW$6:$AW$66,MATCH(0,COUNTIF($AX$4:AX32,$AW$6:$AW$66),0),1),"")</f>
        <v/>
      </c>
      <c r="AZ33" s="277" t="str">
        <f>IF(AND('1.4 Analyse &amp; Synthese'!X34=1,'1.4 Analyse &amp; Synthese'!F34="Empfehlung"),'1.4 Analyse &amp; Synthese'!I34&amp;CHAR(13)&amp;"("&amp;'(Codierung)'!$C$2&amp;" - "&amp;'1.4 Analyse &amp; Synthese'!C34&amp;")","")</f>
        <v/>
      </c>
      <c r="BA33" s="277" t="str">
        <f t="array" ref="BA33">_xlfn.IFNA(INDEX($AZ$6:$AZ$66,MATCH(0,COUNTIF($BA$4:BA32,$AZ$6:$AZ$66),0),1),"")</f>
        <v/>
      </c>
      <c r="BB33" s="277" t="str">
        <f>IF(AND('1.4 Analyse &amp; Synthese'!X34=1,'1.4 Analyse &amp; Synthese'!F34="Methode"),'1.4 Analyse &amp; Synthese'!I34&amp;CHAR(13)&amp;"("&amp;'(Codierung)'!$C$3&amp;" - "&amp;'1.4 Analyse &amp; Synthese'!C34&amp;")","")</f>
        <v/>
      </c>
      <c r="BC33" s="277" t="str">
        <f t="array" ref="BC33">_xlfn.IFNA(INDEX($BB$6:$BB$66,MATCH(0,COUNTIF($BC$4:BC32,$BB$6:$BB$66),0),1),"")</f>
        <v/>
      </c>
      <c r="BD33" s="277" t="str">
        <f>IF(AND('1.4 Analyse &amp; Synthese'!X34=1,'1.4 Analyse &amp; Synthese'!F34="Werkzeug"),'1.4 Analyse &amp; Synthese'!I34&amp;CHAR(13)&amp;"("&amp;'(Codierung)'!$C$4&amp;" - "&amp;'1.4 Analyse &amp; Synthese'!C34&amp;")","")</f>
        <v/>
      </c>
      <c r="BE33" s="277" t="str">
        <f t="array" ref="BE33">_xlfn.IFNA(INDEX($BD$6:$BD$66,MATCH(0,COUNTIF($BE$4:BE32,$BD$6:$BD$66),0),1),"")</f>
        <v/>
      </c>
      <c r="BG33" s="277" t="str">
        <f>IF(AND('1.4 Analyse &amp; Synthese'!Y34=1,'1.4 Analyse &amp; Synthese'!F34="Empfehlung"),'1.4 Analyse &amp; Synthese'!I34&amp;CHAR(13)&amp;"("&amp;'(Codierung)'!$C$2&amp;" - "&amp;'1.4 Analyse &amp; Synthese'!C34&amp;")","")</f>
        <v/>
      </c>
      <c r="BH33" s="277" t="str">
        <f t="array" ref="BH33">_xlfn.IFNA(INDEX($BG$6:$BG$66,MATCH(0,COUNTIF($BH$4:BH32,$BG$6:$BG$66),0),1),"")</f>
        <v/>
      </c>
      <c r="BI33" s="277" t="str">
        <f>IF(AND('1.4 Analyse &amp; Synthese'!Y34=1,'1.4 Analyse &amp; Synthese'!F34="Methode"),'1.4 Analyse &amp; Synthese'!I34&amp;CHAR(13)&amp;"("&amp;'(Codierung)'!$C$3&amp;" - "&amp;'1.4 Analyse &amp; Synthese'!C34&amp;")","")</f>
        <v/>
      </c>
      <c r="BJ33" s="277" t="str">
        <f t="array" ref="BJ33">_xlfn.IFNA(INDEX($BI$6:$BI$66,MATCH(0,COUNTIF($BJ$4:BJ32,$BI$6:$BI$66),0),1),"")</f>
        <v/>
      </c>
      <c r="BK33" s="277" t="str">
        <f>IF(AND('1.4 Analyse &amp; Synthese'!Y34=1,'1.4 Analyse &amp; Synthese'!F34="Werkzeug"),'1.4 Analyse &amp; Synthese'!I34&amp;CHAR(13)&amp;"("&amp;'(Codierung)'!$C$4&amp;" - "&amp;'1.4 Analyse &amp; Synthese'!C34&amp;")","")</f>
        <v/>
      </c>
      <c r="BL33" s="277" t="str">
        <f t="array" ref="BL33">_xlfn.IFNA(INDEX($BK$6:$BK$66,MATCH(0,COUNTIF($BL$4:BL32,$BK$6:$BK$66),0),1),"")</f>
        <v/>
      </c>
      <c r="BN33" s="277" t="str">
        <f>IF(AND('1.4 Analyse &amp; Synthese'!Z34=1,'1.4 Analyse &amp; Synthese'!F34="Empfehlung"),'1.4 Analyse &amp; Synthese'!I34&amp;CHAR(13)&amp;"("&amp;'(Codierung)'!$C$2&amp;" - "&amp;'1.4 Analyse &amp; Synthese'!C34&amp;")","")</f>
        <v/>
      </c>
      <c r="BO33" s="277" t="str">
        <f t="array" ref="BO33">_xlfn.IFNA(INDEX($BN$6:$BN$66,MATCH(0,COUNTIF($BO$4:BO32,$BN$6:$BN$66),0),1),"")</f>
        <v/>
      </c>
      <c r="BP33" s="277" t="str">
        <f>IF(AND('1.4 Analyse &amp; Synthese'!Z34=1,'1.4 Analyse &amp; Synthese'!F34="Methode"),'1.4 Analyse &amp; Synthese'!I34&amp;CHAR(13)&amp;"("&amp;'(Codierung)'!$C$3&amp;" - "&amp;'1.4 Analyse &amp; Synthese'!C34&amp;")","")</f>
        <v/>
      </c>
      <c r="BQ33" s="277" t="str">
        <f t="array" ref="BQ33">_xlfn.IFNA(INDEX($BP$6:$BP$66,MATCH(0,COUNTIF($BQ$4:BQ32,$BP$6:$BP$66),0),1),"")</f>
        <v/>
      </c>
      <c r="BR33" s="277" t="str">
        <f>IF(AND('1.4 Analyse &amp; Synthese'!Z34=1,'1.4 Analyse &amp; Synthese'!F34="Werkzeug"),'1.4 Analyse &amp; Synthese'!I34&amp;CHAR(13)&amp;"("&amp;'(Codierung)'!$C$4&amp;" - "&amp;'1.4 Analyse &amp; Synthese'!C34&amp;")","")</f>
        <v/>
      </c>
      <c r="BS33" s="277" t="str">
        <f t="array" ref="BS33">_xlfn.IFNA(INDEX($BR$6:$BR$66,MATCH(0,COUNTIF($BS$4:BS32,$BR$6:$BR$66),0),1),"")</f>
        <v/>
      </c>
      <c r="BU33" s="277" t="str">
        <f>IF(AND('1.4 Analyse &amp; Synthese'!AA34=1,'1.4 Analyse &amp; Synthese'!F34="Empfehlung"),'1.4 Analyse &amp; Synthese'!I34&amp;CHAR(13)&amp;"("&amp;'(Codierung)'!$C$2&amp;" - "&amp;'1.4 Analyse &amp; Synthese'!C34&amp;")","")</f>
        <v/>
      </c>
      <c r="BV33" s="277" t="str">
        <f t="array" ref="BV33">_xlfn.IFNA(INDEX($BU$6:$BU$66,MATCH(0,COUNTIF($BV$4:BV32,$BU$6:$BU$66),0),1),"")</f>
        <v/>
      </c>
      <c r="BW33" s="277" t="str">
        <f>IF(AND('1.4 Analyse &amp; Synthese'!AA34=1,'1.4 Analyse &amp; Synthese'!F34="Methode"),'1.4 Analyse &amp; Synthese'!I34&amp;CHAR(13)&amp;"("&amp;'(Codierung)'!$C$3&amp;" - "&amp;'1.4 Analyse &amp; Synthese'!C34&amp;")","")</f>
        <v/>
      </c>
      <c r="BX33" s="277" t="str">
        <f t="array" ref="BX33">_xlfn.IFNA(INDEX($BW$6:$BW$66,MATCH(0,COUNTIF($BX$4:BX32,$BW$6:$BW$66),0),1),"")</f>
        <v/>
      </c>
      <c r="BY33" s="277" t="str">
        <f>IF(AND('1.4 Analyse &amp; Synthese'!AA34=1,'1.4 Analyse &amp; Synthese'!F34="Werkzeug"),'1.4 Analyse &amp; Synthese'!I34&amp;CHAR(13)&amp;"("&amp;'(Codierung)'!$C$4&amp;" - "&amp;'1.4 Analyse &amp; Synthese'!C34&amp;")","")</f>
        <v/>
      </c>
      <c r="BZ33" s="277" t="str">
        <f t="array" ref="BZ33">_xlfn.IFNA(INDEX($BY$6:$BY$66,MATCH(0,COUNTIF($BZ$4:BZ32,$BY$6:$BY$66),0),1),"")</f>
        <v/>
      </c>
      <c r="CB33" s="277" t="str">
        <f>IF(AND('1.4 Analyse &amp; Synthese'!AB34=1,'1.4 Analyse &amp; Synthese'!F34="Empfehlung"),'1.4 Analyse &amp; Synthese'!I34&amp;CHAR(13)&amp;"("&amp;'(Codierung)'!$C$2&amp;" - "&amp;'1.4 Analyse &amp; Synthese'!C34&amp;")","")</f>
        <v/>
      </c>
      <c r="CC33" s="277" t="str">
        <f t="array" ref="CC33">_xlfn.IFNA(INDEX($CB$6:$CB$66,MATCH(0,COUNTIF($CC$4:CC32,$CB$6:$CB$66),0),1),"")</f>
        <v/>
      </c>
      <c r="CD33" s="277" t="str">
        <f>IF(AND('1.4 Analyse &amp; Synthese'!AB34=1,'1.4 Analyse &amp; Synthese'!F34="Methode"),'1.4 Analyse &amp; Synthese'!I34&amp;CHAR(13)&amp;"("&amp;'(Codierung)'!$C$3&amp;" - "&amp;'1.4 Analyse &amp; Synthese'!C34&amp;")","")</f>
        <v/>
      </c>
      <c r="CE33" s="277" t="str">
        <f t="array" ref="CE33">_xlfn.IFNA(INDEX($CD$6:$CD$66,MATCH(0,COUNTIF($CE$4:CE32,$CD$6:$CD$66),0),1),"")</f>
        <v/>
      </c>
      <c r="CF33" s="277" t="str">
        <f>IF(AND('1.4 Analyse &amp; Synthese'!AB34=1,'1.4 Analyse &amp; Synthese'!F34="Werkzeug"),'1.4 Analyse &amp; Synthese'!I34&amp;CHAR(13)&amp;"("&amp;'(Codierung)'!$C$4&amp;" - "&amp;'1.4 Analyse &amp; Synthese'!C34&amp;")","")</f>
        <v/>
      </c>
      <c r="CG33" s="277" t="str">
        <f t="array" ref="CG33">_xlfn.IFNA(INDEX($CF$6:$CF$66,MATCH(0,COUNTIF($CG$4:CG32,$CF$6:$CF$66),0),1),"")</f>
        <v/>
      </c>
      <c r="CI33" s="277" t="str">
        <f>IF(AND('1.4 Analyse &amp; Synthese'!AC34=1,'1.4 Analyse &amp; Synthese'!F34="Empfehlung"),'1.4 Analyse &amp; Synthese'!I34&amp;CHAR(13)&amp;"("&amp;'(Codierung)'!$C$2&amp;" - "&amp;'1.4 Analyse &amp; Synthese'!C34&amp;")","")</f>
        <v/>
      </c>
      <c r="CJ33" s="277" t="str">
        <f t="array" ref="CJ33">_xlfn.IFNA(INDEX($CI$6:$CI$66,MATCH(0,COUNTIF($CJ$4:CJ32,$CI$6:$CI$66),0),1),"")</f>
        <v/>
      </c>
      <c r="CK33" s="277" t="str">
        <f>IF(AND('1.4 Analyse &amp; Synthese'!AC34=1,'1.4 Analyse &amp; Synthese'!F34="Methode"),'1.4 Analyse &amp; Synthese'!I34&amp;CHAR(13)&amp;"("&amp;'(Codierung)'!$C$3&amp;" - "&amp;'1.4 Analyse &amp; Synthese'!C34&amp;")","")</f>
        <v/>
      </c>
      <c r="CL33" s="277" t="str">
        <f t="array" ref="CL33">_xlfn.IFNA(INDEX($CK$6:$CK$66,MATCH(0,COUNTIF($CL$4:CL32,$CK$6:$CK$66),0),1),"")</f>
        <v/>
      </c>
      <c r="CM33" s="277" t="str">
        <f>IF(AND('1.4 Analyse &amp; Synthese'!AC34=1,'1.4 Analyse &amp; Synthese'!F34="Werkzeug"),'1.4 Analyse &amp; Synthese'!I34&amp;CHAR(13)&amp;"("&amp;'(Codierung)'!$C$4&amp;" - "&amp;'1.4 Analyse &amp; Synthese'!C34&amp;")","")</f>
        <v/>
      </c>
      <c r="CN33" s="277" t="str">
        <f t="array" ref="CN33">_xlfn.IFNA(INDEX($CM$6:$CM$66,MATCH(0,COUNTIF($CN$4:CN32,$CM$6:$CM$66),0),1),"")</f>
        <v/>
      </c>
      <c r="CP33" s="277" t="str">
        <f>IF(AND('1.4 Analyse &amp; Synthese'!AD34=1,'1.4 Analyse &amp; Synthese'!F34="Empfehlung"),'1.4 Analyse &amp; Synthese'!I34&amp;CHAR(13)&amp;"("&amp;'(Codierung)'!$C$2&amp;" - "&amp;'1.4 Analyse &amp; Synthese'!C34&amp;")","")</f>
        <v/>
      </c>
      <c r="CQ33" s="277" t="str">
        <f t="array" ref="CQ33">_xlfn.IFNA(INDEX($CP$6:$CP$66,MATCH(0,COUNTIF($CQ$4:CQ32,$CP$6:$CP$66),0),1),"")</f>
        <v/>
      </c>
      <c r="CR33" s="277" t="str">
        <f>IF(AND('1.4 Analyse &amp; Synthese'!AD34=1,'1.4 Analyse &amp; Synthese'!F34="Methode"),'1.4 Analyse &amp; Synthese'!I34&amp;CHAR(13)&amp;"("&amp;'(Codierung)'!$C$3&amp;" - "&amp;'1.4 Analyse &amp; Synthese'!C34&amp;")","")</f>
        <v/>
      </c>
      <c r="CS33" s="277" t="str">
        <f t="array" ref="CS33">_xlfn.IFNA(INDEX($CR$6:$CR$66,MATCH(0,COUNTIF($CS$4:CS32,$CR$6:$CR$66),0),1),"")</f>
        <v/>
      </c>
      <c r="CT33" s="277" t="str">
        <f>IF(AND('1.4 Analyse &amp; Synthese'!AD34=1,'1.4 Analyse &amp; Synthese'!F34="Werkzeug"),'1.4 Analyse &amp; Synthese'!I34&amp;CHAR(13)&amp;"("&amp;'(Codierung)'!$C$4&amp;" - "&amp;'1.4 Analyse &amp; Synthese'!C34&amp;")","")</f>
        <v/>
      </c>
      <c r="CU33" s="277" t="str">
        <f t="array" ref="CU33">_xlfn.IFNA(INDEX($CT$6:$CT$66,MATCH(0,COUNTIF($CU$4:CU32,$CT$6:$CT$66),0),1),"")</f>
        <v/>
      </c>
      <c r="CW33" s="277" t="str">
        <f>IF(AND('1.4 Analyse &amp; Synthese'!AE34=1,'1.4 Analyse &amp; Synthese'!F34="Empfehlung"),'1.4 Analyse &amp; Synthese'!I34&amp;CHAR(13)&amp;"("&amp;'(Codierung)'!$C$2&amp;" - "&amp;'1.4 Analyse &amp; Synthese'!C34&amp;")","")</f>
        <v/>
      </c>
      <c r="CX33" s="277" t="str">
        <f t="array" ref="CX33">_xlfn.IFNA(INDEX($CW$6:$CW$66,MATCH(0,COUNTIF($CX$4:CX32,$CW$6:$CW$66),0),1),"")</f>
        <v/>
      </c>
      <c r="CY33" s="277" t="str">
        <f>IF(AND('1.4 Analyse &amp; Synthese'!AE34=1,'1.4 Analyse &amp; Synthese'!F34="Methode"),'1.4 Analyse &amp; Synthese'!I34&amp;CHAR(13)&amp;"("&amp;'(Codierung)'!$C$3&amp;" - "&amp;'1.4 Analyse &amp; Synthese'!C34&amp;")","")</f>
        <v/>
      </c>
      <c r="CZ33" s="277" t="str">
        <f t="array" ref="CZ33">_xlfn.IFNA(INDEX($CY$6:$CY$66,MATCH(0,COUNTIF($CZ$4:CZ32,$CY$6:$CY$66),0),1),"")</f>
        <v/>
      </c>
      <c r="DA33" s="277" t="str">
        <f>IF(AND('1.4 Analyse &amp; Synthese'!AE34=1,'1.4 Analyse &amp; Synthese'!F34="Werkzeug"),'1.4 Analyse &amp; Synthese'!I34&amp;CHAR(13)&amp;"("&amp;'(Codierung)'!$C$4&amp;" - "&amp;'1.4 Analyse &amp; Synthese'!C34&amp;")","")</f>
        <v>Open-Source Plattform_x000D_(Werkzeug - Paraiso)</v>
      </c>
      <c r="DB33" s="277" t="str">
        <f t="array" ref="DB33">_xlfn.IFNA(INDEX($DA$6:$DA$66,MATCH(0,COUNTIF($DB$4:DB32,$DA$6:$DA$66),0),1),"")</f>
        <v/>
      </c>
      <c r="DD33" s="277" t="str">
        <f>IF(AND('1.4 Analyse &amp; Synthese'!AF34=1,'1.4 Analyse &amp; Synthese'!F34="Empfehlung"),'1.4 Analyse &amp; Synthese'!I34&amp;CHAR(13)&amp;"("&amp;'(Codierung)'!$C$2&amp;" - "&amp;'1.4 Analyse &amp; Synthese'!C34&amp;")","")</f>
        <v/>
      </c>
      <c r="DE33" s="277" t="str">
        <f t="array" ref="DE33">_xlfn.IFNA(INDEX($DD$6:$DD$66,MATCH(0,COUNTIF($DE$4:DE32,$DD$6:$DD$66),0),1),"")</f>
        <v/>
      </c>
      <c r="DF33" s="277" t="str">
        <f>IF(AND('1.4 Analyse &amp; Synthese'!AF34=1,'1.4 Analyse &amp; Synthese'!F34="Methode"),'1.4 Analyse &amp; Synthese'!I34&amp;CHAR(13)&amp;"("&amp;'(Codierung)'!$C$3&amp;" - "&amp;'1.4 Analyse &amp; Synthese'!C34&amp;")","")</f>
        <v/>
      </c>
      <c r="DG33" s="277" t="str">
        <f t="array" ref="DG33">_xlfn.IFNA(INDEX($DF$6:$DF$66,MATCH(0,COUNTIF($DG$4:DG32,$DF$6:$DF$66),0),1),"")</f>
        <v/>
      </c>
      <c r="DH33" s="277" t="str">
        <f>IF(AND('1.4 Analyse &amp; Synthese'!AF34=1,'1.4 Analyse &amp; Synthese'!F34="Werkzeug"),'1.4 Analyse &amp; Synthese'!I34&amp;CHAR(13)&amp;"("&amp;'(Codierung)'!$C$4&amp;" - "&amp;'1.4 Analyse &amp; Synthese'!C34&amp;")","")</f>
        <v>Open-Source Plattform_x000D_(Werkzeug - Paraiso)</v>
      </c>
      <c r="DI33" s="277" t="str">
        <f t="array" ref="DI33">_xlfn.IFNA(INDEX($DH$6:$DH$66,MATCH(0,COUNTIF($DI$4:DI32,$DH$6:$DH$66),0),1),"")</f>
        <v/>
      </c>
      <c r="DK33" s="277" t="str">
        <f>IF(AND('1.4 Analyse &amp; Synthese'!AG34=1,'1.4 Analyse &amp; Synthese'!F34="Empfehlung"),'1.4 Analyse &amp; Synthese'!I34&amp;CHAR(13)&amp;"("&amp;'(Codierung)'!$C$2&amp;" - "&amp;'1.4 Analyse &amp; Synthese'!C34&amp;")","")</f>
        <v/>
      </c>
      <c r="DL33" s="277" t="str">
        <f t="array" ref="DL33">_xlfn.IFNA(INDEX($DK$6:$DK$66,MATCH(0,COUNTIF($DL$4:DL32,$DK$6:$DK$66),0),1),"")</f>
        <v/>
      </c>
      <c r="DM33" s="277" t="str">
        <f>IF(AND('1.4 Analyse &amp; Synthese'!AG34=1,'1.4 Analyse &amp; Synthese'!F34="Methode"),'1.4 Analyse &amp; Synthese'!I34&amp;CHAR(13)&amp;"("&amp;'(Codierung)'!$C$3&amp;" - "&amp;'1.4 Analyse &amp; Synthese'!C34&amp;")","")</f>
        <v/>
      </c>
      <c r="DN33" s="277" t="str">
        <f t="array" ref="DN33">_xlfn.IFNA(INDEX($DM$6:$DM$66,MATCH(0,COUNTIF($DN$4:DN32,$DM$6:$DM$66),0),1),"")</f>
        <v/>
      </c>
      <c r="DO33" s="277" t="str">
        <f>IF(AND('1.4 Analyse &amp; Synthese'!AG34=1,'1.4 Analyse &amp; Synthese'!F34="Werkzeug"),'1.4 Analyse &amp; Synthese'!I34&amp;CHAR(13)&amp;"("&amp;'(Codierung)'!$C$4&amp;" - "&amp;'1.4 Analyse &amp; Synthese'!C34&amp;")","")</f>
        <v>Open-Source Plattform_x000D_(Werkzeug - Paraiso)</v>
      </c>
      <c r="DP33" s="277" t="str">
        <f t="array" ref="DP33">_xlfn.IFNA(INDEX($DO$6:$DO$66,MATCH(0,COUNTIF($DP$4:DP32,$DO$6:$DO$66),0),1),"")</f>
        <v/>
      </c>
      <c r="DR33" s="277" t="str">
        <f>IF(AND('1.4 Analyse &amp; Synthese'!AH34=1,'1.4 Analyse &amp; Synthese'!F34="Empfehlung"),'1.4 Analyse &amp; Synthese'!I34&amp;CHAR(13)&amp;"("&amp;'(Codierung)'!$C$2&amp;" - "&amp;'1.4 Analyse &amp; Synthese'!C34&amp;")","")</f>
        <v/>
      </c>
      <c r="DS33" s="277" t="str">
        <f t="array" ref="DS33">_xlfn.IFNA(INDEX($DR$6:$DR$66,MATCH(0,COUNTIF($DS$4:DS32,$DR$6:$DR$66),0),1),"")</f>
        <v/>
      </c>
      <c r="DT33" s="277" t="str">
        <f>IF(AND('1.4 Analyse &amp; Synthese'!AH34=1,'1.4 Analyse &amp; Synthese'!F34="Methode"),'1.4 Analyse &amp; Synthese'!I34&amp;CHAR(13)&amp;"("&amp;'(Codierung)'!$C$3&amp;" - "&amp;'1.4 Analyse &amp; Synthese'!C34&amp;")","")</f>
        <v/>
      </c>
      <c r="DU33" s="277" t="str">
        <f t="array" ref="DU33">_xlfn.IFNA(INDEX($DT$6:$DT$66,MATCH(0,COUNTIF($DU$4:DU32,$DT$6:$DT$66),0),1),"")</f>
        <v/>
      </c>
      <c r="DV33" s="277" t="str">
        <f>IF(AND('1.4 Analyse &amp; Synthese'!AH34=1,'1.4 Analyse &amp; Synthese'!F34="Werkzeug"),'1.4 Analyse &amp; Synthese'!I34&amp;CHAR(13)&amp;"("&amp;'(Codierung)'!$C$4&amp;" - "&amp;'1.4 Analyse &amp; Synthese'!C34&amp;")","")</f>
        <v/>
      </c>
      <c r="DW33" s="277" t="str">
        <f t="array" ref="DW33">_xlfn.IFNA(INDEX($DV$6:$DV$66,MATCH(0,COUNTIF($DW$4:DW32,$DV$6:$DV$66),0),1),"")</f>
        <v/>
      </c>
      <c r="DY33" s="277" t="str">
        <f>IF(AND('1.4 Analyse &amp; Synthese'!AI34=1,'1.4 Analyse &amp; Synthese'!F34="Empfehlung"),'1.4 Analyse &amp; Synthese'!I34&amp;CHAR(13)&amp;"("&amp;'(Codierung)'!$C$2&amp;" - "&amp;'1.4 Analyse &amp; Synthese'!C34&amp;")","")</f>
        <v/>
      </c>
      <c r="DZ33" s="277" t="str">
        <f t="array" ref="DZ33">_xlfn.IFNA(INDEX($DY$6:$DY$66,MATCH(0,COUNTIF($DZ$4:DZ32,$DY$6:$DY$66),0),1),"")</f>
        <v/>
      </c>
      <c r="EA33" s="277" t="str">
        <f>IF(AND('1.4 Analyse &amp; Synthese'!AI34=1,'1.4 Analyse &amp; Synthese'!F34="Methode"),'1.4 Analyse &amp; Synthese'!I34&amp;CHAR(13)&amp;"("&amp;'(Codierung)'!$C$3&amp;" - "&amp;'1.4 Analyse &amp; Synthese'!C34&amp;")","")</f>
        <v/>
      </c>
      <c r="EB33" s="277" t="str">
        <f t="array" ref="EB33">_xlfn.IFNA(INDEX($EA$6:$EA$66,MATCH(0,COUNTIF($EB$4:EB32,$EA$6:$EA$66),0),1),"")</f>
        <v/>
      </c>
      <c r="EC33" s="277" t="str">
        <f>IF(AND('1.4 Analyse &amp; Synthese'!AI34=1,'1.4 Analyse &amp; Synthese'!F34="Werkzeug"),'1.4 Analyse &amp; Synthese'!I34&amp;CHAR(13)&amp;"("&amp;'(Codierung)'!$C$4&amp;" - "&amp;'1.4 Analyse &amp; Synthese'!C34&amp;")","")</f>
        <v>Open-Source Plattform_x000D_(Werkzeug - Paraiso)</v>
      </c>
      <c r="ED33" s="277" t="str">
        <f t="array" ref="ED33">_xlfn.IFNA(INDEX($EC$6:$EC$66,MATCH(0,COUNTIF($ED$4:ED32,$EC$6:$EC$66),0),1),"")</f>
        <v/>
      </c>
      <c r="EF33" s="277" t="str">
        <f>IF(AND('1.4 Analyse &amp; Synthese'!AJ34=1,'1.4 Analyse &amp; Synthese'!F34="Empfehlung"),'1.4 Analyse &amp; Synthese'!I34&amp;CHAR(13)&amp;"("&amp;'(Codierung)'!$C$2&amp;" - "&amp;'1.4 Analyse &amp; Synthese'!C34&amp;")","")</f>
        <v/>
      </c>
      <c r="EG33" s="277" t="str">
        <f t="array" ref="EG33">_xlfn.IFNA(INDEX($EF$6:$EF$66,MATCH(0,COUNTIF($EG$4:EG32,$EF$6:$EF$66),0),1),"")</f>
        <v/>
      </c>
      <c r="EH33" s="277" t="str">
        <f>IF(AND('1.4 Analyse &amp; Synthese'!AJ34=1,'1.4 Analyse &amp; Synthese'!F34="Methode"),'1.4 Analyse &amp; Synthese'!I34&amp;CHAR(13)&amp;"("&amp;'(Codierung)'!$C$3&amp;" - "&amp;'1.4 Analyse &amp; Synthese'!C34&amp;")","")</f>
        <v/>
      </c>
      <c r="EI33" s="277" t="str">
        <f t="array" ref="EI33">_xlfn.IFNA(INDEX($EH$6:$EH$66,MATCH(0,COUNTIF($EI$4:EI32,$EH$6:$EH$66),0),1),"")</f>
        <v/>
      </c>
      <c r="EJ33" s="277" t="str">
        <f>IF(AND('1.4 Analyse &amp; Synthese'!AJ34=1,'1.4 Analyse &amp; Synthese'!F34="Werkzeug"),'1.4 Analyse &amp; Synthese'!I34&amp;CHAR(13)&amp;"("&amp;'(Codierung)'!$C$4&amp;" - "&amp;'1.4 Analyse &amp; Synthese'!C34&amp;")","")</f>
        <v/>
      </c>
      <c r="EK33" s="277" t="str">
        <f t="array" ref="EK33">_xlfn.IFNA(INDEX($EJ$6:$EJ$66,MATCH(0,COUNTIF($EK$4:EK32,$EJ$6:$EJ$66),0),1),"")</f>
        <v/>
      </c>
      <c r="EN33" s="222" t="str">
        <f t="shared" si="0"/>
        <v/>
      </c>
      <c r="EO33" s="277" t="str">
        <f t="shared" si="1"/>
        <v/>
      </c>
      <c r="EP33" s="277" t="str">
        <f t="shared" si="2"/>
        <v/>
      </c>
      <c r="EQ33" s="277" t="str">
        <f>ZahlenInBereich(Tabelle1[[Empfehlung]:[Werkzeug]],ROW()-5)</f>
        <v/>
      </c>
      <c r="ER33" s="277" t="str">
        <f t="shared" si="3"/>
        <v/>
      </c>
      <c r="ES33" s="277" t="str">
        <f t="shared" si="4"/>
        <v/>
      </c>
      <c r="ET33" s="277" t="str">
        <f t="shared" si="5"/>
        <v/>
      </c>
      <c r="EU33" s="277" t="str">
        <f>ZahlenInBereich(Tabelle1[[Empfehlung2]:[Werkzeug4]],ROW()-5)</f>
        <v/>
      </c>
      <c r="EV33" s="277" t="str">
        <f t="shared" si="6"/>
        <v/>
      </c>
      <c r="EW33" s="277" t="str">
        <f t="shared" si="7"/>
        <v/>
      </c>
      <c r="EX33" s="277" t="str">
        <f t="shared" si="8"/>
        <v/>
      </c>
      <c r="EY33" s="277" t="str">
        <f>ZahlenInBereich(Tabelle1[[Empfehlung6]:[Werkzeug8]],ROW()-5)</f>
        <v/>
      </c>
      <c r="EZ33" s="277" t="str">
        <f t="shared" si="9"/>
        <v/>
      </c>
      <c r="FA33" s="277" t="str">
        <f t="shared" si="10"/>
        <v/>
      </c>
      <c r="FB33" s="277" t="str">
        <f t="shared" si="11"/>
        <v/>
      </c>
      <c r="FC33" s="277" t="str">
        <f>ZahlenInBereich(Tabelle1[[Empfehlung10]:[Werkzeug12]],ROW()-5)</f>
        <v/>
      </c>
      <c r="FD33" s="277" t="str">
        <f t="shared" si="12"/>
        <v/>
      </c>
      <c r="FE33" s="277" t="str">
        <f t="shared" si="13"/>
        <v/>
      </c>
      <c r="FF33" s="277" t="str">
        <f t="shared" si="14"/>
        <v/>
      </c>
      <c r="FG33" s="277" t="str">
        <f>ZahlenInBereich(Tabelle1[[Empfehlung14]:[Werkzeug16]],ROW()-5)</f>
        <v/>
      </c>
      <c r="FH33" s="277" t="str">
        <f t="shared" si="15"/>
        <v/>
      </c>
      <c r="FI33" s="277" t="str">
        <f t="shared" si="16"/>
        <v/>
      </c>
      <c r="FJ33" s="277" t="str">
        <f t="shared" si="17"/>
        <v/>
      </c>
      <c r="FK33" s="277" t="str">
        <f>ZahlenInBereich(Tabelle1[[Empfehlung18]:[Werkzeug20]],ROW()-5)</f>
        <v/>
      </c>
      <c r="FL33" s="277" t="str">
        <f t="shared" si="18"/>
        <v/>
      </c>
      <c r="FM33" s="277" t="str">
        <f t="shared" si="19"/>
        <v/>
      </c>
      <c r="FN33" s="277" t="str">
        <f t="shared" si="20"/>
        <v/>
      </c>
      <c r="FO33" s="277" t="str">
        <f>ZahlenInBereich(Tabelle1[[Empfehlung22]:[Werkzeug24]],ROW()-5)</f>
        <v/>
      </c>
      <c r="FP33" s="277" t="str">
        <f t="shared" si="21"/>
        <v/>
      </c>
      <c r="FQ33" s="277" t="str">
        <f t="shared" si="22"/>
        <v/>
      </c>
      <c r="FR33" s="277" t="str">
        <f t="shared" si="23"/>
        <v/>
      </c>
      <c r="FS33" s="277" t="str">
        <f>ZahlenInBereich(Tabelle1[[Empfehlung26]:[Werkzeug28]],ROW()-5)</f>
        <v/>
      </c>
      <c r="FT33" s="277" t="str">
        <f t="shared" si="24"/>
        <v/>
      </c>
      <c r="FU33" s="277" t="str">
        <f t="shared" si="25"/>
        <v/>
      </c>
      <c r="FV33" s="277" t="str">
        <f t="shared" si="26"/>
        <v/>
      </c>
      <c r="FW33" s="277" t="str">
        <f>ZahlenInBereich(Tabelle1[[Empfehlung30]:[Werkzeug32]],ROW()-5)</f>
        <v/>
      </c>
      <c r="FX33" s="277" t="str">
        <f t="shared" si="27"/>
        <v/>
      </c>
      <c r="FY33" s="277" t="str">
        <f t="shared" si="28"/>
        <v/>
      </c>
      <c r="FZ33" s="277" t="str">
        <f t="shared" si="29"/>
        <v/>
      </c>
      <c r="GA33" s="277" t="str">
        <f>ZahlenInBereich(Tabelle1[[Empfehlung34]:[Werkzeug36]],ROW()-5)</f>
        <v/>
      </c>
      <c r="GB33" s="277" t="str">
        <f t="shared" si="30"/>
        <v/>
      </c>
      <c r="GC33" s="277" t="str">
        <f t="shared" si="31"/>
        <v/>
      </c>
      <c r="GD33" s="277" t="str">
        <f t="shared" si="32"/>
        <v/>
      </c>
      <c r="GE33" s="277" t="str">
        <f>ZahlenInBereich(Tabelle1[[Empfehlung38]:[Werkzeug40]],ROW()-5)</f>
        <v/>
      </c>
      <c r="GF33" s="277" t="str">
        <f t="shared" si="33"/>
        <v/>
      </c>
      <c r="GG33" s="277" t="str">
        <f t="shared" si="34"/>
        <v/>
      </c>
      <c r="GH33" s="277" t="str">
        <f t="shared" si="35"/>
        <v/>
      </c>
      <c r="GI33" s="277" t="str">
        <f>ZahlenInBereich(Tabelle1[[Empfehlung42]:[Werkzeug44]],ROW()-5)</f>
        <v/>
      </c>
      <c r="GJ33" s="277" t="str">
        <f t="shared" si="36"/>
        <v/>
      </c>
      <c r="GK33" s="277" t="str">
        <f t="shared" si="37"/>
        <v/>
      </c>
      <c r="GL33" s="277" t="str">
        <f t="shared" si="38"/>
        <v/>
      </c>
      <c r="GM33" s="277" t="str">
        <f>ZahlenInBereich(Tabelle1[[Empfehlung46]:[Werkzeug48]],ROW()-5)</f>
        <v/>
      </c>
      <c r="GN33" s="277" t="str">
        <f t="shared" si="39"/>
        <v/>
      </c>
      <c r="GO33" s="277" t="str">
        <f t="shared" si="40"/>
        <v/>
      </c>
      <c r="GP33" s="277" t="str">
        <f t="shared" si="41"/>
        <v/>
      </c>
      <c r="GQ33" s="277" t="str">
        <f>ZahlenInBereich(Tabelle1[[Empfehlung50]:[Werkzeug52]],ROW()-5)</f>
        <v/>
      </c>
      <c r="GR33" s="277" t="str">
        <f t="shared" si="42"/>
        <v/>
      </c>
      <c r="GS33" s="277" t="str">
        <f t="shared" si="43"/>
        <v/>
      </c>
      <c r="GT33" s="277" t="str">
        <f t="shared" si="44"/>
        <v/>
      </c>
      <c r="GU33" s="277" t="str">
        <f>ZahlenInBereich(Tabelle1[[Empfehlung54]:[Werkzeug56]],ROW()-5)</f>
        <v/>
      </c>
      <c r="GV33" s="277" t="str">
        <f t="shared" si="45"/>
        <v/>
      </c>
      <c r="GW33" s="277" t="str">
        <f t="shared" si="46"/>
        <v/>
      </c>
      <c r="GX33" s="277" t="str">
        <f t="shared" si="47"/>
        <v/>
      </c>
      <c r="GY33" s="277" t="str">
        <f>ZahlenInBereich(Tabelle1[[Empfehlung58]:[Werkzeug60]],ROW()-5)</f>
        <v/>
      </c>
      <c r="GZ33" s="277" t="str">
        <f t="shared" si="48"/>
        <v/>
      </c>
      <c r="HA33" s="277" t="str">
        <f t="shared" si="49"/>
        <v/>
      </c>
      <c r="HB33" s="277" t="str">
        <f t="shared" si="50"/>
        <v/>
      </c>
      <c r="HC33" s="277" t="str">
        <f>ZahlenInBereich(Tabelle1[[Empfehlung62]:[Werkzeug64]],ROW()-5)</f>
        <v/>
      </c>
      <c r="HD33" s="277" t="str">
        <f t="shared" si="51"/>
        <v/>
      </c>
      <c r="HE33" s="277" t="str">
        <f t="shared" si="52"/>
        <v/>
      </c>
      <c r="HF33" s="277" t="str">
        <f t="shared" si="53"/>
        <v/>
      </c>
      <c r="HG33" s="277" t="str">
        <f>ZahlenInBereich(Tabelle1[[Empfehlung66]:[Werkzeug68]],ROW()-5)</f>
        <v/>
      </c>
      <c r="HH33" s="277" t="str">
        <f t="shared" si="54"/>
        <v/>
      </c>
      <c r="HI33" s="277" t="str">
        <f t="shared" si="55"/>
        <v/>
      </c>
      <c r="HJ33" s="277" t="str">
        <f t="shared" si="56"/>
        <v/>
      </c>
      <c r="HK33" s="277" t="str">
        <f>ZahlenInBereich(Tabelle1[[Empfehlung70]:[Werkzeug72]],ROW()-5)</f>
        <v/>
      </c>
      <c r="HL33" s="277" t="str">
        <f t="shared" si="57"/>
        <v/>
      </c>
      <c r="HM33" s="277" t="str">
        <f t="shared" si="58"/>
        <v/>
      </c>
      <c r="HN33" s="277" t="str">
        <f t="shared" si="59"/>
        <v/>
      </c>
      <c r="HO33" s="277" t="str">
        <f>ZahlenInBereich(Tabelle1[[Empfehlung74]:[Werkzeug76]],ROW()-5)</f>
        <v/>
      </c>
    </row>
    <row r="34" spans="2:223" ht="32" x14ac:dyDescent="0.2">
      <c r="B34" s="134">
        <f>'1.4 Analyse &amp; Synthese'!B35</f>
        <v>29</v>
      </c>
      <c r="C34" s="277" t="str">
        <f>IF(AND('1.4 Analyse &amp; Synthese'!Q35=1,'1.4 Analyse &amp; Synthese'!F35="Empfehlung"),'1.4 Analyse &amp; Synthese'!I35&amp;CHAR(13)&amp;"("&amp;'(Codierung)'!$C$2&amp;" - "&amp;'1.4 Analyse &amp; Synthese'!C35&amp;")","")</f>
        <v/>
      </c>
      <c r="D34" s="222" t="str">
        <f t="array" ref="D34">_xlfn.IFNA(INDEX($C$6:$C$66,MATCH(0,COUNTIF($D$4:D33,$C$6:$C$66),0),1),"")</f>
        <v/>
      </c>
      <c r="E34" s="277" t="str">
        <f>IF(AND('1.4 Analyse &amp; Synthese'!Q35=1,'1.4 Analyse &amp; Synthese'!F35="Methode"),'1.4 Analyse &amp; Synthese'!I35&amp;CHAR(13)&amp;"("&amp;'(Codierung)'!$C$3&amp;" - "&amp;'1.4 Analyse &amp; Synthese'!C35&amp;")","")</f>
        <v/>
      </c>
      <c r="F34" s="277" t="str">
        <f t="array" ref="F34">_xlfn.IFNA(INDEX($E$6:$E$66,MATCH(0,COUNTIF($F$4:F33,$E$6:$E$66),0),1),"")</f>
        <v/>
      </c>
      <c r="G34" s="277" t="str">
        <f>IF(AND('1.4 Analyse &amp; Synthese'!Q35=1,'1.4 Analyse &amp; Synthese'!F35="Werkzeug"),'1.4 Analyse &amp; Synthese'!I35&amp;CHAR(13)&amp;"("&amp;'(Codierung)'!$C$4&amp;" - "&amp;'1.4 Analyse &amp; Synthese'!C35&amp;")","")</f>
        <v/>
      </c>
      <c r="H34" s="277" t="str">
        <f t="array" ref="H34">_xlfn.IFNA(INDEX($G$6:$G$66,MATCH(0,COUNTIF($H$4:H33,$G$6:$G$66),0),1),"")</f>
        <v/>
      </c>
      <c r="J34" s="277" t="str">
        <f>IF(AND('1.4 Analyse &amp; Synthese'!R35=1,'1.4 Analyse &amp; Synthese'!F35="Empfehlung"),'1.4 Analyse &amp; Synthese'!I35&amp;CHAR(13)&amp;"("&amp;'(Codierung)'!$C$2&amp;" - "&amp;'1.4 Analyse &amp; Synthese'!C35&amp;")","")</f>
        <v>Einheitl. Servicebeschreibung_x000D_(Empfehlung - Rekik )</v>
      </c>
      <c r="K34" s="277" t="str">
        <f t="array" ref="K34">_xlfn.IFNA(INDEX($J$6:$J$66,MATCH(0,COUNTIF($K$4:K33,$J$6:$J$66),0),1),"")</f>
        <v/>
      </c>
      <c r="L34" s="277" t="str">
        <f>IF(AND('1.4 Analyse &amp; Synthese'!R35=1,'1.4 Analyse &amp; Synthese'!F35="Methode"),'1.4 Analyse &amp; Synthese'!I35&amp;CHAR(13)&amp;"("&amp;'(Codierung)'!$C$3&amp;" - "&amp;'1.4 Analyse &amp; Synthese'!C35&amp;")","")</f>
        <v/>
      </c>
      <c r="M34" s="277" t="str">
        <f t="array" ref="M34">_xlfn.IFNA(INDEX($L$6:$L$66,MATCH(0,COUNTIF($M$4:M33,$L$6:$L$66),0),1),"")</f>
        <v/>
      </c>
      <c r="N34" s="277" t="str">
        <f>IF(AND('1.4 Analyse &amp; Synthese'!R35=1,'1.4 Analyse &amp; Synthese'!F35="Werkzeug"),'1.4 Analyse &amp; Synthese'!I35&amp;CHAR(13)&amp;"("&amp;'(Codierung)'!$C$4&amp;" - "&amp;'1.4 Analyse &amp; Synthese'!C35&amp;")","")</f>
        <v/>
      </c>
      <c r="O34" s="277" t="str">
        <f t="array" ref="O34">_xlfn.IFNA(INDEX($N$6:$N$66,MATCH(0,COUNTIF($O$4:O33,$N$6:$N$66),0),1),"")</f>
        <v/>
      </c>
      <c r="Q34" s="277" t="str">
        <f>IF(AND('1.4 Analyse &amp; Synthese'!S35=1,'1.4 Analyse &amp; Synthese'!F35="Empfehlung"),'1.4 Analyse &amp; Synthese'!I35&amp;CHAR(13)&amp;"("&amp;'(Codierung)'!$C$2&amp;" - "&amp;'1.4 Analyse &amp; Synthese'!C35&amp;")","")</f>
        <v/>
      </c>
      <c r="R34" s="277" t="str">
        <f t="array" ref="R34">_xlfn.IFNA(INDEX($Q$6:$Q$66,MATCH(0,COUNTIF($R$4:R33,$Q$6:$Q$66),0),1),"")</f>
        <v/>
      </c>
      <c r="S34" s="277" t="str">
        <f>IF(AND('1.4 Analyse &amp; Synthese'!S35=1,'1.4 Analyse &amp; Synthese'!F35="Methode"),'1.4 Analyse &amp; Synthese'!I35&amp;CHAR(13)&amp;"("&amp;'(Codierung)'!$C$3&amp;" - "&amp;'1.4 Analyse &amp; Synthese'!C35&amp;")","")</f>
        <v/>
      </c>
      <c r="T34" s="277" t="str">
        <f t="array" ref="T34">_xlfn.IFNA(INDEX($S$6:$S$66,MATCH(0,COUNTIF($T$4:T33,$S$6:$S$66),0),1),"")</f>
        <v/>
      </c>
      <c r="U34" s="277" t="str">
        <f>IF(AND('1.4 Analyse &amp; Synthese'!S35=1,'1.4 Analyse &amp; Synthese'!F35="Werkzeug"),'1.4 Analyse &amp; Synthese'!I35&amp;CHAR(13)&amp;"("&amp;'(Codierung)'!$C$4&amp;" - "&amp;'1.4 Analyse &amp; Synthese'!C35&amp;")","")</f>
        <v/>
      </c>
      <c r="V34" s="277" t="str">
        <f t="array" ref="V34">_xlfn.IFNA(INDEX($U$6:$U$66,MATCH(0,COUNTIF($V$4:V33,$U$6:$U$66),0),1),"")</f>
        <v/>
      </c>
      <c r="X34" s="277" t="str">
        <f>IF(AND('1.4 Analyse &amp; Synthese'!T35=1,'1.4 Analyse &amp; Synthese'!F35="Empfehlung"),'1.4 Analyse &amp; Synthese'!I35&amp;CHAR(13)&amp;"("&amp;'(Codierung)'!$C$2&amp;" - "&amp;'1.4 Analyse &amp; Synthese'!C35&amp;")","")</f>
        <v/>
      </c>
      <c r="Y34" s="277" t="str">
        <f t="array" ref="Y34">_xlfn.IFNA(INDEX($X$6:$X$66,MATCH(0,COUNTIF($Y$4:Y33,$X$6:$X$66),0),1),"")</f>
        <v/>
      </c>
      <c r="Z34" s="277" t="str">
        <f>IF(AND('1.4 Analyse &amp; Synthese'!T35=1,'1.4 Analyse &amp; Synthese'!F35="Methode"),'1.4 Analyse &amp; Synthese'!I35&amp;CHAR(13)&amp;"("&amp;'(Codierung)'!$C$3&amp;" - "&amp;'1.4 Analyse &amp; Synthese'!C35&amp;")","")</f>
        <v/>
      </c>
      <c r="AA34" s="277" t="str">
        <f t="array" ref="AA34">_xlfn.IFNA(INDEX($Z$6:$Z$66,MATCH(0,COUNTIF($AA$4:AA33,$Z$6:$Z$66),0),1),"")</f>
        <v/>
      </c>
      <c r="AB34" s="277" t="str">
        <f>IF(AND('1.4 Analyse &amp; Synthese'!T35=1,'1.4 Analyse &amp; Synthese'!F35="Werkzeug"),'1.4 Analyse &amp; Synthese'!I35&amp;CHAR(13)&amp;"("&amp;'(Codierung)'!$C$4&amp;" - "&amp;'1.4 Analyse &amp; Synthese'!C35&amp;")","")</f>
        <v/>
      </c>
      <c r="AC34" s="277" t="str">
        <f t="array" ref="AC34">_xlfn.IFNA(INDEX($AB$6:$AB$66,MATCH(0,COUNTIF($AC$4:AC33,$AB$6:$AB$66),0),1),"")</f>
        <v/>
      </c>
      <c r="AE34" s="277" t="str">
        <f>IF(AND('1.4 Analyse &amp; Synthese'!U35=1,'1.4 Analyse &amp; Synthese'!F35="Empfehlung"),'1.4 Analyse &amp; Synthese'!I35&amp;CHAR(13)&amp;"("&amp;'(Codierung)'!$C$2&amp;" - "&amp;'1.4 Analyse &amp; Synthese'!C35&amp;")","")</f>
        <v/>
      </c>
      <c r="AF34" s="277" t="str">
        <f t="array" ref="AF34">_xlfn.IFNA(INDEX($AE$6:$AE$66,MATCH(0,COUNTIF($AF$4:AF33,$AE$6:$AE$66),0),1),"")</f>
        <v/>
      </c>
      <c r="AG34" s="277" t="str">
        <f>IF(AND('1.4 Analyse &amp; Synthese'!U35=1,'1.4 Analyse &amp; Synthese'!F35="Methode"),'1.4 Analyse &amp; Synthese'!I35&amp;CHAR(13)&amp;"("&amp;'(Codierung)'!$C$3&amp;" - "&amp;'1.4 Analyse &amp; Synthese'!C35&amp;")","")</f>
        <v/>
      </c>
      <c r="AH34" s="277" t="str">
        <f t="array" ref="AH34">_xlfn.IFNA(INDEX($AG$6:$AG$66,MATCH(0,COUNTIF($AH$4:AH33,$AG$6:$AG$66),0),1),"")</f>
        <v/>
      </c>
      <c r="AI34" s="277" t="str">
        <f>IF(AND('1.4 Analyse &amp; Synthese'!U35=1,'1.4 Analyse &amp; Synthese'!F35="Werkzeug"),'1.4 Analyse &amp; Synthese'!I35&amp;CHAR(13)&amp;"("&amp;'(Codierung)'!$C$4&amp;" - "&amp;'1.4 Analyse &amp; Synthese'!C35&amp;")","")</f>
        <v/>
      </c>
      <c r="AJ34" s="277" t="str">
        <f t="array" ref="AJ34">_xlfn.IFNA(INDEX($AI$6:$AI$66,MATCH(0,COUNTIF($AJ$4:AJ33,$AI$6:$AI$66),0),1),"")</f>
        <v/>
      </c>
      <c r="AL34" s="277" t="str">
        <f>IF(AND('1.4 Analyse &amp; Synthese'!V35=1,'1.4 Analyse &amp; Synthese'!F35="Empfehlung"),'1.4 Analyse &amp; Synthese'!I35&amp;CHAR(13)&amp;"("&amp;'(Codierung)'!$C$2&amp;" - "&amp;'1.4 Analyse &amp; Synthese'!C35&amp;")","")</f>
        <v>Einheitl. Servicebeschreibung_x000D_(Empfehlung - Rekik )</v>
      </c>
      <c r="AM34" s="277" t="str">
        <f t="array" ref="AM34">_xlfn.IFNA(INDEX($AL$6:$AL$66,MATCH(0,COUNTIF($AM$4:AM33,$AL$6:$AL$66),0),1),"")</f>
        <v/>
      </c>
      <c r="AN34" s="277" t="str">
        <f>IF(AND('1.4 Analyse &amp; Synthese'!V35=1,'1.4 Analyse &amp; Synthese'!F35="Methode"),'1.4 Analyse &amp; Synthese'!I35&amp;CHAR(13)&amp;"("&amp;'(Codierung)'!$C$3&amp;" - "&amp;'1.4 Analyse &amp; Synthese'!C35&amp;")","")</f>
        <v/>
      </c>
      <c r="AO34" s="277" t="str">
        <f t="array" ref="AO34">_xlfn.IFNA(INDEX($AN$6:$AN$66,MATCH(0,COUNTIF($AO$4:AO33,$AN$6:$AN$66),0),1),"")</f>
        <v/>
      </c>
      <c r="AP34" s="277" t="str">
        <f>IF(AND('1.4 Analyse &amp; Synthese'!V35=1,'1.4 Analyse &amp; Synthese'!F35="Werkzeug"),'1.4 Analyse &amp; Synthese'!I35&amp;CHAR(13)&amp;"("&amp;'(Codierung)'!$C$4&amp;" - "&amp;'1.4 Analyse &amp; Synthese'!C35&amp;")","")</f>
        <v/>
      </c>
      <c r="AQ34" s="277" t="str">
        <f t="array" ref="AQ34">_xlfn.IFNA(INDEX($AP$6:$AP$66,MATCH(0,COUNTIF($AQ$4:AQ33,$AP$6:$AP$66),0),1),"")</f>
        <v/>
      </c>
      <c r="AS34" s="277" t="str">
        <f>IF(AND('1.4 Analyse &amp; Synthese'!W35=1,'1.4 Analyse &amp; Synthese'!F35="Empfehlung"),'1.4 Analyse &amp; Synthese'!I35&amp;CHAR(13)&amp;"("&amp;'(Codierung)'!$C$2&amp;" - "&amp;'1.4 Analyse &amp; Synthese'!C35&amp;")","")</f>
        <v/>
      </c>
      <c r="AT34" s="277" t="str">
        <f t="array" ref="AT34">_xlfn.IFNA(INDEX($AS$6:$AS$66,MATCH(0,COUNTIF($AT$4:AT33,$AS$6:$AS$66),0),1),"")</f>
        <v/>
      </c>
      <c r="AU34" s="277" t="str">
        <f>IF(AND('1.4 Analyse &amp; Synthese'!W35=1,'1.4 Analyse &amp; Synthese'!F35="Methode"),'1.4 Analyse &amp; Synthese'!I35&amp;CHAR(13)&amp;"("&amp;'(Codierung)'!$C$3&amp;" - "&amp;'1.4 Analyse &amp; Synthese'!C35&amp;")","")</f>
        <v/>
      </c>
      <c r="AV34" s="277" t="str">
        <f t="array" ref="AV34">_xlfn.IFNA(INDEX($AU$6:$AU$66,MATCH(0,COUNTIF($AV$4:AV33,$AU$6:$AU$66),0),1),"")</f>
        <v/>
      </c>
      <c r="AW34" s="277" t="str">
        <f>IF(AND('1.4 Analyse &amp; Synthese'!W35=1,'1.4 Analyse &amp; Synthese'!F35="Werkzeug"),'1.4 Analyse &amp; Synthese'!I35&amp;CHAR(13)&amp;"("&amp;'(Codierung)'!$C$4&amp;" - "&amp;'1.4 Analyse &amp; Synthese'!C35&amp;")","")</f>
        <v/>
      </c>
      <c r="AX34" s="277" t="str">
        <f t="array" ref="AX34">_xlfn.IFNA(INDEX($AW$6:$AW$66,MATCH(0,COUNTIF($AX$4:AX33,$AW$6:$AW$66),0),1),"")</f>
        <v/>
      </c>
      <c r="AZ34" s="277" t="str">
        <f>IF(AND('1.4 Analyse &amp; Synthese'!X35=1,'1.4 Analyse &amp; Synthese'!F35="Empfehlung"),'1.4 Analyse &amp; Synthese'!I35&amp;CHAR(13)&amp;"("&amp;'(Codierung)'!$C$2&amp;" - "&amp;'1.4 Analyse &amp; Synthese'!C35&amp;")","")</f>
        <v/>
      </c>
      <c r="BA34" s="277" t="str">
        <f t="array" ref="BA34">_xlfn.IFNA(INDEX($AZ$6:$AZ$66,MATCH(0,COUNTIF($BA$4:BA33,$AZ$6:$AZ$66),0),1),"")</f>
        <v/>
      </c>
      <c r="BB34" s="277" t="str">
        <f>IF(AND('1.4 Analyse &amp; Synthese'!X35=1,'1.4 Analyse &amp; Synthese'!F35="Methode"),'1.4 Analyse &amp; Synthese'!I35&amp;CHAR(13)&amp;"("&amp;'(Codierung)'!$C$3&amp;" - "&amp;'1.4 Analyse &amp; Synthese'!C35&amp;")","")</f>
        <v/>
      </c>
      <c r="BC34" s="277" t="str">
        <f t="array" ref="BC34">_xlfn.IFNA(INDEX($BB$6:$BB$66,MATCH(0,COUNTIF($BC$4:BC33,$BB$6:$BB$66),0),1),"")</f>
        <v/>
      </c>
      <c r="BD34" s="277" t="str">
        <f>IF(AND('1.4 Analyse &amp; Synthese'!X35=1,'1.4 Analyse &amp; Synthese'!F35="Werkzeug"),'1.4 Analyse &amp; Synthese'!I35&amp;CHAR(13)&amp;"("&amp;'(Codierung)'!$C$4&amp;" - "&amp;'1.4 Analyse &amp; Synthese'!C35&amp;")","")</f>
        <v/>
      </c>
      <c r="BE34" s="277" t="str">
        <f t="array" ref="BE34">_xlfn.IFNA(INDEX($BD$6:$BD$66,MATCH(0,COUNTIF($BE$4:BE33,$BD$6:$BD$66),0),1),"")</f>
        <v/>
      </c>
      <c r="BG34" s="277" t="str">
        <f>IF(AND('1.4 Analyse &amp; Synthese'!Y35=1,'1.4 Analyse &amp; Synthese'!F35="Empfehlung"),'1.4 Analyse &amp; Synthese'!I35&amp;CHAR(13)&amp;"("&amp;'(Codierung)'!$C$2&amp;" - "&amp;'1.4 Analyse &amp; Synthese'!C35&amp;")","")</f>
        <v/>
      </c>
      <c r="BH34" s="277" t="str">
        <f t="array" ref="BH34">_xlfn.IFNA(INDEX($BG$6:$BG$66,MATCH(0,COUNTIF($BH$4:BH33,$BG$6:$BG$66),0),1),"")</f>
        <v/>
      </c>
      <c r="BI34" s="277" t="str">
        <f>IF(AND('1.4 Analyse &amp; Synthese'!Y35=1,'1.4 Analyse &amp; Synthese'!F35="Methode"),'1.4 Analyse &amp; Synthese'!I35&amp;CHAR(13)&amp;"("&amp;'(Codierung)'!$C$3&amp;" - "&amp;'1.4 Analyse &amp; Synthese'!C35&amp;")","")</f>
        <v/>
      </c>
      <c r="BJ34" s="277" t="str">
        <f t="array" ref="BJ34">_xlfn.IFNA(INDEX($BI$6:$BI$66,MATCH(0,COUNTIF($BJ$4:BJ33,$BI$6:$BI$66),0),1),"")</f>
        <v/>
      </c>
      <c r="BK34" s="277" t="str">
        <f>IF(AND('1.4 Analyse &amp; Synthese'!Y35=1,'1.4 Analyse &amp; Synthese'!F35="Werkzeug"),'1.4 Analyse &amp; Synthese'!I35&amp;CHAR(13)&amp;"("&amp;'(Codierung)'!$C$4&amp;" - "&amp;'1.4 Analyse &amp; Synthese'!C35&amp;")","")</f>
        <v/>
      </c>
      <c r="BL34" s="277" t="str">
        <f t="array" ref="BL34">_xlfn.IFNA(INDEX($BK$6:$BK$66,MATCH(0,COUNTIF($BL$4:BL33,$BK$6:$BK$66),0),1),"")</f>
        <v/>
      </c>
      <c r="BN34" s="277" t="str">
        <f>IF(AND('1.4 Analyse &amp; Synthese'!Z35=1,'1.4 Analyse &amp; Synthese'!F35="Empfehlung"),'1.4 Analyse &amp; Synthese'!I35&amp;CHAR(13)&amp;"("&amp;'(Codierung)'!$C$2&amp;" - "&amp;'1.4 Analyse &amp; Synthese'!C35&amp;")","")</f>
        <v>Einheitl. Servicebeschreibung_x000D_(Empfehlung - Rekik )</v>
      </c>
      <c r="BO34" s="277" t="str">
        <f t="array" ref="BO34">_xlfn.IFNA(INDEX($BN$6:$BN$66,MATCH(0,COUNTIF($BO$4:BO33,$BN$6:$BN$66),0),1),"")</f>
        <v/>
      </c>
      <c r="BP34" s="277" t="str">
        <f>IF(AND('1.4 Analyse &amp; Synthese'!Z35=1,'1.4 Analyse &amp; Synthese'!F35="Methode"),'1.4 Analyse &amp; Synthese'!I35&amp;CHAR(13)&amp;"("&amp;'(Codierung)'!$C$3&amp;" - "&amp;'1.4 Analyse &amp; Synthese'!C35&amp;")","")</f>
        <v/>
      </c>
      <c r="BQ34" s="277" t="str">
        <f t="array" ref="BQ34">_xlfn.IFNA(INDEX($BP$6:$BP$66,MATCH(0,COUNTIF($BQ$4:BQ33,$BP$6:$BP$66),0),1),"")</f>
        <v/>
      </c>
      <c r="BR34" s="277" t="str">
        <f>IF(AND('1.4 Analyse &amp; Synthese'!Z35=1,'1.4 Analyse &amp; Synthese'!F35="Werkzeug"),'1.4 Analyse &amp; Synthese'!I35&amp;CHAR(13)&amp;"("&amp;'(Codierung)'!$C$4&amp;" - "&amp;'1.4 Analyse &amp; Synthese'!C35&amp;")","")</f>
        <v/>
      </c>
      <c r="BS34" s="277" t="str">
        <f t="array" ref="BS34">_xlfn.IFNA(INDEX($BR$6:$BR$66,MATCH(0,COUNTIF($BS$4:BS33,$BR$6:$BR$66),0),1),"")</f>
        <v/>
      </c>
      <c r="BU34" s="277" t="str">
        <f>IF(AND('1.4 Analyse &amp; Synthese'!AA35=1,'1.4 Analyse &amp; Synthese'!F35="Empfehlung"),'1.4 Analyse &amp; Synthese'!I35&amp;CHAR(13)&amp;"("&amp;'(Codierung)'!$C$2&amp;" - "&amp;'1.4 Analyse &amp; Synthese'!C35&amp;")","")</f>
        <v/>
      </c>
      <c r="BV34" s="277" t="str">
        <f t="array" ref="BV34">_xlfn.IFNA(INDEX($BU$6:$BU$66,MATCH(0,COUNTIF($BV$4:BV33,$BU$6:$BU$66),0),1),"")</f>
        <v/>
      </c>
      <c r="BW34" s="277" t="str">
        <f>IF(AND('1.4 Analyse &amp; Synthese'!AA35=1,'1.4 Analyse &amp; Synthese'!F35="Methode"),'1.4 Analyse &amp; Synthese'!I35&amp;CHAR(13)&amp;"("&amp;'(Codierung)'!$C$3&amp;" - "&amp;'1.4 Analyse &amp; Synthese'!C35&amp;")","")</f>
        <v/>
      </c>
      <c r="BX34" s="277" t="str">
        <f t="array" ref="BX34">_xlfn.IFNA(INDEX($BW$6:$BW$66,MATCH(0,COUNTIF($BX$4:BX33,$BW$6:$BW$66),0),1),"")</f>
        <v/>
      </c>
      <c r="BY34" s="277" t="str">
        <f>IF(AND('1.4 Analyse &amp; Synthese'!AA35=1,'1.4 Analyse &amp; Synthese'!F35="Werkzeug"),'1.4 Analyse &amp; Synthese'!I35&amp;CHAR(13)&amp;"("&amp;'(Codierung)'!$C$4&amp;" - "&amp;'1.4 Analyse &amp; Synthese'!C35&amp;")","")</f>
        <v/>
      </c>
      <c r="BZ34" s="277" t="str">
        <f t="array" ref="BZ34">_xlfn.IFNA(INDEX($BY$6:$BY$66,MATCH(0,COUNTIF($BZ$4:BZ33,$BY$6:$BY$66),0),1),"")</f>
        <v/>
      </c>
      <c r="CB34" s="277" t="str">
        <f>IF(AND('1.4 Analyse &amp; Synthese'!AB35=1,'1.4 Analyse &amp; Synthese'!F35="Empfehlung"),'1.4 Analyse &amp; Synthese'!I35&amp;CHAR(13)&amp;"("&amp;'(Codierung)'!$C$2&amp;" - "&amp;'1.4 Analyse &amp; Synthese'!C35&amp;")","")</f>
        <v/>
      </c>
      <c r="CC34" s="277" t="str">
        <f t="array" ref="CC34">_xlfn.IFNA(INDEX($CB$6:$CB$66,MATCH(0,COUNTIF($CC$4:CC33,$CB$6:$CB$66),0),1),"")</f>
        <v/>
      </c>
      <c r="CD34" s="277" t="str">
        <f>IF(AND('1.4 Analyse &amp; Synthese'!AB35=1,'1.4 Analyse &amp; Synthese'!F35="Methode"),'1.4 Analyse &amp; Synthese'!I35&amp;CHAR(13)&amp;"("&amp;'(Codierung)'!$C$3&amp;" - "&amp;'1.4 Analyse &amp; Synthese'!C35&amp;")","")</f>
        <v/>
      </c>
      <c r="CE34" s="277" t="str">
        <f t="array" ref="CE34">_xlfn.IFNA(INDEX($CD$6:$CD$66,MATCH(0,COUNTIF($CE$4:CE33,$CD$6:$CD$66),0),1),"")</f>
        <v/>
      </c>
      <c r="CF34" s="277" t="str">
        <f>IF(AND('1.4 Analyse &amp; Synthese'!AB35=1,'1.4 Analyse &amp; Synthese'!F35="Werkzeug"),'1.4 Analyse &amp; Synthese'!I35&amp;CHAR(13)&amp;"("&amp;'(Codierung)'!$C$4&amp;" - "&amp;'1.4 Analyse &amp; Synthese'!C35&amp;")","")</f>
        <v/>
      </c>
      <c r="CG34" s="277" t="str">
        <f t="array" ref="CG34">_xlfn.IFNA(INDEX($CF$6:$CF$66,MATCH(0,COUNTIF($CG$4:CG33,$CF$6:$CF$66),0),1),"")</f>
        <v/>
      </c>
      <c r="CI34" s="277" t="str">
        <f>IF(AND('1.4 Analyse &amp; Synthese'!AC35=1,'1.4 Analyse &amp; Synthese'!F35="Empfehlung"),'1.4 Analyse &amp; Synthese'!I35&amp;CHAR(13)&amp;"("&amp;'(Codierung)'!$C$2&amp;" - "&amp;'1.4 Analyse &amp; Synthese'!C35&amp;")","")</f>
        <v/>
      </c>
      <c r="CJ34" s="277" t="str">
        <f t="array" ref="CJ34">_xlfn.IFNA(INDEX($CI$6:$CI$66,MATCH(0,COUNTIF($CJ$4:CJ33,$CI$6:$CI$66),0),1),"")</f>
        <v/>
      </c>
      <c r="CK34" s="277" t="str">
        <f>IF(AND('1.4 Analyse &amp; Synthese'!AC35=1,'1.4 Analyse &amp; Synthese'!F35="Methode"),'1.4 Analyse &amp; Synthese'!I35&amp;CHAR(13)&amp;"("&amp;'(Codierung)'!$C$3&amp;" - "&amp;'1.4 Analyse &amp; Synthese'!C35&amp;")","")</f>
        <v/>
      </c>
      <c r="CL34" s="277" t="str">
        <f t="array" ref="CL34">_xlfn.IFNA(INDEX($CK$6:$CK$66,MATCH(0,COUNTIF($CL$4:CL33,$CK$6:$CK$66),0),1),"")</f>
        <v/>
      </c>
      <c r="CM34" s="277" t="str">
        <f>IF(AND('1.4 Analyse &amp; Synthese'!AC35=1,'1.4 Analyse &amp; Synthese'!F35="Werkzeug"),'1.4 Analyse &amp; Synthese'!I35&amp;CHAR(13)&amp;"("&amp;'(Codierung)'!$C$4&amp;" - "&amp;'1.4 Analyse &amp; Synthese'!C35&amp;")","")</f>
        <v/>
      </c>
      <c r="CN34" s="277" t="str">
        <f t="array" ref="CN34">_xlfn.IFNA(INDEX($CM$6:$CM$66,MATCH(0,COUNTIF($CN$4:CN33,$CM$6:$CM$66),0),1),"")</f>
        <v/>
      </c>
      <c r="CP34" s="277" t="str">
        <f>IF(AND('1.4 Analyse &amp; Synthese'!AD35=1,'1.4 Analyse &amp; Synthese'!F35="Empfehlung"),'1.4 Analyse &amp; Synthese'!I35&amp;CHAR(13)&amp;"("&amp;'(Codierung)'!$C$2&amp;" - "&amp;'1.4 Analyse &amp; Synthese'!C35&amp;")","")</f>
        <v/>
      </c>
      <c r="CQ34" s="277" t="str">
        <f t="array" ref="CQ34">_xlfn.IFNA(INDEX($CP$6:$CP$66,MATCH(0,COUNTIF($CQ$4:CQ33,$CP$6:$CP$66),0),1),"")</f>
        <v/>
      </c>
      <c r="CR34" s="277" t="str">
        <f>IF(AND('1.4 Analyse &amp; Synthese'!AD35=1,'1.4 Analyse &amp; Synthese'!F35="Methode"),'1.4 Analyse &amp; Synthese'!I35&amp;CHAR(13)&amp;"("&amp;'(Codierung)'!$C$3&amp;" - "&amp;'1.4 Analyse &amp; Synthese'!C35&amp;")","")</f>
        <v/>
      </c>
      <c r="CS34" s="277" t="str">
        <f t="array" ref="CS34">_xlfn.IFNA(INDEX($CR$6:$CR$66,MATCH(0,COUNTIF($CS$4:CS33,$CR$6:$CR$66),0),1),"")</f>
        <v/>
      </c>
      <c r="CT34" s="277" t="str">
        <f>IF(AND('1.4 Analyse &amp; Synthese'!AD35=1,'1.4 Analyse &amp; Synthese'!F35="Werkzeug"),'1.4 Analyse &amp; Synthese'!I35&amp;CHAR(13)&amp;"("&amp;'(Codierung)'!$C$4&amp;" - "&amp;'1.4 Analyse &amp; Synthese'!C35&amp;")","")</f>
        <v/>
      </c>
      <c r="CU34" s="277" t="str">
        <f t="array" ref="CU34">_xlfn.IFNA(INDEX($CT$6:$CT$66,MATCH(0,COUNTIF($CU$4:CU33,$CT$6:$CT$66),0),1),"")</f>
        <v/>
      </c>
      <c r="CW34" s="277" t="str">
        <f>IF(AND('1.4 Analyse &amp; Synthese'!AE35=1,'1.4 Analyse &amp; Synthese'!F35="Empfehlung"),'1.4 Analyse &amp; Synthese'!I35&amp;CHAR(13)&amp;"("&amp;'(Codierung)'!$C$2&amp;" - "&amp;'1.4 Analyse &amp; Synthese'!C35&amp;")","")</f>
        <v/>
      </c>
      <c r="CX34" s="277" t="str">
        <f t="array" ref="CX34">_xlfn.IFNA(INDEX($CW$6:$CW$66,MATCH(0,COUNTIF($CX$4:CX33,$CW$6:$CW$66),0),1),"")</f>
        <v/>
      </c>
      <c r="CY34" s="277" t="str">
        <f>IF(AND('1.4 Analyse &amp; Synthese'!AE35=1,'1.4 Analyse &amp; Synthese'!F35="Methode"),'1.4 Analyse &amp; Synthese'!I35&amp;CHAR(13)&amp;"("&amp;'(Codierung)'!$C$3&amp;" - "&amp;'1.4 Analyse &amp; Synthese'!C35&amp;")","")</f>
        <v/>
      </c>
      <c r="CZ34" s="277" t="str">
        <f t="array" ref="CZ34">_xlfn.IFNA(INDEX($CY$6:$CY$66,MATCH(0,COUNTIF($CZ$4:CZ33,$CY$6:$CY$66),0),1),"")</f>
        <v/>
      </c>
      <c r="DA34" s="277" t="str">
        <f>IF(AND('1.4 Analyse &amp; Synthese'!AE35=1,'1.4 Analyse &amp; Synthese'!F35="Werkzeug"),'1.4 Analyse &amp; Synthese'!I35&amp;CHAR(13)&amp;"("&amp;'(Codierung)'!$C$4&amp;" - "&amp;'1.4 Analyse &amp; Synthese'!C35&amp;")","")</f>
        <v/>
      </c>
      <c r="DB34" s="277" t="str">
        <f t="array" ref="DB34">_xlfn.IFNA(INDEX($DA$6:$DA$66,MATCH(0,COUNTIF($DB$4:DB33,$DA$6:$DA$66),0),1),"")</f>
        <v/>
      </c>
      <c r="DD34" s="277" t="str">
        <f>IF(AND('1.4 Analyse &amp; Synthese'!AF35=1,'1.4 Analyse &amp; Synthese'!F35="Empfehlung"),'1.4 Analyse &amp; Synthese'!I35&amp;CHAR(13)&amp;"("&amp;'(Codierung)'!$C$2&amp;" - "&amp;'1.4 Analyse &amp; Synthese'!C35&amp;")","")</f>
        <v/>
      </c>
      <c r="DE34" s="277" t="str">
        <f t="array" ref="DE34">_xlfn.IFNA(INDEX($DD$6:$DD$66,MATCH(0,COUNTIF($DE$4:DE33,$DD$6:$DD$66),0),1),"")</f>
        <v/>
      </c>
      <c r="DF34" s="277" t="str">
        <f>IF(AND('1.4 Analyse &amp; Synthese'!AF35=1,'1.4 Analyse &amp; Synthese'!F35="Methode"),'1.4 Analyse &amp; Synthese'!I35&amp;CHAR(13)&amp;"("&amp;'(Codierung)'!$C$3&amp;" - "&amp;'1.4 Analyse &amp; Synthese'!C35&amp;")","")</f>
        <v/>
      </c>
      <c r="DG34" s="277" t="str">
        <f t="array" ref="DG34">_xlfn.IFNA(INDEX($DF$6:$DF$66,MATCH(0,COUNTIF($DG$4:DG33,$DF$6:$DF$66),0),1),"")</f>
        <v/>
      </c>
      <c r="DH34" s="277" t="str">
        <f>IF(AND('1.4 Analyse &amp; Synthese'!AF35=1,'1.4 Analyse &amp; Synthese'!F35="Werkzeug"),'1.4 Analyse &amp; Synthese'!I35&amp;CHAR(13)&amp;"("&amp;'(Codierung)'!$C$4&amp;" - "&amp;'1.4 Analyse &amp; Synthese'!C35&amp;")","")</f>
        <v/>
      </c>
      <c r="DI34" s="277" t="str">
        <f t="array" ref="DI34">_xlfn.IFNA(INDEX($DH$6:$DH$66,MATCH(0,COUNTIF($DI$4:DI33,$DH$6:$DH$66),0),1),"")</f>
        <v/>
      </c>
      <c r="DK34" s="277" t="str">
        <f>IF(AND('1.4 Analyse &amp; Synthese'!AG35=1,'1.4 Analyse &amp; Synthese'!F35="Empfehlung"),'1.4 Analyse &amp; Synthese'!I35&amp;CHAR(13)&amp;"("&amp;'(Codierung)'!$C$2&amp;" - "&amp;'1.4 Analyse &amp; Synthese'!C35&amp;")","")</f>
        <v/>
      </c>
      <c r="DL34" s="277" t="str">
        <f t="array" ref="DL34">_xlfn.IFNA(INDEX($DK$6:$DK$66,MATCH(0,COUNTIF($DL$4:DL33,$DK$6:$DK$66),0),1),"")</f>
        <v/>
      </c>
      <c r="DM34" s="277" t="str">
        <f>IF(AND('1.4 Analyse &amp; Synthese'!AG35=1,'1.4 Analyse &amp; Synthese'!F35="Methode"),'1.4 Analyse &amp; Synthese'!I35&amp;CHAR(13)&amp;"("&amp;'(Codierung)'!$C$3&amp;" - "&amp;'1.4 Analyse &amp; Synthese'!C35&amp;")","")</f>
        <v/>
      </c>
      <c r="DN34" s="277" t="str">
        <f t="array" ref="DN34">_xlfn.IFNA(INDEX($DM$6:$DM$66,MATCH(0,COUNTIF($DN$4:DN33,$DM$6:$DM$66),0),1),"")</f>
        <v/>
      </c>
      <c r="DO34" s="277" t="str">
        <f>IF(AND('1.4 Analyse &amp; Synthese'!AG35=1,'1.4 Analyse &amp; Synthese'!F35="Werkzeug"),'1.4 Analyse &amp; Synthese'!I35&amp;CHAR(13)&amp;"("&amp;'(Codierung)'!$C$4&amp;" - "&amp;'1.4 Analyse &amp; Synthese'!C35&amp;")","")</f>
        <v/>
      </c>
      <c r="DP34" s="277" t="str">
        <f t="array" ref="DP34">_xlfn.IFNA(INDEX($DO$6:$DO$66,MATCH(0,COUNTIF($DP$4:DP33,$DO$6:$DO$66),0),1),"")</f>
        <v/>
      </c>
      <c r="DR34" s="277" t="str">
        <f>IF(AND('1.4 Analyse &amp; Synthese'!AH35=1,'1.4 Analyse &amp; Synthese'!F35="Empfehlung"),'1.4 Analyse &amp; Synthese'!I35&amp;CHAR(13)&amp;"("&amp;'(Codierung)'!$C$2&amp;" - "&amp;'1.4 Analyse &amp; Synthese'!C35&amp;")","")</f>
        <v/>
      </c>
      <c r="DS34" s="277" t="str">
        <f t="array" ref="DS34">_xlfn.IFNA(INDEX($DR$6:$DR$66,MATCH(0,COUNTIF($DS$4:DS33,$DR$6:$DR$66),0),1),"")</f>
        <v/>
      </c>
      <c r="DT34" s="277" t="str">
        <f>IF(AND('1.4 Analyse &amp; Synthese'!AH35=1,'1.4 Analyse &amp; Synthese'!F35="Methode"),'1.4 Analyse &amp; Synthese'!I35&amp;CHAR(13)&amp;"("&amp;'(Codierung)'!$C$3&amp;" - "&amp;'1.4 Analyse &amp; Synthese'!C35&amp;")","")</f>
        <v/>
      </c>
      <c r="DU34" s="277" t="str">
        <f t="array" ref="DU34">_xlfn.IFNA(INDEX($DT$6:$DT$66,MATCH(0,COUNTIF($DU$4:DU33,$DT$6:$DT$66),0),1),"")</f>
        <v/>
      </c>
      <c r="DV34" s="277" t="str">
        <f>IF(AND('1.4 Analyse &amp; Synthese'!AH35=1,'1.4 Analyse &amp; Synthese'!F35="Werkzeug"),'1.4 Analyse &amp; Synthese'!I35&amp;CHAR(13)&amp;"("&amp;'(Codierung)'!$C$4&amp;" - "&amp;'1.4 Analyse &amp; Synthese'!C35&amp;")","")</f>
        <v/>
      </c>
      <c r="DW34" s="277" t="str">
        <f t="array" ref="DW34">_xlfn.IFNA(INDEX($DV$6:$DV$66,MATCH(0,COUNTIF($DW$4:DW33,$DV$6:$DV$66),0),1),"")</f>
        <v/>
      </c>
      <c r="DY34" s="277" t="str">
        <f>IF(AND('1.4 Analyse &amp; Synthese'!AI35=1,'1.4 Analyse &amp; Synthese'!F35="Empfehlung"),'1.4 Analyse &amp; Synthese'!I35&amp;CHAR(13)&amp;"("&amp;'(Codierung)'!$C$2&amp;" - "&amp;'1.4 Analyse &amp; Synthese'!C35&amp;")","")</f>
        <v/>
      </c>
      <c r="DZ34" s="277" t="str">
        <f t="array" ref="DZ34">_xlfn.IFNA(INDEX($DY$6:$DY$66,MATCH(0,COUNTIF($DZ$4:DZ33,$DY$6:$DY$66),0),1),"")</f>
        <v/>
      </c>
      <c r="EA34" s="277" t="str">
        <f>IF(AND('1.4 Analyse &amp; Synthese'!AI35=1,'1.4 Analyse &amp; Synthese'!F35="Methode"),'1.4 Analyse &amp; Synthese'!I35&amp;CHAR(13)&amp;"("&amp;'(Codierung)'!$C$3&amp;" - "&amp;'1.4 Analyse &amp; Synthese'!C35&amp;")","")</f>
        <v/>
      </c>
      <c r="EB34" s="277" t="str">
        <f t="array" ref="EB34">_xlfn.IFNA(INDEX($EA$6:$EA$66,MATCH(0,COUNTIF($EB$4:EB33,$EA$6:$EA$66),0),1),"")</f>
        <v/>
      </c>
      <c r="EC34" s="277" t="str">
        <f>IF(AND('1.4 Analyse &amp; Synthese'!AI35=1,'1.4 Analyse &amp; Synthese'!F35="Werkzeug"),'1.4 Analyse &amp; Synthese'!I35&amp;CHAR(13)&amp;"("&amp;'(Codierung)'!$C$4&amp;" - "&amp;'1.4 Analyse &amp; Synthese'!C35&amp;")","")</f>
        <v/>
      </c>
      <c r="ED34" s="277" t="str">
        <f t="array" ref="ED34">_xlfn.IFNA(INDEX($EC$6:$EC$66,MATCH(0,COUNTIF($ED$4:ED33,$EC$6:$EC$66),0),1),"")</f>
        <v/>
      </c>
      <c r="EF34" s="277" t="str">
        <f>IF(AND('1.4 Analyse &amp; Synthese'!AJ35=1,'1.4 Analyse &amp; Synthese'!F35="Empfehlung"),'1.4 Analyse &amp; Synthese'!I35&amp;CHAR(13)&amp;"("&amp;'(Codierung)'!$C$2&amp;" - "&amp;'1.4 Analyse &amp; Synthese'!C35&amp;")","")</f>
        <v/>
      </c>
      <c r="EG34" s="277" t="str">
        <f t="array" ref="EG34">_xlfn.IFNA(INDEX($EF$6:$EF$66,MATCH(0,COUNTIF($EG$4:EG33,$EF$6:$EF$66),0),1),"")</f>
        <v/>
      </c>
      <c r="EH34" s="277" t="str">
        <f>IF(AND('1.4 Analyse &amp; Synthese'!AJ35=1,'1.4 Analyse &amp; Synthese'!F35="Methode"),'1.4 Analyse &amp; Synthese'!I35&amp;CHAR(13)&amp;"("&amp;'(Codierung)'!$C$3&amp;" - "&amp;'1.4 Analyse &amp; Synthese'!C35&amp;")","")</f>
        <v/>
      </c>
      <c r="EI34" s="277" t="str">
        <f t="array" ref="EI34">_xlfn.IFNA(INDEX($EH$6:$EH$66,MATCH(0,COUNTIF($EI$4:EI33,$EH$6:$EH$66),0),1),"")</f>
        <v/>
      </c>
      <c r="EJ34" s="277" t="str">
        <f>IF(AND('1.4 Analyse &amp; Synthese'!AJ35=1,'1.4 Analyse &amp; Synthese'!F35="Werkzeug"),'1.4 Analyse &amp; Synthese'!I35&amp;CHAR(13)&amp;"("&amp;'(Codierung)'!$C$4&amp;" - "&amp;'1.4 Analyse &amp; Synthese'!C35&amp;")","")</f>
        <v/>
      </c>
      <c r="EK34" s="277" t="str">
        <f t="array" ref="EK34">_xlfn.IFNA(INDEX($EJ$6:$EJ$66,MATCH(0,COUNTIF($EK$4:EK33,$EJ$6:$EJ$66),0),1),"")</f>
        <v/>
      </c>
      <c r="EN34" s="222" t="str">
        <f t="shared" si="0"/>
        <v/>
      </c>
      <c r="EO34" s="277" t="str">
        <f t="shared" si="1"/>
        <v/>
      </c>
      <c r="EP34" s="277" t="str">
        <f t="shared" si="2"/>
        <v/>
      </c>
      <c r="EQ34" s="277" t="str">
        <f>ZahlenInBereich(Tabelle1[[Empfehlung]:[Werkzeug]],ROW()-5)</f>
        <v/>
      </c>
      <c r="ER34" s="277" t="str">
        <f t="shared" si="3"/>
        <v/>
      </c>
      <c r="ES34" s="277" t="str">
        <f t="shared" si="4"/>
        <v/>
      </c>
      <c r="ET34" s="277" t="str">
        <f t="shared" si="5"/>
        <v/>
      </c>
      <c r="EU34" s="277" t="str">
        <f>ZahlenInBereich(Tabelle1[[Empfehlung2]:[Werkzeug4]],ROW()-5)</f>
        <v/>
      </c>
      <c r="EV34" s="277" t="str">
        <f t="shared" si="6"/>
        <v/>
      </c>
      <c r="EW34" s="277" t="str">
        <f t="shared" si="7"/>
        <v/>
      </c>
      <c r="EX34" s="277" t="str">
        <f t="shared" si="8"/>
        <v/>
      </c>
      <c r="EY34" s="277" t="str">
        <f>ZahlenInBereich(Tabelle1[[Empfehlung6]:[Werkzeug8]],ROW()-5)</f>
        <v/>
      </c>
      <c r="EZ34" s="277" t="str">
        <f t="shared" si="9"/>
        <v/>
      </c>
      <c r="FA34" s="277" t="str">
        <f t="shared" si="10"/>
        <v/>
      </c>
      <c r="FB34" s="277" t="str">
        <f t="shared" si="11"/>
        <v/>
      </c>
      <c r="FC34" s="277" t="str">
        <f>ZahlenInBereich(Tabelle1[[Empfehlung10]:[Werkzeug12]],ROW()-5)</f>
        <v/>
      </c>
      <c r="FD34" s="277" t="str">
        <f t="shared" si="12"/>
        <v/>
      </c>
      <c r="FE34" s="277" t="str">
        <f t="shared" si="13"/>
        <v/>
      </c>
      <c r="FF34" s="277" t="str">
        <f t="shared" si="14"/>
        <v/>
      </c>
      <c r="FG34" s="277" t="str">
        <f>ZahlenInBereich(Tabelle1[[Empfehlung14]:[Werkzeug16]],ROW()-5)</f>
        <v/>
      </c>
      <c r="FH34" s="277" t="str">
        <f t="shared" si="15"/>
        <v/>
      </c>
      <c r="FI34" s="277" t="str">
        <f t="shared" si="16"/>
        <v/>
      </c>
      <c r="FJ34" s="277" t="str">
        <f t="shared" si="17"/>
        <v/>
      </c>
      <c r="FK34" s="277" t="str">
        <f>ZahlenInBereich(Tabelle1[[Empfehlung18]:[Werkzeug20]],ROW()-5)</f>
        <v/>
      </c>
      <c r="FL34" s="277" t="str">
        <f t="shared" si="18"/>
        <v/>
      </c>
      <c r="FM34" s="277" t="str">
        <f t="shared" si="19"/>
        <v/>
      </c>
      <c r="FN34" s="277" t="str">
        <f t="shared" si="20"/>
        <v/>
      </c>
      <c r="FO34" s="277" t="str">
        <f>ZahlenInBereich(Tabelle1[[Empfehlung22]:[Werkzeug24]],ROW()-5)</f>
        <v/>
      </c>
      <c r="FP34" s="277" t="str">
        <f t="shared" si="21"/>
        <v/>
      </c>
      <c r="FQ34" s="277" t="str">
        <f t="shared" si="22"/>
        <v/>
      </c>
      <c r="FR34" s="277" t="str">
        <f t="shared" si="23"/>
        <v/>
      </c>
      <c r="FS34" s="277" t="str">
        <f>ZahlenInBereich(Tabelle1[[Empfehlung26]:[Werkzeug28]],ROW()-5)</f>
        <v/>
      </c>
      <c r="FT34" s="277" t="str">
        <f t="shared" si="24"/>
        <v/>
      </c>
      <c r="FU34" s="277" t="str">
        <f t="shared" si="25"/>
        <v/>
      </c>
      <c r="FV34" s="277" t="str">
        <f t="shared" si="26"/>
        <v/>
      </c>
      <c r="FW34" s="277" t="str">
        <f>ZahlenInBereich(Tabelle1[[Empfehlung30]:[Werkzeug32]],ROW()-5)</f>
        <v/>
      </c>
      <c r="FX34" s="277" t="str">
        <f t="shared" si="27"/>
        <v/>
      </c>
      <c r="FY34" s="277" t="str">
        <f t="shared" si="28"/>
        <v/>
      </c>
      <c r="FZ34" s="277" t="str">
        <f t="shared" si="29"/>
        <v/>
      </c>
      <c r="GA34" s="277" t="str">
        <f>ZahlenInBereich(Tabelle1[[Empfehlung34]:[Werkzeug36]],ROW()-5)</f>
        <v/>
      </c>
      <c r="GB34" s="277" t="str">
        <f t="shared" si="30"/>
        <v/>
      </c>
      <c r="GC34" s="277" t="str">
        <f t="shared" si="31"/>
        <v/>
      </c>
      <c r="GD34" s="277" t="str">
        <f t="shared" si="32"/>
        <v/>
      </c>
      <c r="GE34" s="277" t="str">
        <f>ZahlenInBereich(Tabelle1[[Empfehlung38]:[Werkzeug40]],ROW()-5)</f>
        <v/>
      </c>
      <c r="GF34" s="277" t="str">
        <f t="shared" si="33"/>
        <v/>
      </c>
      <c r="GG34" s="277" t="str">
        <f t="shared" si="34"/>
        <v/>
      </c>
      <c r="GH34" s="277" t="str">
        <f t="shared" si="35"/>
        <v/>
      </c>
      <c r="GI34" s="277" t="str">
        <f>ZahlenInBereich(Tabelle1[[Empfehlung42]:[Werkzeug44]],ROW()-5)</f>
        <v/>
      </c>
      <c r="GJ34" s="277" t="str">
        <f t="shared" si="36"/>
        <v/>
      </c>
      <c r="GK34" s="277" t="str">
        <f t="shared" si="37"/>
        <v/>
      </c>
      <c r="GL34" s="277" t="str">
        <f t="shared" si="38"/>
        <v/>
      </c>
      <c r="GM34" s="277" t="str">
        <f>ZahlenInBereich(Tabelle1[[Empfehlung46]:[Werkzeug48]],ROW()-5)</f>
        <v/>
      </c>
      <c r="GN34" s="277" t="str">
        <f t="shared" si="39"/>
        <v/>
      </c>
      <c r="GO34" s="277" t="str">
        <f t="shared" si="40"/>
        <v/>
      </c>
      <c r="GP34" s="277" t="str">
        <f t="shared" si="41"/>
        <v/>
      </c>
      <c r="GQ34" s="277" t="str">
        <f>ZahlenInBereich(Tabelle1[[Empfehlung50]:[Werkzeug52]],ROW()-5)</f>
        <v/>
      </c>
      <c r="GR34" s="277" t="str">
        <f t="shared" si="42"/>
        <v/>
      </c>
      <c r="GS34" s="277" t="str">
        <f t="shared" si="43"/>
        <v/>
      </c>
      <c r="GT34" s="277" t="str">
        <f t="shared" si="44"/>
        <v/>
      </c>
      <c r="GU34" s="277" t="str">
        <f>ZahlenInBereich(Tabelle1[[Empfehlung54]:[Werkzeug56]],ROW()-5)</f>
        <v/>
      </c>
      <c r="GV34" s="277" t="str">
        <f t="shared" si="45"/>
        <v/>
      </c>
      <c r="GW34" s="277" t="str">
        <f t="shared" si="46"/>
        <v/>
      </c>
      <c r="GX34" s="277" t="str">
        <f t="shared" si="47"/>
        <v/>
      </c>
      <c r="GY34" s="277" t="str">
        <f>ZahlenInBereich(Tabelle1[[Empfehlung58]:[Werkzeug60]],ROW()-5)</f>
        <v/>
      </c>
      <c r="GZ34" s="277" t="str">
        <f t="shared" si="48"/>
        <v/>
      </c>
      <c r="HA34" s="277" t="str">
        <f t="shared" si="49"/>
        <v/>
      </c>
      <c r="HB34" s="277" t="str">
        <f t="shared" si="50"/>
        <v/>
      </c>
      <c r="HC34" s="277" t="str">
        <f>ZahlenInBereich(Tabelle1[[Empfehlung62]:[Werkzeug64]],ROW()-5)</f>
        <v/>
      </c>
      <c r="HD34" s="277" t="str">
        <f t="shared" si="51"/>
        <v/>
      </c>
      <c r="HE34" s="277" t="str">
        <f t="shared" si="52"/>
        <v/>
      </c>
      <c r="HF34" s="277" t="str">
        <f t="shared" si="53"/>
        <v/>
      </c>
      <c r="HG34" s="277" t="str">
        <f>ZahlenInBereich(Tabelle1[[Empfehlung66]:[Werkzeug68]],ROW()-5)</f>
        <v/>
      </c>
      <c r="HH34" s="277" t="str">
        <f t="shared" si="54"/>
        <v/>
      </c>
      <c r="HI34" s="277" t="str">
        <f t="shared" si="55"/>
        <v/>
      </c>
      <c r="HJ34" s="277" t="str">
        <f t="shared" si="56"/>
        <v/>
      </c>
      <c r="HK34" s="277" t="str">
        <f>ZahlenInBereich(Tabelle1[[Empfehlung70]:[Werkzeug72]],ROW()-5)</f>
        <v/>
      </c>
      <c r="HL34" s="277" t="str">
        <f t="shared" si="57"/>
        <v/>
      </c>
      <c r="HM34" s="277" t="str">
        <f t="shared" si="58"/>
        <v/>
      </c>
      <c r="HN34" s="277" t="str">
        <f t="shared" si="59"/>
        <v/>
      </c>
      <c r="HO34" s="277" t="str">
        <f>ZahlenInBereich(Tabelle1[[Empfehlung74]:[Werkzeug76]],ROW()-5)</f>
        <v/>
      </c>
    </row>
    <row r="35" spans="2:223" ht="32" x14ac:dyDescent="0.2">
      <c r="B35" s="134">
        <f>'1.4 Analyse &amp; Synthese'!B36</f>
        <v>30</v>
      </c>
      <c r="C35" s="277" t="str">
        <f>IF(AND('1.4 Analyse &amp; Synthese'!Q36=1,'1.4 Analyse &amp; Synthese'!F36="Empfehlung"),'1.4 Analyse &amp; Synthese'!I36&amp;CHAR(13)&amp;"("&amp;'(Codierung)'!$C$2&amp;" - "&amp;'1.4 Analyse &amp; Synthese'!C36&amp;")","")</f>
        <v/>
      </c>
      <c r="D35" s="222" t="str">
        <f t="array" ref="D35">_xlfn.IFNA(INDEX($C$6:$C$66,MATCH(0,COUNTIF($D$4:D34,$C$6:$C$66),0),1),"")</f>
        <v/>
      </c>
      <c r="E35" s="277" t="str">
        <f>IF(AND('1.4 Analyse &amp; Synthese'!Q36=1,'1.4 Analyse &amp; Synthese'!F36="Methode"),'1.4 Analyse &amp; Synthese'!I36&amp;CHAR(13)&amp;"("&amp;'(Codierung)'!$C$3&amp;" - "&amp;'1.4 Analyse &amp; Synthese'!C36&amp;")","")</f>
        <v/>
      </c>
      <c r="F35" s="277" t="str">
        <f t="array" ref="F35">_xlfn.IFNA(INDEX($E$6:$E$66,MATCH(0,COUNTIF($F$4:F34,$E$6:$E$66),0),1),"")</f>
        <v/>
      </c>
      <c r="G35" s="277" t="str">
        <f>IF(AND('1.4 Analyse &amp; Synthese'!Q36=1,'1.4 Analyse &amp; Synthese'!F36="Werkzeug"),'1.4 Analyse &amp; Synthese'!I36&amp;CHAR(13)&amp;"("&amp;'(Codierung)'!$C$4&amp;" - "&amp;'1.4 Analyse &amp; Synthese'!C36&amp;")","")</f>
        <v/>
      </c>
      <c r="H35" s="277" t="str">
        <f t="array" ref="H35">_xlfn.IFNA(INDEX($G$6:$G$66,MATCH(0,COUNTIF($H$4:H34,$G$6:$G$66),0),1),"")</f>
        <v/>
      </c>
      <c r="J35" s="277" t="str">
        <f>IF(AND('1.4 Analyse &amp; Synthese'!R36=1,'1.4 Analyse &amp; Synthese'!F36="Empfehlung"),'1.4 Analyse &amp; Synthese'!I36&amp;CHAR(13)&amp;"("&amp;'(Codierung)'!$C$2&amp;" - "&amp;'1.4 Analyse &amp; Synthese'!C36&amp;")","")</f>
        <v/>
      </c>
      <c r="K35" s="277" t="str">
        <f t="array" ref="K35">_xlfn.IFNA(INDEX($J$6:$J$66,MATCH(0,COUNTIF($K$4:K34,$J$6:$J$66),0),1),"")</f>
        <v/>
      </c>
      <c r="L35" s="277" t="str">
        <f>IF(AND('1.4 Analyse &amp; Synthese'!R36=1,'1.4 Analyse &amp; Synthese'!F36="Methode"),'1.4 Analyse &amp; Synthese'!I36&amp;CHAR(13)&amp;"("&amp;'(Codierung)'!$C$3&amp;" - "&amp;'1.4 Analyse &amp; Synthese'!C36&amp;")","")</f>
        <v/>
      </c>
      <c r="M35" s="277" t="str">
        <f t="array" ref="M35">_xlfn.IFNA(INDEX($L$6:$L$66,MATCH(0,COUNTIF($M$4:M34,$L$6:$L$66),0),1),"")</f>
        <v/>
      </c>
      <c r="N35" s="277" t="str">
        <f>IF(AND('1.4 Analyse &amp; Synthese'!R36=1,'1.4 Analyse &amp; Synthese'!F36="Werkzeug"),'1.4 Analyse &amp; Synthese'!I36&amp;CHAR(13)&amp;"("&amp;'(Codierung)'!$C$4&amp;" - "&amp;'1.4 Analyse &amp; Synthese'!C36&amp;")","")</f>
        <v/>
      </c>
      <c r="O35" s="277" t="str">
        <f t="array" ref="O35">_xlfn.IFNA(INDEX($N$6:$N$66,MATCH(0,COUNTIF($O$4:O34,$N$6:$N$66),0),1),"")</f>
        <v/>
      </c>
      <c r="Q35" s="277" t="str">
        <f>IF(AND('1.4 Analyse &amp; Synthese'!S36=1,'1.4 Analyse &amp; Synthese'!F36="Empfehlung"),'1.4 Analyse &amp; Synthese'!I36&amp;CHAR(13)&amp;"("&amp;'(Codierung)'!$C$2&amp;" - "&amp;'1.4 Analyse &amp; Synthese'!C36&amp;")","")</f>
        <v/>
      </c>
      <c r="R35" s="277" t="str">
        <f t="array" ref="R35">_xlfn.IFNA(INDEX($Q$6:$Q$66,MATCH(0,COUNTIF($R$4:R34,$Q$6:$Q$66),0),1),"")</f>
        <v/>
      </c>
      <c r="S35" s="277" t="str">
        <f>IF(AND('1.4 Analyse &amp; Synthese'!S36=1,'1.4 Analyse &amp; Synthese'!F36="Methode"),'1.4 Analyse &amp; Synthese'!I36&amp;CHAR(13)&amp;"("&amp;'(Codierung)'!$C$3&amp;" - "&amp;'1.4 Analyse &amp; Synthese'!C36&amp;")","")</f>
        <v/>
      </c>
      <c r="T35" s="277" t="str">
        <f t="array" ref="T35">_xlfn.IFNA(INDEX($S$6:$S$66,MATCH(0,COUNTIF($T$4:T34,$S$6:$S$66),0),1),"")</f>
        <v/>
      </c>
      <c r="U35" s="277" t="str">
        <f>IF(AND('1.4 Analyse &amp; Synthese'!S36=1,'1.4 Analyse &amp; Synthese'!F36="Werkzeug"),'1.4 Analyse &amp; Synthese'!I36&amp;CHAR(13)&amp;"("&amp;'(Codierung)'!$C$4&amp;" - "&amp;'1.4 Analyse &amp; Synthese'!C36&amp;")","")</f>
        <v/>
      </c>
      <c r="V35" s="277" t="str">
        <f t="array" ref="V35">_xlfn.IFNA(INDEX($U$6:$U$66,MATCH(0,COUNTIF($V$4:V34,$U$6:$U$66),0),1),"")</f>
        <v/>
      </c>
      <c r="X35" s="277" t="str">
        <f>IF(AND('1.4 Analyse &amp; Synthese'!T36=1,'1.4 Analyse &amp; Synthese'!F36="Empfehlung"),'1.4 Analyse &amp; Synthese'!I36&amp;CHAR(13)&amp;"("&amp;'(Codierung)'!$C$2&amp;" - "&amp;'1.4 Analyse &amp; Synthese'!C36&amp;")","")</f>
        <v/>
      </c>
      <c r="Y35" s="277" t="str">
        <f t="array" ref="Y35">_xlfn.IFNA(INDEX($X$6:$X$66,MATCH(0,COUNTIF($Y$4:Y34,$X$6:$X$66),0),1),"")</f>
        <v/>
      </c>
      <c r="Z35" s="277" t="str">
        <f>IF(AND('1.4 Analyse &amp; Synthese'!T36=1,'1.4 Analyse &amp; Synthese'!F36="Methode"),'1.4 Analyse &amp; Synthese'!I36&amp;CHAR(13)&amp;"("&amp;'(Codierung)'!$C$3&amp;" - "&amp;'1.4 Analyse &amp; Synthese'!C36&amp;")","")</f>
        <v/>
      </c>
      <c r="AA35" s="277" t="str">
        <f t="array" ref="AA35">_xlfn.IFNA(INDEX($Z$6:$Z$66,MATCH(0,COUNTIF($AA$4:AA34,$Z$6:$Z$66),0),1),"")</f>
        <v/>
      </c>
      <c r="AB35" s="277" t="str">
        <f>IF(AND('1.4 Analyse &amp; Synthese'!T36=1,'1.4 Analyse &amp; Synthese'!F36="Werkzeug"),'1.4 Analyse &amp; Synthese'!I36&amp;CHAR(13)&amp;"("&amp;'(Codierung)'!$C$4&amp;" - "&amp;'1.4 Analyse &amp; Synthese'!C36&amp;")","")</f>
        <v/>
      </c>
      <c r="AC35" s="277" t="str">
        <f t="array" ref="AC35">_xlfn.IFNA(INDEX($AB$6:$AB$66,MATCH(0,COUNTIF($AC$4:AC34,$AB$6:$AB$66),0),1),"")</f>
        <v/>
      </c>
      <c r="AE35" s="277" t="str">
        <f>IF(AND('1.4 Analyse &amp; Synthese'!U36=1,'1.4 Analyse &amp; Synthese'!F36="Empfehlung"),'1.4 Analyse &amp; Synthese'!I36&amp;CHAR(13)&amp;"("&amp;'(Codierung)'!$C$2&amp;" - "&amp;'1.4 Analyse &amp; Synthese'!C36&amp;")","")</f>
        <v/>
      </c>
      <c r="AF35" s="277" t="str">
        <f t="array" ref="AF35">_xlfn.IFNA(INDEX($AE$6:$AE$66,MATCH(0,COUNTIF($AF$4:AF34,$AE$6:$AE$66),0),1),"")</f>
        <v/>
      </c>
      <c r="AG35" s="277" t="str">
        <f>IF(AND('1.4 Analyse &amp; Synthese'!U36=1,'1.4 Analyse &amp; Synthese'!F36="Methode"),'1.4 Analyse &amp; Synthese'!I36&amp;CHAR(13)&amp;"("&amp;'(Codierung)'!$C$3&amp;" - "&amp;'1.4 Analyse &amp; Synthese'!C36&amp;")","")</f>
        <v/>
      </c>
      <c r="AH35" s="277" t="str">
        <f t="array" ref="AH35">_xlfn.IFNA(INDEX($AG$6:$AG$66,MATCH(0,COUNTIF($AH$4:AH34,$AG$6:$AG$66),0),1),"")</f>
        <v/>
      </c>
      <c r="AI35" s="277" t="str">
        <f>IF(AND('1.4 Analyse &amp; Synthese'!U36=1,'1.4 Analyse &amp; Synthese'!F36="Werkzeug"),'1.4 Analyse &amp; Synthese'!I36&amp;CHAR(13)&amp;"("&amp;'(Codierung)'!$C$4&amp;" - "&amp;'1.4 Analyse &amp; Synthese'!C36&amp;")","")</f>
        <v/>
      </c>
      <c r="AJ35" s="277" t="str">
        <f t="array" ref="AJ35">_xlfn.IFNA(INDEX($AI$6:$AI$66,MATCH(0,COUNTIF($AJ$4:AJ34,$AI$6:$AI$66),0),1),"")</f>
        <v/>
      </c>
      <c r="AL35" s="277" t="str">
        <f>IF(AND('1.4 Analyse &amp; Synthese'!V36=1,'1.4 Analyse &amp; Synthese'!F36="Empfehlung"),'1.4 Analyse &amp; Synthese'!I36&amp;CHAR(13)&amp;"("&amp;'(Codierung)'!$C$2&amp;" - "&amp;'1.4 Analyse &amp; Synthese'!C36&amp;")","")</f>
        <v/>
      </c>
      <c r="AM35" s="277" t="str">
        <f t="array" ref="AM35">_xlfn.IFNA(INDEX($AL$6:$AL$66,MATCH(0,COUNTIF($AM$4:AM34,$AL$6:$AL$66),0),1),"")</f>
        <v/>
      </c>
      <c r="AN35" s="277" t="str">
        <f>IF(AND('1.4 Analyse &amp; Synthese'!V36=1,'1.4 Analyse &amp; Synthese'!F36="Methode"),'1.4 Analyse &amp; Synthese'!I36&amp;CHAR(13)&amp;"("&amp;'(Codierung)'!$C$3&amp;" - "&amp;'1.4 Analyse &amp; Synthese'!C36&amp;")","")</f>
        <v/>
      </c>
      <c r="AO35" s="277" t="str">
        <f t="array" ref="AO35">_xlfn.IFNA(INDEX($AN$6:$AN$66,MATCH(0,COUNTIF($AO$4:AO34,$AN$6:$AN$66),0),1),"")</f>
        <v/>
      </c>
      <c r="AP35" s="277" t="str">
        <f>IF(AND('1.4 Analyse &amp; Synthese'!V36=1,'1.4 Analyse &amp; Synthese'!F36="Werkzeug"),'1.4 Analyse &amp; Synthese'!I36&amp;CHAR(13)&amp;"("&amp;'(Codierung)'!$C$4&amp;" - "&amp;'1.4 Analyse &amp; Synthese'!C36&amp;")","")</f>
        <v/>
      </c>
      <c r="AQ35" s="277" t="str">
        <f t="array" ref="AQ35">_xlfn.IFNA(INDEX($AP$6:$AP$66,MATCH(0,COUNTIF($AQ$4:AQ34,$AP$6:$AP$66),0),1),"")</f>
        <v/>
      </c>
      <c r="AS35" s="277" t="str">
        <f>IF(AND('1.4 Analyse &amp; Synthese'!W36=1,'1.4 Analyse &amp; Synthese'!F36="Empfehlung"),'1.4 Analyse &amp; Synthese'!I36&amp;CHAR(13)&amp;"("&amp;'(Codierung)'!$C$2&amp;" - "&amp;'1.4 Analyse &amp; Synthese'!C36&amp;")","")</f>
        <v/>
      </c>
      <c r="AT35" s="277" t="str">
        <f t="array" ref="AT35">_xlfn.IFNA(INDEX($AS$6:$AS$66,MATCH(0,COUNTIF($AT$4:AT34,$AS$6:$AS$66),0),1),"")</f>
        <v/>
      </c>
      <c r="AU35" s="277" t="str">
        <f>IF(AND('1.4 Analyse &amp; Synthese'!W36=1,'1.4 Analyse &amp; Synthese'!F36="Methode"),'1.4 Analyse &amp; Synthese'!I36&amp;CHAR(13)&amp;"("&amp;'(Codierung)'!$C$3&amp;" - "&amp;'1.4 Analyse &amp; Synthese'!C36&amp;")","")</f>
        <v/>
      </c>
      <c r="AV35" s="277" t="str">
        <f t="array" ref="AV35">_xlfn.IFNA(INDEX($AU$6:$AU$66,MATCH(0,COUNTIF($AV$4:AV34,$AU$6:$AU$66),0),1),"")</f>
        <v/>
      </c>
      <c r="AW35" s="277" t="str">
        <f>IF(AND('1.4 Analyse &amp; Synthese'!W36=1,'1.4 Analyse &amp; Synthese'!F36="Werkzeug"),'1.4 Analyse &amp; Synthese'!I36&amp;CHAR(13)&amp;"("&amp;'(Codierung)'!$C$4&amp;" - "&amp;'1.4 Analyse &amp; Synthese'!C36&amp;")","")</f>
        <v/>
      </c>
      <c r="AX35" s="277" t="str">
        <f t="array" ref="AX35">_xlfn.IFNA(INDEX($AW$6:$AW$66,MATCH(0,COUNTIF($AX$4:AX34,$AW$6:$AW$66),0),1),"")</f>
        <v/>
      </c>
      <c r="AZ35" s="277" t="str">
        <f>IF(AND('1.4 Analyse &amp; Synthese'!X36=1,'1.4 Analyse &amp; Synthese'!F36="Empfehlung"),'1.4 Analyse &amp; Synthese'!I36&amp;CHAR(13)&amp;"("&amp;'(Codierung)'!$C$2&amp;" - "&amp;'1.4 Analyse &amp; Synthese'!C36&amp;")","")</f>
        <v/>
      </c>
      <c r="BA35" s="277" t="str">
        <f t="array" ref="BA35">_xlfn.IFNA(INDEX($AZ$6:$AZ$66,MATCH(0,COUNTIF($BA$4:BA34,$AZ$6:$AZ$66),0),1),"")</f>
        <v/>
      </c>
      <c r="BB35" s="277" t="str">
        <f>IF(AND('1.4 Analyse &amp; Synthese'!X36=1,'1.4 Analyse &amp; Synthese'!F36="Methode"),'1.4 Analyse &amp; Synthese'!I36&amp;CHAR(13)&amp;"("&amp;'(Codierung)'!$C$3&amp;" - "&amp;'1.4 Analyse &amp; Synthese'!C36&amp;")","")</f>
        <v/>
      </c>
      <c r="BC35" s="277" t="str">
        <f t="array" ref="BC35">_xlfn.IFNA(INDEX($BB$6:$BB$66,MATCH(0,COUNTIF($BC$4:BC34,$BB$6:$BB$66),0),1),"")</f>
        <v/>
      </c>
      <c r="BD35" s="277" t="str">
        <f>IF(AND('1.4 Analyse &amp; Synthese'!X36=1,'1.4 Analyse &amp; Synthese'!F36="Werkzeug"),'1.4 Analyse &amp; Synthese'!I36&amp;CHAR(13)&amp;"("&amp;'(Codierung)'!$C$4&amp;" - "&amp;'1.4 Analyse &amp; Synthese'!C36&amp;")","")</f>
        <v/>
      </c>
      <c r="BE35" s="277" t="str">
        <f t="array" ref="BE35">_xlfn.IFNA(INDEX($BD$6:$BD$66,MATCH(0,COUNTIF($BE$4:BE34,$BD$6:$BD$66),0),1),"")</f>
        <v/>
      </c>
      <c r="BG35" s="277" t="str">
        <f>IF(AND('1.4 Analyse &amp; Synthese'!Y36=1,'1.4 Analyse &amp; Synthese'!F36="Empfehlung"),'1.4 Analyse &amp; Synthese'!I36&amp;CHAR(13)&amp;"("&amp;'(Codierung)'!$C$2&amp;" - "&amp;'1.4 Analyse &amp; Synthese'!C36&amp;")","")</f>
        <v/>
      </c>
      <c r="BH35" s="277" t="str">
        <f t="array" ref="BH35">_xlfn.IFNA(INDEX($BG$6:$BG$66,MATCH(0,COUNTIF($BH$4:BH34,$BG$6:$BG$66),0),1),"")</f>
        <v/>
      </c>
      <c r="BI35" s="277" t="str">
        <f>IF(AND('1.4 Analyse &amp; Synthese'!Y36=1,'1.4 Analyse &amp; Synthese'!F36="Methode"),'1.4 Analyse &amp; Synthese'!I36&amp;CHAR(13)&amp;"("&amp;'(Codierung)'!$C$3&amp;" - "&amp;'1.4 Analyse &amp; Synthese'!C36&amp;")","")</f>
        <v/>
      </c>
      <c r="BJ35" s="277" t="str">
        <f t="array" ref="BJ35">_xlfn.IFNA(INDEX($BI$6:$BI$66,MATCH(0,COUNTIF($BJ$4:BJ34,$BI$6:$BI$66),0),1),"")</f>
        <v/>
      </c>
      <c r="BK35" s="277" t="str">
        <f>IF(AND('1.4 Analyse &amp; Synthese'!Y36=1,'1.4 Analyse &amp; Synthese'!F36="Werkzeug"),'1.4 Analyse &amp; Synthese'!I36&amp;CHAR(13)&amp;"("&amp;'(Codierung)'!$C$4&amp;" - "&amp;'1.4 Analyse &amp; Synthese'!C36&amp;")","")</f>
        <v/>
      </c>
      <c r="BL35" s="277" t="str">
        <f t="array" ref="BL35">_xlfn.IFNA(INDEX($BK$6:$BK$66,MATCH(0,COUNTIF($BL$4:BL34,$BK$6:$BK$66),0),1),"")</f>
        <v/>
      </c>
      <c r="BN35" s="277" t="str">
        <f>IF(AND('1.4 Analyse &amp; Synthese'!Z36=1,'1.4 Analyse &amp; Synthese'!F36="Empfehlung"),'1.4 Analyse &amp; Synthese'!I36&amp;CHAR(13)&amp;"("&amp;'(Codierung)'!$C$2&amp;" - "&amp;'1.4 Analyse &amp; Synthese'!C36&amp;")","")</f>
        <v/>
      </c>
      <c r="BO35" s="277" t="str">
        <f t="array" ref="BO35">_xlfn.IFNA(INDEX($BN$6:$BN$66,MATCH(0,COUNTIF($BO$4:BO34,$BN$6:$BN$66),0),1),"")</f>
        <v/>
      </c>
      <c r="BP35" s="277" t="str">
        <f>IF(AND('1.4 Analyse &amp; Synthese'!Z36=1,'1.4 Analyse &amp; Synthese'!F36="Methode"),'1.4 Analyse &amp; Synthese'!I36&amp;CHAR(13)&amp;"("&amp;'(Codierung)'!$C$3&amp;" - "&amp;'1.4 Analyse &amp; Synthese'!C36&amp;")","")</f>
        <v/>
      </c>
      <c r="BQ35" s="277" t="str">
        <f t="array" ref="BQ35">_xlfn.IFNA(INDEX($BP$6:$BP$66,MATCH(0,COUNTIF($BQ$4:BQ34,$BP$6:$BP$66),0),1),"")</f>
        <v/>
      </c>
      <c r="BR35" s="277" t="str">
        <f>IF(AND('1.4 Analyse &amp; Synthese'!Z36=1,'1.4 Analyse &amp; Synthese'!F36="Werkzeug"),'1.4 Analyse &amp; Synthese'!I36&amp;CHAR(13)&amp;"("&amp;'(Codierung)'!$C$4&amp;" - "&amp;'1.4 Analyse &amp; Synthese'!C36&amp;")","")</f>
        <v/>
      </c>
      <c r="BS35" s="277" t="str">
        <f t="array" ref="BS35">_xlfn.IFNA(INDEX($BR$6:$BR$66,MATCH(0,COUNTIF($BS$4:BS34,$BR$6:$BR$66),0),1),"")</f>
        <v/>
      </c>
      <c r="BU35" s="277" t="str">
        <f>IF(AND('1.4 Analyse &amp; Synthese'!AA36=1,'1.4 Analyse &amp; Synthese'!F36="Empfehlung"),'1.4 Analyse &amp; Synthese'!I36&amp;CHAR(13)&amp;"("&amp;'(Codierung)'!$C$2&amp;" - "&amp;'1.4 Analyse &amp; Synthese'!C36&amp;")","")</f>
        <v/>
      </c>
      <c r="BV35" s="277" t="str">
        <f t="array" ref="BV35">_xlfn.IFNA(INDEX($BU$6:$BU$66,MATCH(0,COUNTIF($BV$4:BV34,$BU$6:$BU$66),0),1),"")</f>
        <v/>
      </c>
      <c r="BW35" s="277" t="str">
        <f>IF(AND('1.4 Analyse &amp; Synthese'!AA36=1,'1.4 Analyse &amp; Synthese'!F36="Methode"),'1.4 Analyse &amp; Synthese'!I36&amp;CHAR(13)&amp;"("&amp;'(Codierung)'!$C$3&amp;" - "&amp;'1.4 Analyse &amp; Synthese'!C36&amp;")","")</f>
        <v/>
      </c>
      <c r="BX35" s="277" t="str">
        <f t="array" ref="BX35">_xlfn.IFNA(INDEX($BW$6:$BW$66,MATCH(0,COUNTIF($BX$4:BX34,$BW$6:$BW$66),0),1),"")</f>
        <v/>
      </c>
      <c r="BY35" s="277" t="str">
        <f>IF(AND('1.4 Analyse &amp; Synthese'!AA36=1,'1.4 Analyse &amp; Synthese'!F36="Werkzeug"),'1.4 Analyse &amp; Synthese'!I36&amp;CHAR(13)&amp;"("&amp;'(Codierung)'!$C$4&amp;" - "&amp;'1.4 Analyse &amp; Synthese'!C36&amp;")","")</f>
        <v/>
      </c>
      <c r="BZ35" s="277" t="str">
        <f t="array" ref="BZ35">_xlfn.IFNA(INDEX($BY$6:$BY$66,MATCH(0,COUNTIF($BZ$4:BZ34,$BY$6:$BY$66),0),1),"")</f>
        <v/>
      </c>
      <c r="CB35" s="277" t="str">
        <f>IF(AND('1.4 Analyse &amp; Synthese'!AB36=1,'1.4 Analyse &amp; Synthese'!F36="Empfehlung"),'1.4 Analyse &amp; Synthese'!I36&amp;CHAR(13)&amp;"("&amp;'(Codierung)'!$C$2&amp;" - "&amp;'1.4 Analyse &amp; Synthese'!C36&amp;")","")</f>
        <v/>
      </c>
      <c r="CC35" s="277" t="str">
        <f t="array" ref="CC35">_xlfn.IFNA(INDEX($CB$6:$CB$66,MATCH(0,COUNTIF($CC$4:CC34,$CB$6:$CB$66),0),1),"")</f>
        <v/>
      </c>
      <c r="CD35" s="277" t="str">
        <f>IF(AND('1.4 Analyse &amp; Synthese'!AB36=1,'1.4 Analyse &amp; Synthese'!F36="Methode"),'1.4 Analyse &amp; Synthese'!I36&amp;CHAR(13)&amp;"("&amp;'(Codierung)'!$C$3&amp;" - "&amp;'1.4 Analyse &amp; Synthese'!C36&amp;")","")</f>
        <v/>
      </c>
      <c r="CE35" s="277" t="str">
        <f t="array" ref="CE35">_xlfn.IFNA(INDEX($CD$6:$CD$66,MATCH(0,COUNTIF($CE$4:CE34,$CD$6:$CD$66),0),1),"")</f>
        <v/>
      </c>
      <c r="CF35" s="277" t="str">
        <f>IF(AND('1.4 Analyse &amp; Synthese'!AB36=1,'1.4 Analyse &amp; Synthese'!F36="Werkzeug"),'1.4 Analyse &amp; Synthese'!I36&amp;CHAR(13)&amp;"("&amp;'(Codierung)'!$C$4&amp;" - "&amp;'1.4 Analyse &amp; Synthese'!C36&amp;")","")</f>
        <v/>
      </c>
      <c r="CG35" s="277" t="str">
        <f t="array" ref="CG35">_xlfn.IFNA(INDEX($CF$6:$CF$66,MATCH(0,COUNTIF($CG$4:CG34,$CF$6:$CF$66),0),1),"")</f>
        <v/>
      </c>
      <c r="CI35" s="277" t="str">
        <f>IF(AND('1.4 Analyse &amp; Synthese'!AC36=1,'1.4 Analyse &amp; Synthese'!F36="Empfehlung"),'1.4 Analyse &amp; Synthese'!I36&amp;CHAR(13)&amp;"("&amp;'(Codierung)'!$C$2&amp;" - "&amp;'1.4 Analyse &amp; Synthese'!C36&amp;")","")</f>
        <v/>
      </c>
      <c r="CJ35" s="277" t="str">
        <f t="array" ref="CJ35">_xlfn.IFNA(INDEX($CI$6:$CI$66,MATCH(0,COUNTIF($CJ$4:CJ34,$CI$6:$CI$66),0),1),"")</f>
        <v/>
      </c>
      <c r="CK35" s="277" t="str">
        <f>IF(AND('1.4 Analyse &amp; Synthese'!AC36=1,'1.4 Analyse &amp; Synthese'!F36="Methode"),'1.4 Analyse &amp; Synthese'!I36&amp;CHAR(13)&amp;"("&amp;'(Codierung)'!$C$3&amp;" - "&amp;'1.4 Analyse &amp; Synthese'!C36&amp;")","")</f>
        <v/>
      </c>
      <c r="CL35" s="277" t="str">
        <f t="array" ref="CL35">_xlfn.IFNA(INDEX($CK$6:$CK$66,MATCH(0,COUNTIF($CL$4:CL34,$CK$6:$CK$66),0),1),"")</f>
        <v/>
      </c>
      <c r="CM35" s="277" t="str">
        <f>IF(AND('1.4 Analyse &amp; Synthese'!AC36=1,'1.4 Analyse &amp; Synthese'!F36="Werkzeug"),'1.4 Analyse &amp; Synthese'!I36&amp;CHAR(13)&amp;"("&amp;'(Codierung)'!$C$4&amp;" - "&amp;'1.4 Analyse &amp; Synthese'!C36&amp;")","")</f>
        <v/>
      </c>
      <c r="CN35" s="277" t="str">
        <f t="array" ref="CN35">_xlfn.IFNA(INDEX($CM$6:$CM$66,MATCH(0,COUNTIF($CN$4:CN34,$CM$6:$CM$66),0),1),"")</f>
        <v/>
      </c>
      <c r="CP35" s="277" t="str">
        <f>IF(AND('1.4 Analyse &amp; Synthese'!AD36=1,'1.4 Analyse &amp; Synthese'!F36="Empfehlung"),'1.4 Analyse &amp; Synthese'!I36&amp;CHAR(13)&amp;"("&amp;'(Codierung)'!$C$2&amp;" - "&amp;'1.4 Analyse &amp; Synthese'!C36&amp;")","")</f>
        <v/>
      </c>
      <c r="CQ35" s="277" t="str">
        <f t="array" ref="CQ35">_xlfn.IFNA(INDEX($CP$6:$CP$66,MATCH(0,COUNTIF($CQ$4:CQ34,$CP$6:$CP$66),0),1),"")</f>
        <v/>
      </c>
      <c r="CR35" s="277" t="str">
        <f>IF(AND('1.4 Analyse &amp; Synthese'!AD36=1,'1.4 Analyse &amp; Synthese'!F36="Methode"),'1.4 Analyse &amp; Synthese'!I36&amp;CHAR(13)&amp;"("&amp;'(Codierung)'!$C$3&amp;" - "&amp;'1.4 Analyse &amp; Synthese'!C36&amp;")","")</f>
        <v/>
      </c>
      <c r="CS35" s="277" t="str">
        <f t="array" ref="CS35">_xlfn.IFNA(INDEX($CR$6:$CR$66,MATCH(0,COUNTIF($CS$4:CS34,$CR$6:$CR$66),0),1),"")</f>
        <v/>
      </c>
      <c r="CT35" s="277" t="str">
        <f>IF(AND('1.4 Analyse &amp; Synthese'!AD36=1,'1.4 Analyse &amp; Synthese'!F36="Werkzeug"),'1.4 Analyse &amp; Synthese'!I36&amp;CHAR(13)&amp;"("&amp;'(Codierung)'!$C$4&amp;" - "&amp;'1.4 Analyse &amp; Synthese'!C36&amp;")","")</f>
        <v/>
      </c>
      <c r="CU35" s="277" t="str">
        <f t="array" ref="CU35">_xlfn.IFNA(INDEX($CT$6:$CT$66,MATCH(0,COUNTIF($CU$4:CU34,$CT$6:$CT$66),0),1),"")</f>
        <v/>
      </c>
      <c r="CW35" s="277" t="str">
        <f>IF(AND('1.4 Analyse &amp; Synthese'!AE36=1,'1.4 Analyse &amp; Synthese'!F36="Empfehlung"),'1.4 Analyse &amp; Synthese'!I36&amp;CHAR(13)&amp;"("&amp;'(Codierung)'!$C$2&amp;" - "&amp;'1.4 Analyse &amp; Synthese'!C36&amp;")","")</f>
        <v>Meta Cloud API_x000D_(Empfehlung - Satzger)</v>
      </c>
      <c r="CX35" s="277" t="str">
        <f t="array" ref="CX35">_xlfn.IFNA(INDEX($CW$6:$CW$66,MATCH(0,COUNTIF($CX$4:CX34,$CW$6:$CW$66),0),1),"")</f>
        <v/>
      </c>
      <c r="CY35" s="277" t="str">
        <f>IF(AND('1.4 Analyse &amp; Synthese'!AE36=1,'1.4 Analyse &amp; Synthese'!F36="Methode"),'1.4 Analyse &amp; Synthese'!I36&amp;CHAR(13)&amp;"("&amp;'(Codierung)'!$C$3&amp;" - "&amp;'1.4 Analyse &amp; Synthese'!C36&amp;")","")</f>
        <v/>
      </c>
      <c r="CZ35" s="277" t="str">
        <f t="array" ref="CZ35">_xlfn.IFNA(INDEX($CY$6:$CY$66,MATCH(0,COUNTIF($CZ$4:CZ34,$CY$6:$CY$66),0),1),"")</f>
        <v/>
      </c>
      <c r="DA35" s="277" t="str">
        <f>IF(AND('1.4 Analyse &amp; Synthese'!AE36=1,'1.4 Analyse &amp; Synthese'!F36="Werkzeug"),'1.4 Analyse &amp; Synthese'!I36&amp;CHAR(13)&amp;"("&amp;'(Codierung)'!$C$4&amp;" - "&amp;'1.4 Analyse &amp; Synthese'!C36&amp;")","")</f>
        <v/>
      </c>
      <c r="DB35" s="277" t="str">
        <f t="array" ref="DB35">_xlfn.IFNA(INDEX($DA$6:$DA$66,MATCH(0,COUNTIF($DB$4:DB34,$DA$6:$DA$66),0),1),"")</f>
        <v/>
      </c>
      <c r="DD35" s="277" t="str">
        <f>IF(AND('1.4 Analyse &amp; Synthese'!AF36=1,'1.4 Analyse &amp; Synthese'!F36="Empfehlung"),'1.4 Analyse &amp; Synthese'!I36&amp;CHAR(13)&amp;"("&amp;'(Codierung)'!$C$2&amp;" - "&amp;'1.4 Analyse &amp; Synthese'!C36&amp;")","")</f>
        <v/>
      </c>
      <c r="DE35" s="277" t="str">
        <f t="array" ref="DE35">_xlfn.IFNA(INDEX($DD$6:$DD$66,MATCH(0,COUNTIF($DE$4:DE34,$DD$6:$DD$66),0),1),"")</f>
        <v/>
      </c>
      <c r="DF35" s="277" t="str">
        <f>IF(AND('1.4 Analyse &amp; Synthese'!AF36=1,'1.4 Analyse &amp; Synthese'!F36="Methode"),'1.4 Analyse &amp; Synthese'!I36&amp;CHAR(13)&amp;"("&amp;'(Codierung)'!$C$3&amp;" - "&amp;'1.4 Analyse &amp; Synthese'!C36&amp;")","")</f>
        <v/>
      </c>
      <c r="DG35" s="277" t="str">
        <f t="array" ref="DG35">_xlfn.IFNA(INDEX($DF$6:$DF$66,MATCH(0,COUNTIF($DG$4:DG34,$DF$6:$DF$66),0),1),"")</f>
        <v/>
      </c>
      <c r="DH35" s="277" t="str">
        <f>IF(AND('1.4 Analyse &amp; Synthese'!AF36=1,'1.4 Analyse &amp; Synthese'!F36="Werkzeug"),'1.4 Analyse &amp; Synthese'!I36&amp;CHAR(13)&amp;"("&amp;'(Codierung)'!$C$4&amp;" - "&amp;'1.4 Analyse &amp; Synthese'!C36&amp;")","")</f>
        <v/>
      </c>
      <c r="DI35" s="277" t="str">
        <f t="array" ref="DI35">_xlfn.IFNA(INDEX($DH$6:$DH$66,MATCH(0,COUNTIF($DI$4:DI34,$DH$6:$DH$66),0),1),"")</f>
        <v/>
      </c>
      <c r="DK35" s="277" t="str">
        <f>IF(AND('1.4 Analyse &amp; Synthese'!AG36=1,'1.4 Analyse &amp; Synthese'!F36="Empfehlung"),'1.4 Analyse &amp; Synthese'!I36&amp;CHAR(13)&amp;"("&amp;'(Codierung)'!$C$2&amp;" - "&amp;'1.4 Analyse &amp; Synthese'!C36&amp;")","")</f>
        <v>Meta Cloud API_x000D_(Empfehlung - Satzger)</v>
      </c>
      <c r="DL35" s="277" t="str">
        <f t="array" ref="DL35">_xlfn.IFNA(INDEX($DK$6:$DK$66,MATCH(0,COUNTIF($DL$4:DL34,$DK$6:$DK$66),0),1),"")</f>
        <v/>
      </c>
      <c r="DM35" s="277" t="str">
        <f>IF(AND('1.4 Analyse &amp; Synthese'!AG36=1,'1.4 Analyse &amp; Synthese'!F36="Methode"),'1.4 Analyse &amp; Synthese'!I36&amp;CHAR(13)&amp;"("&amp;'(Codierung)'!$C$3&amp;" - "&amp;'1.4 Analyse &amp; Synthese'!C36&amp;")","")</f>
        <v/>
      </c>
      <c r="DN35" s="277" t="str">
        <f t="array" ref="DN35">_xlfn.IFNA(INDEX($DM$6:$DM$66,MATCH(0,COUNTIF($DN$4:DN34,$DM$6:$DM$66),0),1),"")</f>
        <v/>
      </c>
      <c r="DO35" s="277" t="str">
        <f>IF(AND('1.4 Analyse &amp; Synthese'!AG36=1,'1.4 Analyse &amp; Synthese'!F36="Werkzeug"),'1.4 Analyse &amp; Synthese'!I36&amp;CHAR(13)&amp;"("&amp;'(Codierung)'!$C$4&amp;" - "&amp;'1.4 Analyse &amp; Synthese'!C36&amp;")","")</f>
        <v/>
      </c>
      <c r="DP35" s="277" t="str">
        <f t="array" ref="DP35">_xlfn.IFNA(INDEX($DO$6:$DO$66,MATCH(0,COUNTIF($DP$4:DP34,$DO$6:$DO$66),0),1),"")</f>
        <v/>
      </c>
      <c r="DR35" s="277" t="str">
        <f>IF(AND('1.4 Analyse &amp; Synthese'!AH36=1,'1.4 Analyse &amp; Synthese'!F36="Empfehlung"),'1.4 Analyse &amp; Synthese'!I36&amp;CHAR(13)&amp;"("&amp;'(Codierung)'!$C$2&amp;" - "&amp;'1.4 Analyse &amp; Synthese'!C36&amp;")","")</f>
        <v/>
      </c>
      <c r="DS35" s="277" t="str">
        <f t="array" ref="DS35">_xlfn.IFNA(INDEX($DR$6:$DR$66,MATCH(0,COUNTIF($DS$4:DS34,$DR$6:$DR$66),0),1),"")</f>
        <v/>
      </c>
      <c r="DT35" s="277" t="str">
        <f>IF(AND('1.4 Analyse &amp; Synthese'!AH36=1,'1.4 Analyse &amp; Synthese'!F36="Methode"),'1.4 Analyse &amp; Synthese'!I36&amp;CHAR(13)&amp;"("&amp;'(Codierung)'!$C$3&amp;" - "&amp;'1.4 Analyse &amp; Synthese'!C36&amp;")","")</f>
        <v/>
      </c>
      <c r="DU35" s="277" t="str">
        <f t="array" ref="DU35">_xlfn.IFNA(INDEX($DT$6:$DT$66,MATCH(0,COUNTIF($DU$4:DU34,$DT$6:$DT$66),0),1),"")</f>
        <v/>
      </c>
      <c r="DV35" s="277" t="str">
        <f>IF(AND('1.4 Analyse &amp; Synthese'!AH36=1,'1.4 Analyse &amp; Synthese'!F36="Werkzeug"),'1.4 Analyse &amp; Synthese'!I36&amp;CHAR(13)&amp;"("&amp;'(Codierung)'!$C$4&amp;" - "&amp;'1.4 Analyse &amp; Synthese'!C36&amp;")","")</f>
        <v/>
      </c>
      <c r="DW35" s="277" t="str">
        <f t="array" ref="DW35">_xlfn.IFNA(INDEX($DV$6:$DV$66,MATCH(0,COUNTIF($DW$4:DW34,$DV$6:$DV$66),0),1),"")</f>
        <v/>
      </c>
      <c r="DY35" s="277" t="str">
        <f>IF(AND('1.4 Analyse &amp; Synthese'!AI36=1,'1.4 Analyse &amp; Synthese'!F36="Empfehlung"),'1.4 Analyse &amp; Synthese'!I36&amp;CHAR(13)&amp;"("&amp;'(Codierung)'!$C$2&amp;" - "&amp;'1.4 Analyse &amp; Synthese'!C36&amp;")","")</f>
        <v>Meta Cloud API_x000D_(Empfehlung - Satzger)</v>
      </c>
      <c r="DZ35" s="277" t="str">
        <f t="array" ref="DZ35">_xlfn.IFNA(INDEX($DY$6:$DY$66,MATCH(0,COUNTIF($DZ$4:DZ34,$DY$6:$DY$66),0),1),"")</f>
        <v/>
      </c>
      <c r="EA35" s="277" t="str">
        <f>IF(AND('1.4 Analyse &amp; Synthese'!AI36=1,'1.4 Analyse &amp; Synthese'!F36="Methode"),'1.4 Analyse &amp; Synthese'!I36&amp;CHAR(13)&amp;"("&amp;'(Codierung)'!$C$3&amp;" - "&amp;'1.4 Analyse &amp; Synthese'!C36&amp;")","")</f>
        <v/>
      </c>
      <c r="EB35" s="277" t="str">
        <f t="array" ref="EB35">_xlfn.IFNA(INDEX($EA$6:$EA$66,MATCH(0,COUNTIF($EB$4:EB34,$EA$6:$EA$66),0),1),"")</f>
        <v/>
      </c>
      <c r="EC35" s="277" t="str">
        <f>IF(AND('1.4 Analyse &amp; Synthese'!AI36=1,'1.4 Analyse &amp; Synthese'!F36="Werkzeug"),'1.4 Analyse &amp; Synthese'!I36&amp;CHAR(13)&amp;"("&amp;'(Codierung)'!$C$4&amp;" - "&amp;'1.4 Analyse &amp; Synthese'!C36&amp;")","")</f>
        <v/>
      </c>
      <c r="ED35" s="277" t="str">
        <f t="array" ref="ED35">_xlfn.IFNA(INDEX($EC$6:$EC$66,MATCH(0,COUNTIF($ED$4:ED34,$EC$6:$EC$66),0),1),"")</f>
        <v/>
      </c>
      <c r="EF35" s="277" t="str">
        <f>IF(AND('1.4 Analyse &amp; Synthese'!AJ36=1,'1.4 Analyse &amp; Synthese'!F36="Empfehlung"),'1.4 Analyse &amp; Synthese'!I36&amp;CHAR(13)&amp;"("&amp;'(Codierung)'!$C$2&amp;" - "&amp;'1.4 Analyse &amp; Synthese'!C36&amp;")","")</f>
        <v/>
      </c>
      <c r="EG35" s="277" t="str">
        <f t="array" ref="EG35">_xlfn.IFNA(INDEX($EF$6:$EF$66,MATCH(0,COUNTIF($EG$4:EG34,$EF$6:$EF$66),0),1),"")</f>
        <v/>
      </c>
      <c r="EH35" s="277" t="str">
        <f>IF(AND('1.4 Analyse &amp; Synthese'!AJ36=1,'1.4 Analyse &amp; Synthese'!F36="Methode"),'1.4 Analyse &amp; Synthese'!I36&amp;CHAR(13)&amp;"("&amp;'(Codierung)'!$C$3&amp;" - "&amp;'1.4 Analyse &amp; Synthese'!C36&amp;")","")</f>
        <v/>
      </c>
      <c r="EI35" s="277" t="str">
        <f t="array" ref="EI35">_xlfn.IFNA(INDEX($EH$6:$EH$66,MATCH(0,COUNTIF($EI$4:EI34,$EH$6:$EH$66),0),1),"")</f>
        <v/>
      </c>
      <c r="EJ35" s="277" t="str">
        <f>IF(AND('1.4 Analyse &amp; Synthese'!AJ36=1,'1.4 Analyse &amp; Synthese'!F36="Werkzeug"),'1.4 Analyse &amp; Synthese'!I36&amp;CHAR(13)&amp;"("&amp;'(Codierung)'!$C$4&amp;" - "&amp;'1.4 Analyse &amp; Synthese'!C36&amp;")","")</f>
        <v/>
      </c>
      <c r="EK35" s="277" t="str">
        <f t="array" ref="EK35">_xlfn.IFNA(INDEX($EJ$6:$EJ$66,MATCH(0,COUNTIF($EK$4:EK34,$EJ$6:$EJ$66),0),1),"")</f>
        <v/>
      </c>
      <c r="EN35" s="222" t="str">
        <f t="shared" si="0"/>
        <v/>
      </c>
      <c r="EO35" s="277" t="str">
        <f t="shared" si="1"/>
        <v/>
      </c>
      <c r="EP35" s="277" t="str">
        <f t="shared" si="2"/>
        <v/>
      </c>
      <c r="EQ35" s="277" t="str">
        <f>ZahlenInBereich(Tabelle1[[Empfehlung]:[Werkzeug]],ROW()-5)</f>
        <v/>
      </c>
      <c r="ER35" s="277" t="str">
        <f t="shared" si="3"/>
        <v/>
      </c>
      <c r="ES35" s="277" t="str">
        <f t="shared" si="4"/>
        <v/>
      </c>
      <c r="ET35" s="277" t="str">
        <f t="shared" si="5"/>
        <v/>
      </c>
      <c r="EU35" s="277" t="str">
        <f>ZahlenInBereich(Tabelle1[[Empfehlung2]:[Werkzeug4]],ROW()-5)</f>
        <v/>
      </c>
      <c r="EV35" s="277" t="str">
        <f t="shared" si="6"/>
        <v/>
      </c>
      <c r="EW35" s="277" t="str">
        <f t="shared" si="7"/>
        <v/>
      </c>
      <c r="EX35" s="277" t="str">
        <f t="shared" si="8"/>
        <v/>
      </c>
      <c r="EY35" s="277" t="str">
        <f>ZahlenInBereich(Tabelle1[[Empfehlung6]:[Werkzeug8]],ROW()-5)</f>
        <v/>
      </c>
      <c r="EZ35" s="277" t="str">
        <f t="shared" si="9"/>
        <v/>
      </c>
      <c r="FA35" s="277" t="str">
        <f t="shared" si="10"/>
        <v/>
      </c>
      <c r="FB35" s="277" t="str">
        <f t="shared" si="11"/>
        <v/>
      </c>
      <c r="FC35" s="277" t="str">
        <f>ZahlenInBereich(Tabelle1[[Empfehlung10]:[Werkzeug12]],ROW()-5)</f>
        <v/>
      </c>
      <c r="FD35" s="277" t="str">
        <f t="shared" si="12"/>
        <v/>
      </c>
      <c r="FE35" s="277" t="str">
        <f t="shared" si="13"/>
        <v/>
      </c>
      <c r="FF35" s="277" t="str">
        <f t="shared" si="14"/>
        <v/>
      </c>
      <c r="FG35" s="277" t="str">
        <f>ZahlenInBereich(Tabelle1[[Empfehlung14]:[Werkzeug16]],ROW()-5)</f>
        <v/>
      </c>
      <c r="FH35" s="277" t="str">
        <f t="shared" si="15"/>
        <v/>
      </c>
      <c r="FI35" s="277" t="str">
        <f t="shared" si="16"/>
        <v/>
      </c>
      <c r="FJ35" s="277" t="str">
        <f t="shared" si="17"/>
        <v/>
      </c>
      <c r="FK35" s="277" t="str">
        <f>ZahlenInBereich(Tabelle1[[Empfehlung18]:[Werkzeug20]],ROW()-5)</f>
        <v/>
      </c>
      <c r="FL35" s="277" t="str">
        <f t="shared" si="18"/>
        <v/>
      </c>
      <c r="FM35" s="277" t="str">
        <f t="shared" si="19"/>
        <v/>
      </c>
      <c r="FN35" s="277" t="str">
        <f t="shared" si="20"/>
        <v/>
      </c>
      <c r="FO35" s="277" t="str">
        <f>ZahlenInBereich(Tabelle1[[Empfehlung22]:[Werkzeug24]],ROW()-5)</f>
        <v/>
      </c>
      <c r="FP35" s="277" t="str">
        <f t="shared" si="21"/>
        <v/>
      </c>
      <c r="FQ35" s="277" t="str">
        <f t="shared" si="22"/>
        <v/>
      </c>
      <c r="FR35" s="277" t="str">
        <f t="shared" si="23"/>
        <v/>
      </c>
      <c r="FS35" s="277" t="str">
        <f>ZahlenInBereich(Tabelle1[[Empfehlung26]:[Werkzeug28]],ROW()-5)</f>
        <v/>
      </c>
      <c r="FT35" s="277" t="str">
        <f t="shared" si="24"/>
        <v/>
      </c>
      <c r="FU35" s="277" t="str">
        <f t="shared" si="25"/>
        <v/>
      </c>
      <c r="FV35" s="277" t="str">
        <f t="shared" si="26"/>
        <v/>
      </c>
      <c r="FW35" s="277" t="str">
        <f>ZahlenInBereich(Tabelle1[[Empfehlung30]:[Werkzeug32]],ROW()-5)</f>
        <v/>
      </c>
      <c r="FX35" s="277" t="str">
        <f t="shared" si="27"/>
        <v/>
      </c>
      <c r="FY35" s="277" t="str">
        <f t="shared" si="28"/>
        <v/>
      </c>
      <c r="FZ35" s="277" t="str">
        <f t="shared" si="29"/>
        <v/>
      </c>
      <c r="GA35" s="277" t="str">
        <f>ZahlenInBereich(Tabelle1[[Empfehlung34]:[Werkzeug36]],ROW()-5)</f>
        <v/>
      </c>
      <c r="GB35" s="277" t="str">
        <f t="shared" si="30"/>
        <v/>
      </c>
      <c r="GC35" s="277" t="str">
        <f t="shared" si="31"/>
        <v/>
      </c>
      <c r="GD35" s="277" t="str">
        <f t="shared" si="32"/>
        <v/>
      </c>
      <c r="GE35" s="277" t="str">
        <f>ZahlenInBereich(Tabelle1[[Empfehlung38]:[Werkzeug40]],ROW()-5)</f>
        <v/>
      </c>
      <c r="GF35" s="277" t="str">
        <f t="shared" si="33"/>
        <v/>
      </c>
      <c r="GG35" s="277" t="str">
        <f t="shared" si="34"/>
        <v/>
      </c>
      <c r="GH35" s="277" t="str">
        <f t="shared" si="35"/>
        <v/>
      </c>
      <c r="GI35" s="277" t="str">
        <f>ZahlenInBereich(Tabelle1[[Empfehlung42]:[Werkzeug44]],ROW()-5)</f>
        <v/>
      </c>
      <c r="GJ35" s="277" t="str">
        <f t="shared" si="36"/>
        <v/>
      </c>
      <c r="GK35" s="277" t="str">
        <f t="shared" si="37"/>
        <v/>
      </c>
      <c r="GL35" s="277" t="str">
        <f t="shared" si="38"/>
        <v/>
      </c>
      <c r="GM35" s="277" t="str">
        <f>ZahlenInBereich(Tabelle1[[Empfehlung46]:[Werkzeug48]],ROW()-5)</f>
        <v/>
      </c>
      <c r="GN35" s="277" t="str">
        <f t="shared" si="39"/>
        <v/>
      </c>
      <c r="GO35" s="277" t="str">
        <f t="shared" si="40"/>
        <v/>
      </c>
      <c r="GP35" s="277" t="str">
        <f t="shared" si="41"/>
        <v/>
      </c>
      <c r="GQ35" s="277" t="str">
        <f>ZahlenInBereich(Tabelle1[[Empfehlung50]:[Werkzeug52]],ROW()-5)</f>
        <v/>
      </c>
      <c r="GR35" s="277" t="str">
        <f t="shared" si="42"/>
        <v/>
      </c>
      <c r="GS35" s="277" t="str">
        <f t="shared" si="43"/>
        <v/>
      </c>
      <c r="GT35" s="277" t="str">
        <f t="shared" si="44"/>
        <v/>
      </c>
      <c r="GU35" s="277" t="str">
        <f>ZahlenInBereich(Tabelle1[[Empfehlung54]:[Werkzeug56]],ROW()-5)</f>
        <v/>
      </c>
      <c r="GV35" s="277" t="str">
        <f t="shared" si="45"/>
        <v/>
      </c>
      <c r="GW35" s="277" t="str">
        <f t="shared" si="46"/>
        <v/>
      </c>
      <c r="GX35" s="277" t="str">
        <f t="shared" si="47"/>
        <v/>
      </c>
      <c r="GY35" s="277" t="str">
        <f>ZahlenInBereich(Tabelle1[[Empfehlung58]:[Werkzeug60]],ROW()-5)</f>
        <v/>
      </c>
      <c r="GZ35" s="277" t="str">
        <f t="shared" si="48"/>
        <v/>
      </c>
      <c r="HA35" s="277" t="str">
        <f t="shared" si="49"/>
        <v/>
      </c>
      <c r="HB35" s="277" t="str">
        <f t="shared" si="50"/>
        <v/>
      </c>
      <c r="HC35" s="277" t="str">
        <f>ZahlenInBereich(Tabelle1[[Empfehlung62]:[Werkzeug64]],ROW()-5)</f>
        <v/>
      </c>
      <c r="HD35" s="277" t="str">
        <f t="shared" si="51"/>
        <v/>
      </c>
      <c r="HE35" s="277" t="str">
        <f t="shared" si="52"/>
        <v/>
      </c>
      <c r="HF35" s="277" t="str">
        <f t="shared" si="53"/>
        <v/>
      </c>
      <c r="HG35" s="277" t="str">
        <f>ZahlenInBereich(Tabelle1[[Empfehlung66]:[Werkzeug68]],ROW()-5)</f>
        <v/>
      </c>
      <c r="HH35" s="277" t="str">
        <f t="shared" si="54"/>
        <v/>
      </c>
      <c r="HI35" s="277" t="str">
        <f t="shared" si="55"/>
        <v/>
      </c>
      <c r="HJ35" s="277" t="str">
        <f t="shared" si="56"/>
        <v/>
      </c>
      <c r="HK35" s="277" t="str">
        <f>ZahlenInBereich(Tabelle1[[Empfehlung70]:[Werkzeug72]],ROW()-5)</f>
        <v/>
      </c>
      <c r="HL35" s="277" t="str">
        <f t="shared" si="57"/>
        <v/>
      </c>
      <c r="HM35" s="277" t="str">
        <f t="shared" si="58"/>
        <v/>
      </c>
      <c r="HN35" s="277" t="str">
        <f t="shared" si="59"/>
        <v/>
      </c>
      <c r="HO35" s="277" t="str">
        <f>ZahlenInBereich(Tabelle1[[Empfehlung74]:[Werkzeug76]],ROW()-5)</f>
        <v/>
      </c>
    </row>
    <row r="36" spans="2:223" ht="32" x14ac:dyDescent="0.2">
      <c r="B36" s="134">
        <f>'1.4 Analyse &amp; Synthese'!B37</f>
        <v>31</v>
      </c>
      <c r="C36" s="277" t="str">
        <f>IF(AND('1.4 Analyse &amp; Synthese'!Q37=1,'1.4 Analyse &amp; Synthese'!F37="Empfehlung"),'1.4 Analyse &amp; Synthese'!I37&amp;CHAR(13)&amp;"("&amp;'(Codierung)'!$C$2&amp;" - "&amp;'1.4 Analyse &amp; Synthese'!C37&amp;")","")</f>
        <v/>
      </c>
      <c r="D36" s="222" t="str">
        <f t="array" ref="D36">_xlfn.IFNA(INDEX($C$6:$C$66,MATCH(0,COUNTIF($D$4:D35,$C$6:$C$66),0),1),"")</f>
        <v/>
      </c>
      <c r="E36" s="277" t="str">
        <f>IF(AND('1.4 Analyse &amp; Synthese'!Q37=1,'1.4 Analyse &amp; Synthese'!F37="Methode"),'1.4 Analyse &amp; Synthese'!I37&amp;CHAR(13)&amp;"("&amp;'(Codierung)'!$C$3&amp;" - "&amp;'1.4 Analyse &amp; Synthese'!C37&amp;")","")</f>
        <v/>
      </c>
      <c r="F36" s="277" t="str">
        <f t="array" ref="F36">_xlfn.IFNA(INDEX($E$6:$E$66,MATCH(0,COUNTIF($F$4:F35,$E$6:$E$66),0),1),"")</f>
        <v/>
      </c>
      <c r="G36" s="277" t="str">
        <f>IF(AND('1.4 Analyse &amp; Synthese'!Q37=1,'1.4 Analyse &amp; Synthese'!F37="Werkzeug"),'1.4 Analyse &amp; Synthese'!I37&amp;CHAR(13)&amp;"("&amp;'(Codierung)'!$C$4&amp;" - "&amp;'1.4 Analyse &amp; Synthese'!C37&amp;")","")</f>
        <v/>
      </c>
      <c r="H36" s="277" t="str">
        <f t="array" ref="H36">_xlfn.IFNA(INDEX($G$6:$G$66,MATCH(0,COUNTIF($H$4:H35,$G$6:$G$66),0),1),"")</f>
        <v/>
      </c>
      <c r="J36" s="277" t="str">
        <f>IF(AND('1.4 Analyse &amp; Synthese'!R37=1,'1.4 Analyse &amp; Synthese'!F37="Empfehlung"),'1.4 Analyse &amp; Synthese'!I37&amp;CHAR(13)&amp;"("&amp;'(Codierung)'!$C$2&amp;" - "&amp;'1.4 Analyse &amp; Synthese'!C37&amp;")","")</f>
        <v/>
      </c>
      <c r="K36" s="277" t="str">
        <f t="array" ref="K36">_xlfn.IFNA(INDEX($J$6:$J$66,MATCH(0,COUNTIF($K$4:K35,$J$6:$J$66),0),1),"")</f>
        <v/>
      </c>
      <c r="L36" s="277" t="str">
        <f>IF(AND('1.4 Analyse &amp; Synthese'!R37=1,'1.4 Analyse &amp; Synthese'!F37="Methode"),'1.4 Analyse &amp; Synthese'!I37&amp;CHAR(13)&amp;"("&amp;'(Codierung)'!$C$3&amp;" - "&amp;'1.4 Analyse &amp; Synthese'!C37&amp;")","")</f>
        <v/>
      </c>
      <c r="M36" s="277" t="str">
        <f t="array" ref="M36">_xlfn.IFNA(INDEX($L$6:$L$66,MATCH(0,COUNTIF($M$4:M35,$L$6:$L$66),0),1),"")</f>
        <v/>
      </c>
      <c r="N36" s="277" t="str">
        <f>IF(AND('1.4 Analyse &amp; Synthese'!R37=1,'1.4 Analyse &amp; Synthese'!F37="Werkzeug"),'1.4 Analyse &amp; Synthese'!I37&amp;CHAR(13)&amp;"("&amp;'(Codierung)'!$C$4&amp;" - "&amp;'1.4 Analyse &amp; Synthese'!C37&amp;")","")</f>
        <v/>
      </c>
      <c r="O36" s="277" t="str">
        <f t="array" ref="O36">_xlfn.IFNA(INDEX($N$6:$N$66,MATCH(0,COUNTIF($O$4:O35,$N$6:$N$66),0),1),"")</f>
        <v/>
      </c>
      <c r="Q36" s="277" t="str">
        <f>IF(AND('1.4 Analyse &amp; Synthese'!S37=1,'1.4 Analyse &amp; Synthese'!F37="Empfehlung"),'1.4 Analyse &amp; Synthese'!I37&amp;CHAR(13)&amp;"("&amp;'(Codierung)'!$C$2&amp;" - "&amp;'1.4 Analyse &amp; Synthese'!C37&amp;")","")</f>
        <v/>
      </c>
      <c r="R36" s="277" t="str">
        <f t="array" ref="R36">_xlfn.IFNA(INDEX($Q$6:$Q$66,MATCH(0,COUNTIF($R$4:R35,$Q$6:$Q$66),0),1),"")</f>
        <v/>
      </c>
      <c r="S36" s="277" t="str">
        <f>IF(AND('1.4 Analyse &amp; Synthese'!S37=1,'1.4 Analyse &amp; Synthese'!F37="Methode"),'1.4 Analyse &amp; Synthese'!I37&amp;CHAR(13)&amp;"("&amp;'(Codierung)'!$C$3&amp;" - "&amp;'1.4 Analyse &amp; Synthese'!C37&amp;")","")</f>
        <v/>
      </c>
      <c r="T36" s="277" t="str">
        <f t="array" ref="T36">_xlfn.IFNA(INDEX($S$6:$S$66,MATCH(0,COUNTIF($T$4:T35,$S$6:$S$66),0),1),"")</f>
        <v/>
      </c>
      <c r="U36" s="277" t="str">
        <f>IF(AND('1.4 Analyse &amp; Synthese'!S37=1,'1.4 Analyse &amp; Synthese'!F37="Werkzeug"),'1.4 Analyse &amp; Synthese'!I37&amp;CHAR(13)&amp;"("&amp;'(Codierung)'!$C$4&amp;" - "&amp;'1.4 Analyse &amp; Synthese'!C37&amp;")","")</f>
        <v/>
      </c>
      <c r="V36" s="277" t="str">
        <f t="array" ref="V36">_xlfn.IFNA(INDEX($U$6:$U$66,MATCH(0,COUNTIF($V$4:V35,$U$6:$U$66),0),1),"")</f>
        <v/>
      </c>
      <c r="X36" s="277" t="str">
        <f>IF(AND('1.4 Analyse &amp; Synthese'!T37=1,'1.4 Analyse &amp; Synthese'!F37="Empfehlung"),'1.4 Analyse &amp; Synthese'!I37&amp;CHAR(13)&amp;"("&amp;'(Codierung)'!$C$2&amp;" - "&amp;'1.4 Analyse &amp; Synthese'!C37&amp;")","")</f>
        <v/>
      </c>
      <c r="Y36" s="277" t="str">
        <f t="array" ref="Y36">_xlfn.IFNA(INDEX($X$6:$X$66,MATCH(0,COUNTIF($Y$4:Y35,$X$6:$X$66),0),1),"")</f>
        <v/>
      </c>
      <c r="Z36" s="277" t="str">
        <f>IF(AND('1.4 Analyse &amp; Synthese'!T37=1,'1.4 Analyse &amp; Synthese'!F37="Methode"),'1.4 Analyse &amp; Synthese'!I37&amp;CHAR(13)&amp;"("&amp;'(Codierung)'!$C$3&amp;" - "&amp;'1.4 Analyse &amp; Synthese'!C37&amp;")","")</f>
        <v/>
      </c>
      <c r="AA36" s="277" t="str">
        <f t="array" ref="AA36">_xlfn.IFNA(INDEX($Z$6:$Z$66,MATCH(0,COUNTIF($AA$4:AA35,$Z$6:$Z$66),0),1),"")</f>
        <v/>
      </c>
      <c r="AB36" s="277" t="str">
        <f>IF(AND('1.4 Analyse &amp; Synthese'!T37=1,'1.4 Analyse &amp; Synthese'!F37="Werkzeug"),'1.4 Analyse &amp; Synthese'!I37&amp;CHAR(13)&amp;"("&amp;'(Codierung)'!$C$4&amp;" - "&amp;'1.4 Analyse &amp; Synthese'!C37&amp;")","")</f>
        <v/>
      </c>
      <c r="AC36" s="277" t="str">
        <f t="array" ref="AC36">_xlfn.IFNA(INDEX($AB$6:$AB$66,MATCH(0,COUNTIF($AC$4:AC35,$AB$6:$AB$66),0),1),"")</f>
        <v/>
      </c>
      <c r="AE36" s="277" t="str">
        <f>IF(AND('1.4 Analyse &amp; Synthese'!U37=1,'1.4 Analyse &amp; Synthese'!F37="Empfehlung"),'1.4 Analyse &amp; Synthese'!I37&amp;CHAR(13)&amp;"("&amp;'(Codierung)'!$C$2&amp;" - "&amp;'1.4 Analyse &amp; Synthese'!C37&amp;")","")</f>
        <v/>
      </c>
      <c r="AF36" s="277" t="str">
        <f t="array" ref="AF36">_xlfn.IFNA(INDEX($AE$6:$AE$66,MATCH(0,COUNTIF($AF$4:AF35,$AE$6:$AE$66),0),1),"")</f>
        <v/>
      </c>
      <c r="AG36" s="277" t="str">
        <f>IF(AND('1.4 Analyse &amp; Synthese'!U37=1,'1.4 Analyse &amp; Synthese'!F37="Methode"),'1.4 Analyse &amp; Synthese'!I37&amp;CHAR(13)&amp;"("&amp;'(Codierung)'!$C$3&amp;" - "&amp;'1.4 Analyse &amp; Synthese'!C37&amp;")","")</f>
        <v/>
      </c>
      <c r="AH36" s="277" t="str">
        <f t="array" ref="AH36">_xlfn.IFNA(INDEX($AG$6:$AG$66,MATCH(0,COUNTIF($AH$4:AH35,$AG$6:$AG$66),0),1),"")</f>
        <v/>
      </c>
      <c r="AI36" s="277" t="str">
        <f>IF(AND('1.4 Analyse &amp; Synthese'!U37=1,'1.4 Analyse &amp; Synthese'!F37="Werkzeug"),'1.4 Analyse &amp; Synthese'!I37&amp;CHAR(13)&amp;"("&amp;'(Codierung)'!$C$4&amp;" - "&amp;'1.4 Analyse &amp; Synthese'!C37&amp;")","")</f>
        <v/>
      </c>
      <c r="AJ36" s="277" t="str">
        <f t="array" ref="AJ36">_xlfn.IFNA(INDEX($AI$6:$AI$66,MATCH(0,COUNTIF($AJ$4:AJ35,$AI$6:$AI$66),0),1),"")</f>
        <v/>
      </c>
      <c r="AL36" s="277" t="str">
        <f>IF(AND('1.4 Analyse &amp; Synthese'!V37=1,'1.4 Analyse &amp; Synthese'!F37="Empfehlung"),'1.4 Analyse &amp; Synthese'!I37&amp;CHAR(13)&amp;"("&amp;'(Codierung)'!$C$2&amp;" - "&amp;'1.4 Analyse &amp; Synthese'!C37&amp;")","")</f>
        <v/>
      </c>
      <c r="AM36" s="277" t="str">
        <f t="array" ref="AM36">_xlfn.IFNA(INDEX($AL$6:$AL$66,MATCH(0,COUNTIF($AM$4:AM35,$AL$6:$AL$66),0),1),"")</f>
        <v/>
      </c>
      <c r="AN36" s="277" t="str">
        <f>IF(AND('1.4 Analyse &amp; Synthese'!V37=1,'1.4 Analyse &amp; Synthese'!F37="Methode"),'1.4 Analyse &amp; Synthese'!I37&amp;CHAR(13)&amp;"("&amp;'(Codierung)'!$C$3&amp;" - "&amp;'1.4 Analyse &amp; Synthese'!C37&amp;")","")</f>
        <v/>
      </c>
      <c r="AO36" s="277" t="str">
        <f t="array" ref="AO36">_xlfn.IFNA(INDEX($AN$6:$AN$66,MATCH(0,COUNTIF($AO$4:AO35,$AN$6:$AN$66),0),1),"")</f>
        <v/>
      </c>
      <c r="AP36" s="277" t="str">
        <f>IF(AND('1.4 Analyse &amp; Synthese'!V37=1,'1.4 Analyse &amp; Synthese'!F37="Werkzeug"),'1.4 Analyse &amp; Synthese'!I37&amp;CHAR(13)&amp;"("&amp;'(Codierung)'!$C$4&amp;" - "&amp;'1.4 Analyse &amp; Synthese'!C37&amp;")","")</f>
        <v/>
      </c>
      <c r="AQ36" s="277" t="str">
        <f t="array" ref="AQ36">_xlfn.IFNA(INDEX($AP$6:$AP$66,MATCH(0,COUNTIF($AQ$4:AQ35,$AP$6:$AP$66),0),1),"")</f>
        <v/>
      </c>
      <c r="AS36" s="277" t="str">
        <f>IF(AND('1.4 Analyse &amp; Synthese'!W37=1,'1.4 Analyse &amp; Synthese'!F37="Empfehlung"),'1.4 Analyse &amp; Synthese'!I37&amp;CHAR(13)&amp;"("&amp;'(Codierung)'!$C$2&amp;" - "&amp;'1.4 Analyse &amp; Synthese'!C37&amp;")","")</f>
        <v/>
      </c>
      <c r="AT36" s="277" t="str">
        <f t="array" ref="AT36">_xlfn.IFNA(INDEX($AS$6:$AS$66,MATCH(0,COUNTIF($AT$4:AT35,$AS$6:$AS$66),0),1),"")</f>
        <v/>
      </c>
      <c r="AU36" s="277" t="str">
        <f>IF(AND('1.4 Analyse &amp; Synthese'!W37=1,'1.4 Analyse &amp; Synthese'!F37="Methode"),'1.4 Analyse &amp; Synthese'!I37&amp;CHAR(13)&amp;"("&amp;'(Codierung)'!$C$3&amp;" - "&amp;'1.4 Analyse &amp; Synthese'!C37&amp;")","")</f>
        <v/>
      </c>
      <c r="AV36" s="277" t="str">
        <f t="array" ref="AV36">_xlfn.IFNA(INDEX($AU$6:$AU$66,MATCH(0,COUNTIF($AV$4:AV35,$AU$6:$AU$66),0),1),"")</f>
        <v/>
      </c>
      <c r="AW36" s="277" t="str">
        <f>IF(AND('1.4 Analyse &amp; Synthese'!W37=1,'1.4 Analyse &amp; Synthese'!F37="Werkzeug"),'1.4 Analyse &amp; Synthese'!I37&amp;CHAR(13)&amp;"("&amp;'(Codierung)'!$C$4&amp;" - "&amp;'1.4 Analyse &amp; Synthese'!C37&amp;")","")</f>
        <v/>
      </c>
      <c r="AX36" s="277" t="str">
        <f t="array" ref="AX36">_xlfn.IFNA(INDEX($AW$6:$AW$66,MATCH(0,COUNTIF($AX$4:AX35,$AW$6:$AW$66),0),1),"")</f>
        <v/>
      </c>
      <c r="AZ36" s="277" t="str">
        <f>IF(AND('1.4 Analyse &amp; Synthese'!X37=1,'1.4 Analyse &amp; Synthese'!F37="Empfehlung"),'1.4 Analyse &amp; Synthese'!I37&amp;CHAR(13)&amp;"("&amp;'(Codierung)'!$C$2&amp;" - "&amp;'1.4 Analyse &amp; Synthese'!C37&amp;")","")</f>
        <v/>
      </c>
      <c r="BA36" s="277" t="str">
        <f t="array" ref="BA36">_xlfn.IFNA(INDEX($AZ$6:$AZ$66,MATCH(0,COUNTIF($BA$4:BA35,$AZ$6:$AZ$66),0),1),"")</f>
        <v/>
      </c>
      <c r="BB36" s="277" t="str">
        <f>IF(AND('1.4 Analyse &amp; Synthese'!X37=1,'1.4 Analyse &amp; Synthese'!F37="Methode"),'1.4 Analyse &amp; Synthese'!I37&amp;CHAR(13)&amp;"("&amp;'(Codierung)'!$C$3&amp;" - "&amp;'1.4 Analyse &amp; Synthese'!C37&amp;")","")</f>
        <v/>
      </c>
      <c r="BC36" s="277" t="str">
        <f t="array" ref="BC36">_xlfn.IFNA(INDEX($BB$6:$BB$66,MATCH(0,COUNTIF($BC$4:BC35,$BB$6:$BB$66),0),1),"")</f>
        <v/>
      </c>
      <c r="BD36" s="277" t="str">
        <f>IF(AND('1.4 Analyse &amp; Synthese'!X37=1,'1.4 Analyse &amp; Synthese'!F37="Werkzeug"),'1.4 Analyse &amp; Synthese'!I37&amp;CHAR(13)&amp;"("&amp;'(Codierung)'!$C$4&amp;" - "&amp;'1.4 Analyse &amp; Synthese'!C37&amp;")","")</f>
        <v/>
      </c>
      <c r="BE36" s="277" t="str">
        <f t="array" ref="BE36">_xlfn.IFNA(INDEX($BD$6:$BD$66,MATCH(0,COUNTIF($BE$4:BE35,$BD$6:$BD$66),0),1),"")</f>
        <v/>
      </c>
      <c r="BG36" s="277" t="str">
        <f>IF(AND('1.4 Analyse &amp; Synthese'!Y37=1,'1.4 Analyse &amp; Synthese'!F37="Empfehlung"),'1.4 Analyse &amp; Synthese'!I37&amp;CHAR(13)&amp;"("&amp;'(Codierung)'!$C$2&amp;" - "&amp;'1.4 Analyse &amp; Synthese'!C37&amp;")","")</f>
        <v/>
      </c>
      <c r="BH36" s="277" t="str">
        <f t="array" ref="BH36">_xlfn.IFNA(INDEX($BG$6:$BG$66,MATCH(0,COUNTIF($BH$4:BH35,$BG$6:$BG$66),0),1),"")</f>
        <v/>
      </c>
      <c r="BI36" s="277" t="str">
        <f>IF(AND('1.4 Analyse &amp; Synthese'!Y37=1,'1.4 Analyse &amp; Synthese'!F37="Methode"),'1.4 Analyse &amp; Synthese'!I37&amp;CHAR(13)&amp;"("&amp;'(Codierung)'!$C$3&amp;" - "&amp;'1.4 Analyse &amp; Synthese'!C37&amp;")","")</f>
        <v/>
      </c>
      <c r="BJ36" s="277" t="str">
        <f t="array" ref="BJ36">_xlfn.IFNA(INDEX($BI$6:$BI$66,MATCH(0,COUNTIF($BJ$4:BJ35,$BI$6:$BI$66),0),1),"")</f>
        <v/>
      </c>
      <c r="BK36" s="277" t="str">
        <f>IF(AND('1.4 Analyse &amp; Synthese'!Y37=1,'1.4 Analyse &amp; Synthese'!F37="Werkzeug"),'1.4 Analyse &amp; Synthese'!I37&amp;CHAR(13)&amp;"("&amp;'(Codierung)'!$C$4&amp;" - "&amp;'1.4 Analyse &amp; Synthese'!C37&amp;")","")</f>
        <v/>
      </c>
      <c r="BL36" s="277" t="str">
        <f t="array" ref="BL36">_xlfn.IFNA(INDEX($BK$6:$BK$66,MATCH(0,COUNTIF($BL$4:BL35,$BK$6:$BK$66),0),1),"")</f>
        <v/>
      </c>
      <c r="BN36" s="277" t="str">
        <f>IF(AND('1.4 Analyse &amp; Synthese'!Z37=1,'1.4 Analyse &amp; Synthese'!F37="Empfehlung"),'1.4 Analyse &amp; Synthese'!I37&amp;CHAR(13)&amp;"("&amp;'(Codierung)'!$C$2&amp;" - "&amp;'1.4 Analyse &amp; Synthese'!C37&amp;")","")</f>
        <v>Datenintegration_x000D_(Empfehlung - Schulte)</v>
      </c>
      <c r="BO36" s="277" t="str">
        <f t="array" ref="BO36">_xlfn.IFNA(INDEX($BN$6:$BN$66,MATCH(0,COUNTIF($BO$4:BO35,$BN$6:$BN$66),0),1),"")</f>
        <v/>
      </c>
      <c r="BP36" s="277" t="str">
        <f>IF(AND('1.4 Analyse &amp; Synthese'!Z37=1,'1.4 Analyse &amp; Synthese'!F37="Methode"),'1.4 Analyse &amp; Synthese'!I37&amp;CHAR(13)&amp;"("&amp;'(Codierung)'!$C$3&amp;" - "&amp;'1.4 Analyse &amp; Synthese'!C37&amp;")","")</f>
        <v/>
      </c>
      <c r="BQ36" s="277" t="str">
        <f t="array" ref="BQ36">_xlfn.IFNA(INDEX($BP$6:$BP$66,MATCH(0,COUNTIF($BQ$4:BQ35,$BP$6:$BP$66),0),1),"")</f>
        <v/>
      </c>
      <c r="BR36" s="277" t="str">
        <f>IF(AND('1.4 Analyse &amp; Synthese'!Z37=1,'1.4 Analyse &amp; Synthese'!F37="Werkzeug"),'1.4 Analyse &amp; Synthese'!I37&amp;CHAR(13)&amp;"("&amp;'(Codierung)'!$C$4&amp;" - "&amp;'1.4 Analyse &amp; Synthese'!C37&amp;")","")</f>
        <v/>
      </c>
      <c r="BS36" s="277" t="str">
        <f t="array" ref="BS36">_xlfn.IFNA(INDEX($BR$6:$BR$66,MATCH(0,COUNTIF($BS$4:BS35,$BR$6:$BR$66),0),1),"")</f>
        <v/>
      </c>
      <c r="BU36" s="277" t="str">
        <f>IF(AND('1.4 Analyse &amp; Synthese'!AA37=1,'1.4 Analyse &amp; Synthese'!F37="Empfehlung"),'1.4 Analyse &amp; Synthese'!I37&amp;CHAR(13)&amp;"("&amp;'(Codierung)'!$C$2&amp;" - "&amp;'1.4 Analyse &amp; Synthese'!C37&amp;")","")</f>
        <v/>
      </c>
      <c r="BV36" s="277" t="str">
        <f t="array" ref="BV36">_xlfn.IFNA(INDEX($BU$6:$BU$66,MATCH(0,COUNTIF($BV$4:BV35,$BU$6:$BU$66),0),1),"")</f>
        <v/>
      </c>
      <c r="BW36" s="277" t="str">
        <f>IF(AND('1.4 Analyse &amp; Synthese'!AA37=1,'1.4 Analyse &amp; Synthese'!F37="Methode"),'1.4 Analyse &amp; Synthese'!I37&amp;CHAR(13)&amp;"("&amp;'(Codierung)'!$C$3&amp;" - "&amp;'1.4 Analyse &amp; Synthese'!C37&amp;")","")</f>
        <v/>
      </c>
      <c r="BX36" s="277" t="str">
        <f t="array" ref="BX36">_xlfn.IFNA(INDEX($BW$6:$BW$66,MATCH(0,COUNTIF($BX$4:BX35,$BW$6:$BW$66),0),1),"")</f>
        <v/>
      </c>
      <c r="BY36" s="277" t="str">
        <f>IF(AND('1.4 Analyse &amp; Synthese'!AA37=1,'1.4 Analyse &amp; Synthese'!F37="Werkzeug"),'1.4 Analyse &amp; Synthese'!I37&amp;CHAR(13)&amp;"("&amp;'(Codierung)'!$C$4&amp;" - "&amp;'1.4 Analyse &amp; Synthese'!C37&amp;")","")</f>
        <v/>
      </c>
      <c r="BZ36" s="277" t="str">
        <f t="array" ref="BZ36">_xlfn.IFNA(INDEX($BY$6:$BY$66,MATCH(0,COUNTIF($BZ$4:BZ35,$BY$6:$BY$66),0),1),"")</f>
        <v/>
      </c>
      <c r="CB36" s="277" t="str">
        <f>IF(AND('1.4 Analyse &amp; Synthese'!AB37=1,'1.4 Analyse &amp; Synthese'!F37="Empfehlung"),'1.4 Analyse &amp; Synthese'!I37&amp;CHAR(13)&amp;"("&amp;'(Codierung)'!$C$2&amp;" - "&amp;'1.4 Analyse &amp; Synthese'!C37&amp;")","")</f>
        <v/>
      </c>
      <c r="CC36" s="277" t="str">
        <f t="array" ref="CC36">_xlfn.IFNA(INDEX($CB$6:$CB$66,MATCH(0,COUNTIF($CC$4:CC35,$CB$6:$CB$66),0),1),"")</f>
        <v/>
      </c>
      <c r="CD36" s="277" t="str">
        <f>IF(AND('1.4 Analyse &amp; Synthese'!AB37=1,'1.4 Analyse &amp; Synthese'!F37="Methode"),'1.4 Analyse &amp; Synthese'!I37&amp;CHAR(13)&amp;"("&amp;'(Codierung)'!$C$3&amp;" - "&amp;'1.4 Analyse &amp; Synthese'!C37&amp;")","")</f>
        <v/>
      </c>
      <c r="CE36" s="277" t="str">
        <f t="array" ref="CE36">_xlfn.IFNA(INDEX($CD$6:$CD$66,MATCH(0,COUNTIF($CE$4:CE35,$CD$6:$CD$66),0),1),"")</f>
        <v/>
      </c>
      <c r="CF36" s="277" t="str">
        <f>IF(AND('1.4 Analyse &amp; Synthese'!AB37=1,'1.4 Analyse &amp; Synthese'!F37="Werkzeug"),'1.4 Analyse &amp; Synthese'!I37&amp;CHAR(13)&amp;"("&amp;'(Codierung)'!$C$4&amp;" - "&amp;'1.4 Analyse &amp; Synthese'!C37&amp;")","")</f>
        <v/>
      </c>
      <c r="CG36" s="277" t="str">
        <f t="array" ref="CG36">_xlfn.IFNA(INDEX($CF$6:$CF$66,MATCH(0,COUNTIF($CG$4:CG35,$CF$6:$CF$66),0),1),"")</f>
        <v/>
      </c>
      <c r="CI36" s="277" t="str">
        <f>IF(AND('1.4 Analyse &amp; Synthese'!AC37=1,'1.4 Analyse &amp; Synthese'!F37="Empfehlung"),'1.4 Analyse &amp; Synthese'!I37&amp;CHAR(13)&amp;"("&amp;'(Codierung)'!$C$2&amp;" - "&amp;'1.4 Analyse &amp; Synthese'!C37&amp;")","")</f>
        <v/>
      </c>
      <c r="CJ36" s="277" t="str">
        <f t="array" ref="CJ36">_xlfn.IFNA(INDEX($CI$6:$CI$66,MATCH(0,COUNTIF($CJ$4:CJ35,$CI$6:$CI$66),0),1),"")</f>
        <v/>
      </c>
      <c r="CK36" s="277" t="str">
        <f>IF(AND('1.4 Analyse &amp; Synthese'!AC37=1,'1.4 Analyse &amp; Synthese'!F37="Methode"),'1.4 Analyse &amp; Synthese'!I37&amp;CHAR(13)&amp;"("&amp;'(Codierung)'!$C$3&amp;" - "&amp;'1.4 Analyse &amp; Synthese'!C37&amp;")","")</f>
        <v/>
      </c>
      <c r="CL36" s="277" t="str">
        <f t="array" ref="CL36">_xlfn.IFNA(INDEX($CK$6:$CK$66,MATCH(0,COUNTIF($CL$4:CL35,$CK$6:$CK$66),0),1),"")</f>
        <v/>
      </c>
      <c r="CM36" s="277" t="str">
        <f>IF(AND('1.4 Analyse &amp; Synthese'!AC37=1,'1.4 Analyse &amp; Synthese'!F37="Werkzeug"),'1.4 Analyse &amp; Synthese'!I37&amp;CHAR(13)&amp;"("&amp;'(Codierung)'!$C$4&amp;" - "&amp;'1.4 Analyse &amp; Synthese'!C37&amp;")","")</f>
        <v/>
      </c>
      <c r="CN36" s="277" t="str">
        <f t="array" ref="CN36">_xlfn.IFNA(INDEX($CM$6:$CM$66,MATCH(0,COUNTIF($CN$4:CN35,$CM$6:$CM$66),0),1),"")</f>
        <v/>
      </c>
      <c r="CP36" s="277" t="str">
        <f>IF(AND('1.4 Analyse &amp; Synthese'!AD37=1,'1.4 Analyse &amp; Synthese'!F37="Empfehlung"),'1.4 Analyse &amp; Synthese'!I37&amp;CHAR(13)&amp;"("&amp;'(Codierung)'!$C$2&amp;" - "&amp;'1.4 Analyse &amp; Synthese'!C37&amp;")","")</f>
        <v/>
      </c>
      <c r="CQ36" s="277" t="str">
        <f t="array" ref="CQ36">_xlfn.IFNA(INDEX($CP$6:$CP$66,MATCH(0,COUNTIF($CQ$4:CQ35,$CP$6:$CP$66),0),1),"")</f>
        <v/>
      </c>
      <c r="CR36" s="277" t="str">
        <f>IF(AND('1.4 Analyse &amp; Synthese'!AD37=1,'1.4 Analyse &amp; Synthese'!F37="Methode"),'1.4 Analyse &amp; Synthese'!I37&amp;CHAR(13)&amp;"("&amp;'(Codierung)'!$C$3&amp;" - "&amp;'1.4 Analyse &amp; Synthese'!C37&amp;")","")</f>
        <v/>
      </c>
      <c r="CS36" s="277" t="str">
        <f t="array" ref="CS36">_xlfn.IFNA(INDEX($CR$6:$CR$66,MATCH(0,COUNTIF($CS$4:CS35,$CR$6:$CR$66),0),1),"")</f>
        <v/>
      </c>
      <c r="CT36" s="277" t="str">
        <f>IF(AND('1.4 Analyse &amp; Synthese'!AD37=1,'1.4 Analyse &amp; Synthese'!F37="Werkzeug"),'1.4 Analyse &amp; Synthese'!I37&amp;CHAR(13)&amp;"("&amp;'(Codierung)'!$C$4&amp;" - "&amp;'1.4 Analyse &amp; Synthese'!C37&amp;")","")</f>
        <v/>
      </c>
      <c r="CU36" s="277" t="str">
        <f t="array" ref="CU36">_xlfn.IFNA(INDEX($CT$6:$CT$66,MATCH(0,COUNTIF($CU$4:CU35,$CT$6:$CT$66),0),1),"")</f>
        <v/>
      </c>
      <c r="CW36" s="277" t="str">
        <f>IF(AND('1.4 Analyse &amp; Synthese'!AE37=1,'1.4 Analyse &amp; Synthese'!F37="Empfehlung"),'1.4 Analyse &amp; Synthese'!I37&amp;CHAR(13)&amp;"("&amp;'(Codierung)'!$C$2&amp;" - "&amp;'1.4 Analyse &amp; Synthese'!C37&amp;")","")</f>
        <v/>
      </c>
      <c r="CX36" s="277" t="str">
        <f t="array" ref="CX36">_xlfn.IFNA(INDEX($CW$6:$CW$66,MATCH(0,COUNTIF($CX$4:CX35,$CW$6:$CW$66),0),1),"")</f>
        <v/>
      </c>
      <c r="CY36" s="277" t="str">
        <f>IF(AND('1.4 Analyse &amp; Synthese'!AE37=1,'1.4 Analyse &amp; Synthese'!F37="Methode"),'1.4 Analyse &amp; Synthese'!I37&amp;CHAR(13)&amp;"("&amp;'(Codierung)'!$C$3&amp;" - "&amp;'1.4 Analyse &amp; Synthese'!C37&amp;")","")</f>
        <v/>
      </c>
      <c r="CZ36" s="277" t="str">
        <f t="array" ref="CZ36">_xlfn.IFNA(INDEX($CY$6:$CY$66,MATCH(0,COUNTIF($CZ$4:CZ35,$CY$6:$CY$66),0),1),"")</f>
        <v/>
      </c>
      <c r="DA36" s="277" t="str">
        <f>IF(AND('1.4 Analyse &amp; Synthese'!AE37=1,'1.4 Analyse &amp; Synthese'!F37="Werkzeug"),'1.4 Analyse &amp; Synthese'!I37&amp;CHAR(13)&amp;"("&amp;'(Codierung)'!$C$4&amp;" - "&amp;'1.4 Analyse &amp; Synthese'!C37&amp;")","")</f>
        <v/>
      </c>
      <c r="DB36" s="277" t="str">
        <f t="array" ref="DB36">_xlfn.IFNA(INDEX($DA$6:$DA$66,MATCH(0,COUNTIF($DB$4:DB35,$DA$6:$DA$66),0),1),"")</f>
        <v/>
      </c>
      <c r="DD36" s="277" t="str">
        <f>IF(AND('1.4 Analyse &amp; Synthese'!AF37=1,'1.4 Analyse &amp; Synthese'!F37="Empfehlung"),'1.4 Analyse &amp; Synthese'!I37&amp;CHAR(13)&amp;"("&amp;'(Codierung)'!$C$2&amp;" - "&amp;'1.4 Analyse &amp; Synthese'!C37&amp;")","")</f>
        <v/>
      </c>
      <c r="DE36" s="277" t="str">
        <f t="array" ref="DE36">_xlfn.IFNA(INDEX($DD$6:$DD$66,MATCH(0,COUNTIF($DE$4:DE35,$DD$6:$DD$66),0),1),"")</f>
        <v/>
      </c>
      <c r="DF36" s="277" t="str">
        <f>IF(AND('1.4 Analyse &amp; Synthese'!AF37=1,'1.4 Analyse &amp; Synthese'!F37="Methode"),'1.4 Analyse &amp; Synthese'!I37&amp;CHAR(13)&amp;"("&amp;'(Codierung)'!$C$3&amp;" - "&amp;'1.4 Analyse &amp; Synthese'!C37&amp;")","")</f>
        <v/>
      </c>
      <c r="DG36" s="277" t="str">
        <f t="array" ref="DG36">_xlfn.IFNA(INDEX($DF$6:$DF$66,MATCH(0,COUNTIF($DG$4:DG35,$DF$6:$DF$66),0),1),"")</f>
        <v/>
      </c>
      <c r="DH36" s="277" t="str">
        <f>IF(AND('1.4 Analyse &amp; Synthese'!AF37=1,'1.4 Analyse &amp; Synthese'!F37="Werkzeug"),'1.4 Analyse &amp; Synthese'!I37&amp;CHAR(13)&amp;"("&amp;'(Codierung)'!$C$4&amp;" - "&amp;'1.4 Analyse &amp; Synthese'!C37&amp;")","")</f>
        <v/>
      </c>
      <c r="DI36" s="277" t="str">
        <f t="array" ref="DI36">_xlfn.IFNA(INDEX($DH$6:$DH$66,MATCH(0,COUNTIF($DI$4:DI35,$DH$6:$DH$66),0),1),"")</f>
        <v/>
      </c>
      <c r="DK36" s="277" t="str">
        <f>IF(AND('1.4 Analyse &amp; Synthese'!AG37=1,'1.4 Analyse &amp; Synthese'!F37="Empfehlung"),'1.4 Analyse &amp; Synthese'!I37&amp;CHAR(13)&amp;"("&amp;'(Codierung)'!$C$2&amp;" - "&amp;'1.4 Analyse &amp; Synthese'!C37&amp;")","")</f>
        <v/>
      </c>
      <c r="DL36" s="277" t="str">
        <f t="array" ref="DL36">_xlfn.IFNA(INDEX($DK$6:$DK$66,MATCH(0,COUNTIF($DL$4:DL35,$DK$6:$DK$66),0),1),"")</f>
        <v/>
      </c>
      <c r="DM36" s="277" t="str">
        <f>IF(AND('1.4 Analyse &amp; Synthese'!AG37=1,'1.4 Analyse &amp; Synthese'!F37="Methode"),'1.4 Analyse &amp; Synthese'!I37&amp;CHAR(13)&amp;"("&amp;'(Codierung)'!$C$3&amp;" - "&amp;'1.4 Analyse &amp; Synthese'!C37&amp;")","")</f>
        <v/>
      </c>
      <c r="DN36" s="277" t="str">
        <f t="array" ref="DN36">_xlfn.IFNA(INDEX($DM$6:$DM$66,MATCH(0,COUNTIF($DN$4:DN35,$DM$6:$DM$66),0),1),"")</f>
        <v/>
      </c>
      <c r="DO36" s="277" t="str">
        <f>IF(AND('1.4 Analyse &amp; Synthese'!AG37=1,'1.4 Analyse &amp; Synthese'!F37="Werkzeug"),'1.4 Analyse &amp; Synthese'!I37&amp;CHAR(13)&amp;"("&amp;'(Codierung)'!$C$4&amp;" - "&amp;'1.4 Analyse &amp; Synthese'!C37&amp;")","")</f>
        <v/>
      </c>
      <c r="DP36" s="277" t="str">
        <f t="array" ref="DP36">_xlfn.IFNA(INDEX($DO$6:$DO$66,MATCH(0,COUNTIF($DP$4:DP35,$DO$6:$DO$66),0),1),"")</f>
        <v/>
      </c>
      <c r="DR36" s="277" t="str">
        <f>IF(AND('1.4 Analyse &amp; Synthese'!AH37=1,'1.4 Analyse &amp; Synthese'!F37="Empfehlung"),'1.4 Analyse &amp; Synthese'!I37&amp;CHAR(13)&amp;"("&amp;'(Codierung)'!$C$2&amp;" - "&amp;'1.4 Analyse &amp; Synthese'!C37&amp;")","")</f>
        <v/>
      </c>
      <c r="DS36" s="277" t="str">
        <f t="array" ref="DS36">_xlfn.IFNA(INDEX($DR$6:$DR$66,MATCH(0,COUNTIF($DS$4:DS35,$DR$6:$DR$66),0),1),"")</f>
        <v/>
      </c>
      <c r="DT36" s="277" t="str">
        <f>IF(AND('1.4 Analyse &amp; Synthese'!AH37=1,'1.4 Analyse &amp; Synthese'!F37="Methode"),'1.4 Analyse &amp; Synthese'!I37&amp;CHAR(13)&amp;"("&amp;'(Codierung)'!$C$3&amp;" - "&amp;'1.4 Analyse &amp; Synthese'!C37&amp;")","")</f>
        <v/>
      </c>
      <c r="DU36" s="277" t="str">
        <f t="array" ref="DU36">_xlfn.IFNA(INDEX($DT$6:$DT$66,MATCH(0,COUNTIF($DU$4:DU35,$DT$6:$DT$66),0),1),"")</f>
        <v/>
      </c>
      <c r="DV36" s="277" t="str">
        <f>IF(AND('1.4 Analyse &amp; Synthese'!AH37=1,'1.4 Analyse &amp; Synthese'!F37="Werkzeug"),'1.4 Analyse &amp; Synthese'!I37&amp;CHAR(13)&amp;"("&amp;'(Codierung)'!$C$4&amp;" - "&amp;'1.4 Analyse &amp; Synthese'!C37&amp;")","")</f>
        <v/>
      </c>
      <c r="DW36" s="277" t="str">
        <f t="array" ref="DW36">_xlfn.IFNA(INDEX($DV$6:$DV$66,MATCH(0,COUNTIF($DW$4:DW35,$DV$6:$DV$66),0),1),"")</f>
        <v/>
      </c>
      <c r="DY36" s="277" t="str">
        <f>IF(AND('1.4 Analyse &amp; Synthese'!AI37=1,'1.4 Analyse &amp; Synthese'!F37="Empfehlung"),'1.4 Analyse &amp; Synthese'!I37&amp;CHAR(13)&amp;"("&amp;'(Codierung)'!$C$2&amp;" - "&amp;'1.4 Analyse &amp; Synthese'!C37&amp;")","")</f>
        <v/>
      </c>
      <c r="DZ36" s="277" t="str">
        <f t="array" ref="DZ36">_xlfn.IFNA(INDEX($DY$6:$DY$66,MATCH(0,COUNTIF($DZ$4:DZ35,$DY$6:$DY$66),0),1),"")</f>
        <v/>
      </c>
      <c r="EA36" s="277" t="str">
        <f>IF(AND('1.4 Analyse &amp; Synthese'!AI37=1,'1.4 Analyse &amp; Synthese'!F37="Methode"),'1.4 Analyse &amp; Synthese'!I37&amp;CHAR(13)&amp;"("&amp;'(Codierung)'!$C$3&amp;" - "&amp;'1.4 Analyse &amp; Synthese'!C37&amp;")","")</f>
        <v/>
      </c>
      <c r="EB36" s="277" t="str">
        <f t="array" ref="EB36">_xlfn.IFNA(INDEX($EA$6:$EA$66,MATCH(0,COUNTIF($EB$4:EB35,$EA$6:$EA$66),0),1),"")</f>
        <v/>
      </c>
      <c r="EC36" s="277" t="str">
        <f>IF(AND('1.4 Analyse &amp; Synthese'!AI37=1,'1.4 Analyse &amp; Synthese'!F37="Werkzeug"),'1.4 Analyse &amp; Synthese'!I37&amp;CHAR(13)&amp;"("&amp;'(Codierung)'!$C$4&amp;" - "&amp;'1.4 Analyse &amp; Synthese'!C37&amp;")","")</f>
        <v/>
      </c>
      <c r="ED36" s="277" t="str">
        <f t="array" ref="ED36">_xlfn.IFNA(INDEX($EC$6:$EC$66,MATCH(0,COUNTIF($ED$4:ED35,$EC$6:$EC$66),0),1),"")</f>
        <v/>
      </c>
      <c r="EF36" s="277" t="str">
        <f>IF(AND('1.4 Analyse &amp; Synthese'!AJ37=1,'1.4 Analyse &amp; Synthese'!F37="Empfehlung"),'1.4 Analyse &amp; Synthese'!I37&amp;CHAR(13)&amp;"("&amp;'(Codierung)'!$C$2&amp;" - "&amp;'1.4 Analyse &amp; Synthese'!C37&amp;")","")</f>
        <v/>
      </c>
      <c r="EG36" s="277" t="str">
        <f t="array" ref="EG36">_xlfn.IFNA(INDEX($EF$6:$EF$66,MATCH(0,COUNTIF($EG$4:EG35,$EF$6:$EF$66),0),1),"")</f>
        <v/>
      </c>
      <c r="EH36" s="277" t="str">
        <f>IF(AND('1.4 Analyse &amp; Synthese'!AJ37=1,'1.4 Analyse &amp; Synthese'!F37="Methode"),'1.4 Analyse &amp; Synthese'!I37&amp;CHAR(13)&amp;"("&amp;'(Codierung)'!$C$3&amp;" - "&amp;'1.4 Analyse &amp; Synthese'!C37&amp;")","")</f>
        <v/>
      </c>
      <c r="EI36" s="277" t="str">
        <f t="array" ref="EI36">_xlfn.IFNA(INDEX($EH$6:$EH$66,MATCH(0,COUNTIF($EI$4:EI35,$EH$6:$EH$66),0),1),"")</f>
        <v/>
      </c>
      <c r="EJ36" s="277" t="str">
        <f>IF(AND('1.4 Analyse &amp; Synthese'!AJ37=1,'1.4 Analyse &amp; Synthese'!F37="Werkzeug"),'1.4 Analyse &amp; Synthese'!I37&amp;CHAR(13)&amp;"("&amp;'(Codierung)'!$C$4&amp;" - "&amp;'1.4 Analyse &amp; Synthese'!C37&amp;")","")</f>
        <v/>
      </c>
      <c r="EK36" s="277" t="str">
        <f t="array" ref="EK36">_xlfn.IFNA(INDEX($EJ$6:$EJ$66,MATCH(0,COUNTIF($EK$4:EK35,$EJ$6:$EJ$66),0),1),"")</f>
        <v/>
      </c>
      <c r="EN36" s="222" t="str">
        <f t="shared" si="0"/>
        <v/>
      </c>
      <c r="EO36" s="277" t="str">
        <f t="shared" si="1"/>
        <v/>
      </c>
      <c r="EP36" s="277" t="str">
        <f t="shared" si="2"/>
        <v/>
      </c>
      <c r="EQ36" s="277" t="str">
        <f>ZahlenInBereich(Tabelle1[[Empfehlung]:[Werkzeug]],ROW()-5)</f>
        <v/>
      </c>
      <c r="ER36" s="277" t="str">
        <f t="shared" si="3"/>
        <v/>
      </c>
      <c r="ES36" s="277" t="str">
        <f t="shared" si="4"/>
        <v/>
      </c>
      <c r="ET36" s="277" t="str">
        <f t="shared" si="5"/>
        <v/>
      </c>
      <c r="EU36" s="277" t="str">
        <f>ZahlenInBereich(Tabelle1[[Empfehlung2]:[Werkzeug4]],ROW()-5)</f>
        <v/>
      </c>
      <c r="EV36" s="277" t="str">
        <f t="shared" si="6"/>
        <v/>
      </c>
      <c r="EW36" s="277" t="str">
        <f t="shared" si="7"/>
        <v/>
      </c>
      <c r="EX36" s="277" t="str">
        <f t="shared" si="8"/>
        <v/>
      </c>
      <c r="EY36" s="277" t="str">
        <f>ZahlenInBereich(Tabelle1[[Empfehlung6]:[Werkzeug8]],ROW()-5)</f>
        <v/>
      </c>
      <c r="EZ36" s="277" t="str">
        <f t="shared" si="9"/>
        <v/>
      </c>
      <c r="FA36" s="277" t="str">
        <f t="shared" si="10"/>
        <v/>
      </c>
      <c r="FB36" s="277" t="str">
        <f t="shared" si="11"/>
        <v/>
      </c>
      <c r="FC36" s="277" t="str">
        <f>ZahlenInBereich(Tabelle1[[Empfehlung10]:[Werkzeug12]],ROW()-5)</f>
        <v/>
      </c>
      <c r="FD36" s="277" t="str">
        <f t="shared" si="12"/>
        <v/>
      </c>
      <c r="FE36" s="277" t="str">
        <f t="shared" si="13"/>
        <v/>
      </c>
      <c r="FF36" s="277" t="str">
        <f t="shared" si="14"/>
        <v/>
      </c>
      <c r="FG36" s="277" t="str">
        <f>ZahlenInBereich(Tabelle1[[Empfehlung14]:[Werkzeug16]],ROW()-5)</f>
        <v/>
      </c>
      <c r="FH36" s="277" t="str">
        <f t="shared" si="15"/>
        <v/>
      </c>
      <c r="FI36" s="277" t="str">
        <f t="shared" si="16"/>
        <v/>
      </c>
      <c r="FJ36" s="277" t="str">
        <f t="shared" si="17"/>
        <v/>
      </c>
      <c r="FK36" s="277" t="str">
        <f>ZahlenInBereich(Tabelle1[[Empfehlung18]:[Werkzeug20]],ROW()-5)</f>
        <v/>
      </c>
      <c r="FL36" s="277" t="str">
        <f t="shared" si="18"/>
        <v/>
      </c>
      <c r="FM36" s="277" t="str">
        <f t="shared" si="19"/>
        <v/>
      </c>
      <c r="FN36" s="277" t="str">
        <f t="shared" si="20"/>
        <v/>
      </c>
      <c r="FO36" s="277" t="str">
        <f>ZahlenInBereich(Tabelle1[[Empfehlung22]:[Werkzeug24]],ROW()-5)</f>
        <v/>
      </c>
      <c r="FP36" s="277" t="str">
        <f t="shared" si="21"/>
        <v/>
      </c>
      <c r="FQ36" s="277" t="str">
        <f t="shared" si="22"/>
        <v/>
      </c>
      <c r="FR36" s="277" t="str">
        <f t="shared" si="23"/>
        <v/>
      </c>
      <c r="FS36" s="277" t="str">
        <f>ZahlenInBereich(Tabelle1[[Empfehlung26]:[Werkzeug28]],ROW()-5)</f>
        <v/>
      </c>
      <c r="FT36" s="277" t="str">
        <f t="shared" si="24"/>
        <v/>
      </c>
      <c r="FU36" s="277" t="str">
        <f t="shared" si="25"/>
        <v/>
      </c>
      <c r="FV36" s="277" t="str">
        <f t="shared" si="26"/>
        <v/>
      </c>
      <c r="FW36" s="277" t="str">
        <f>ZahlenInBereich(Tabelle1[[Empfehlung30]:[Werkzeug32]],ROW()-5)</f>
        <v/>
      </c>
      <c r="FX36" s="277" t="str">
        <f t="shared" si="27"/>
        <v/>
      </c>
      <c r="FY36" s="277" t="str">
        <f t="shared" si="28"/>
        <v/>
      </c>
      <c r="FZ36" s="277" t="str">
        <f t="shared" si="29"/>
        <v/>
      </c>
      <c r="GA36" s="277" t="str">
        <f>ZahlenInBereich(Tabelle1[[Empfehlung34]:[Werkzeug36]],ROW()-5)</f>
        <v/>
      </c>
      <c r="GB36" s="277" t="str">
        <f t="shared" si="30"/>
        <v/>
      </c>
      <c r="GC36" s="277" t="str">
        <f t="shared" si="31"/>
        <v/>
      </c>
      <c r="GD36" s="277" t="str">
        <f t="shared" si="32"/>
        <v/>
      </c>
      <c r="GE36" s="277" t="str">
        <f>ZahlenInBereich(Tabelle1[[Empfehlung38]:[Werkzeug40]],ROW()-5)</f>
        <v/>
      </c>
      <c r="GF36" s="277" t="str">
        <f t="shared" si="33"/>
        <v/>
      </c>
      <c r="GG36" s="277" t="str">
        <f t="shared" si="34"/>
        <v/>
      </c>
      <c r="GH36" s="277" t="str">
        <f t="shared" si="35"/>
        <v/>
      </c>
      <c r="GI36" s="277" t="str">
        <f>ZahlenInBereich(Tabelle1[[Empfehlung42]:[Werkzeug44]],ROW()-5)</f>
        <v/>
      </c>
      <c r="GJ36" s="277" t="str">
        <f t="shared" si="36"/>
        <v/>
      </c>
      <c r="GK36" s="277" t="str">
        <f t="shared" si="37"/>
        <v/>
      </c>
      <c r="GL36" s="277" t="str">
        <f t="shared" si="38"/>
        <v/>
      </c>
      <c r="GM36" s="277" t="str">
        <f>ZahlenInBereich(Tabelle1[[Empfehlung46]:[Werkzeug48]],ROW()-5)</f>
        <v/>
      </c>
      <c r="GN36" s="277" t="str">
        <f t="shared" si="39"/>
        <v/>
      </c>
      <c r="GO36" s="277" t="str">
        <f t="shared" si="40"/>
        <v/>
      </c>
      <c r="GP36" s="277" t="str">
        <f t="shared" si="41"/>
        <v/>
      </c>
      <c r="GQ36" s="277" t="str">
        <f>ZahlenInBereich(Tabelle1[[Empfehlung50]:[Werkzeug52]],ROW()-5)</f>
        <v/>
      </c>
      <c r="GR36" s="277" t="str">
        <f t="shared" si="42"/>
        <v/>
      </c>
      <c r="GS36" s="277" t="str">
        <f t="shared" si="43"/>
        <v/>
      </c>
      <c r="GT36" s="277" t="str">
        <f t="shared" si="44"/>
        <v/>
      </c>
      <c r="GU36" s="277" t="str">
        <f>ZahlenInBereich(Tabelle1[[Empfehlung54]:[Werkzeug56]],ROW()-5)</f>
        <v/>
      </c>
      <c r="GV36" s="277" t="str">
        <f t="shared" si="45"/>
        <v/>
      </c>
      <c r="GW36" s="277" t="str">
        <f t="shared" si="46"/>
        <v/>
      </c>
      <c r="GX36" s="277" t="str">
        <f t="shared" si="47"/>
        <v/>
      </c>
      <c r="GY36" s="277" t="str">
        <f>ZahlenInBereich(Tabelle1[[Empfehlung58]:[Werkzeug60]],ROW()-5)</f>
        <v/>
      </c>
      <c r="GZ36" s="277" t="str">
        <f t="shared" si="48"/>
        <v/>
      </c>
      <c r="HA36" s="277" t="str">
        <f t="shared" si="49"/>
        <v/>
      </c>
      <c r="HB36" s="277" t="str">
        <f t="shared" si="50"/>
        <v/>
      </c>
      <c r="HC36" s="277" t="str">
        <f>ZahlenInBereich(Tabelle1[[Empfehlung62]:[Werkzeug64]],ROW()-5)</f>
        <v/>
      </c>
      <c r="HD36" s="277" t="str">
        <f t="shared" si="51"/>
        <v/>
      </c>
      <c r="HE36" s="277" t="str">
        <f t="shared" si="52"/>
        <v/>
      </c>
      <c r="HF36" s="277" t="str">
        <f t="shared" si="53"/>
        <v/>
      </c>
      <c r="HG36" s="277" t="str">
        <f>ZahlenInBereich(Tabelle1[[Empfehlung66]:[Werkzeug68]],ROW()-5)</f>
        <v/>
      </c>
      <c r="HH36" s="277" t="str">
        <f t="shared" si="54"/>
        <v/>
      </c>
      <c r="HI36" s="277" t="str">
        <f t="shared" si="55"/>
        <v/>
      </c>
      <c r="HJ36" s="277" t="str">
        <f t="shared" si="56"/>
        <v/>
      </c>
      <c r="HK36" s="277" t="str">
        <f>ZahlenInBereich(Tabelle1[[Empfehlung70]:[Werkzeug72]],ROW()-5)</f>
        <v/>
      </c>
      <c r="HL36" s="277" t="str">
        <f t="shared" si="57"/>
        <v/>
      </c>
      <c r="HM36" s="277" t="str">
        <f t="shared" si="58"/>
        <v/>
      </c>
      <c r="HN36" s="277" t="str">
        <f t="shared" si="59"/>
        <v/>
      </c>
      <c r="HO36" s="277" t="str">
        <f>ZahlenInBereich(Tabelle1[[Empfehlung74]:[Werkzeug76]],ROW()-5)</f>
        <v/>
      </c>
    </row>
    <row r="37" spans="2:223" ht="48" x14ac:dyDescent="0.2">
      <c r="B37" s="134">
        <f>'1.4 Analyse &amp; Synthese'!B38</f>
        <v>32</v>
      </c>
      <c r="C37" s="277" t="str">
        <f>IF(AND('1.4 Analyse &amp; Synthese'!Q38=1,'1.4 Analyse &amp; Synthese'!F38="Empfehlung"),'1.4 Analyse &amp; Synthese'!I38&amp;CHAR(13)&amp;"("&amp;'(Codierung)'!$C$2&amp;" - "&amp;'1.4 Analyse &amp; Synthese'!C38&amp;")","")</f>
        <v/>
      </c>
      <c r="D37" s="222" t="str">
        <f t="array" ref="D37">_xlfn.IFNA(INDEX($C$6:$C$66,MATCH(0,COUNTIF($D$4:D36,$C$6:$C$66),0),1),"")</f>
        <v/>
      </c>
      <c r="E37" s="277" t="str">
        <f>IF(AND('1.4 Analyse &amp; Synthese'!Q38=1,'1.4 Analyse &amp; Synthese'!F38="Methode"),'1.4 Analyse &amp; Synthese'!I38&amp;CHAR(13)&amp;"("&amp;'(Codierung)'!$C$3&amp;" - "&amp;'1.4 Analyse &amp; Synthese'!C38&amp;")","")</f>
        <v/>
      </c>
      <c r="F37" s="277" t="str">
        <f t="array" ref="F37">_xlfn.IFNA(INDEX($E$6:$E$66,MATCH(0,COUNTIF($F$4:F36,$E$6:$E$66),0),1),"")</f>
        <v/>
      </c>
      <c r="G37" s="277" t="str">
        <f>IF(AND('1.4 Analyse &amp; Synthese'!Q38=1,'1.4 Analyse &amp; Synthese'!F38="Werkzeug"),'1.4 Analyse &amp; Synthese'!I38&amp;CHAR(13)&amp;"("&amp;'(Codierung)'!$C$4&amp;" - "&amp;'1.4 Analyse &amp; Synthese'!C38&amp;")","")</f>
        <v/>
      </c>
      <c r="H37" s="277" t="str">
        <f t="array" ref="H37">_xlfn.IFNA(INDEX($G$6:$G$66,MATCH(0,COUNTIF($H$4:H36,$G$6:$G$66),0),1),"")</f>
        <v/>
      </c>
      <c r="J37" s="277" t="str">
        <f>IF(AND('1.4 Analyse &amp; Synthese'!R38=1,'1.4 Analyse &amp; Synthese'!F38="Empfehlung"),'1.4 Analyse &amp; Synthese'!I38&amp;CHAR(13)&amp;"("&amp;'(Codierung)'!$C$2&amp;" - "&amp;'1.4 Analyse &amp; Synthese'!C38&amp;")","")</f>
        <v/>
      </c>
      <c r="K37" s="277" t="str">
        <f t="array" ref="K37">_xlfn.IFNA(INDEX($J$6:$J$66,MATCH(0,COUNTIF($K$4:K36,$J$6:$J$66),0),1),"")</f>
        <v/>
      </c>
      <c r="L37" s="277" t="str">
        <f>IF(AND('1.4 Analyse &amp; Synthese'!R38=1,'1.4 Analyse &amp; Synthese'!F38="Methode"),'1.4 Analyse &amp; Synthese'!I38&amp;CHAR(13)&amp;"("&amp;'(Codierung)'!$C$3&amp;" - "&amp;'1.4 Analyse &amp; Synthese'!C38&amp;")","")</f>
        <v/>
      </c>
      <c r="M37" s="277" t="str">
        <f t="array" ref="M37">_xlfn.IFNA(INDEX($L$6:$L$66,MATCH(0,COUNTIF($M$4:M36,$L$6:$L$66),0),1),"")</f>
        <v/>
      </c>
      <c r="N37" s="277" t="str">
        <f>IF(AND('1.4 Analyse &amp; Synthese'!R38=1,'1.4 Analyse &amp; Synthese'!F38="Werkzeug"),'1.4 Analyse &amp; Synthese'!I38&amp;CHAR(13)&amp;"("&amp;'(Codierung)'!$C$4&amp;" - "&amp;'1.4 Analyse &amp; Synthese'!C38&amp;")","")</f>
        <v/>
      </c>
      <c r="O37" s="277" t="str">
        <f t="array" ref="O37">_xlfn.IFNA(INDEX($N$6:$N$66,MATCH(0,COUNTIF($O$4:O36,$N$6:$N$66),0),1),"")</f>
        <v/>
      </c>
      <c r="Q37" s="277" t="str">
        <f>IF(AND('1.4 Analyse &amp; Synthese'!S38=1,'1.4 Analyse &amp; Synthese'!F38="Empfehlung"),'1.4 Analyse &amp; Synthese'!I38&amp;CHAR(13)&amp;"("&amp;'(Codierung)'!$C$2&amp;" - "&amp;'1.4 Analyse &amp; Synthese'!C38&amp;")","")</f>
        <v/>
      </c>
      <c r="R37" s="277" t="str">
        <f t="array" ref="R37">_xlfn.IFNA(INDEX($Q$6:$Q$66,MATCH(0,COUNTIF($R$4:R36,$Q$6:$Q$66),0),1),"")</f>
        <v/>
      </c>
      <c r="S37" s="277" t="str">
        <f>IF(AND('1.4 Analyse &amp; Synthese'!S38=1,'1.4 Analyse &amp; Synthese'!F38="Methode"),'1.4 Analyse &amp; Synthese'!I38&amp;CHAR(13)&amp;"("&amp;'(Codierung)'!$C$3&amp;" - "&amp;'1.4 Analyse &amp; Synthese'!C38&amp;")","")</f>
        <v>SLA Management Aggregation_x000D_(Methode - Stanik)</v>
      </c>
      <c r="T37" s="277" t="str">
        <f t="array" ref="T37">_xlfn.IFNA(INDEX($S$6:$S$66,MATCH(0,COUNTIF($T$4:T36,$S$6:$S$66),0),1),"")</f>
        <v/>
      </c>
      <c r="U37" s="277" t="str">
        <f>IF(AND('1.4 Analyse &amp; Synthese'!S38=1,'1.4 Analyse &amp; Synthese'!F38="Werkzeug"),'1.4 Analyse &amp; Synthese'!I38&amp;CHAR(13)&amp;"("&amp;'(Codierung)'!$C$4&amp;" - "&amp;'1.4 Analyse &amp; Synthese'!C38&amp;")","")</f>
        <v/>
      </c>
      <c r="V37" s="277" t="str">
        <f t="array" ref="V37">_xlfn.IFNA(INDEX($U$6:$U$66,MATCH(0,COUNTIF($V$4:V36,$U$6:$U$66),0),1),"")</f>
        <v/>
      </c>
      <c r="X37" s="277" t="str">
        <f>IF(AND('1.4 Analyse &amp; Synthese'!T38=1,'1.4 Analyse &amp; Synthese'!F38="Empfehlung"),'1.4 Analyse &amp; Synthese'!I38&amp;CHAR(13)&amp;"("&amp;'(Codierung)'!$C$2&amp;" - "&amp;'1.4 Analyse &amp; Synthese'!C38&amp;")","")</f>
        <v/>
      </c>
      <c r="Y37" s="277" t="str">
        <f t="array" ref="Y37">_xlfn.IFNA(INDEX($X$6:$X$66,MATCH(0,COUNTIF($Y$4:Y36,$X$6:$X$66),0),1),"")</f>
        <v/>
      </c>
      <c r="Z37" s="277" t="str">
        <f>IF(AND('1.4 Analyse &amp; Synthese'!T38=1,'1.4 Analyse &amp; Synthese'!F38="Methode"),'1.4 Analyse &amp; Synthese'!I38&amp;CHAR(13)&amp;"("&amp;'(Codierung)'!$C$3&amp;" - "&amp;'1.4 Analyse &amp; Synthese'!C38&amp;")","")</f>
        <v/>
      </c>
      <c r="AA37" s="277" t="str">
        <f t="array" ref="AA37">_xlfn.IFNA(INDEX($Z$6:$Z$66,MATCH(0,COUNTIF($AA$4:AA36,$Z$6:$Z$66),0),1),"")</f>
        <v/>
      </c>
      <c r="AB37" s="277" t="str">
        <f>IF(AND('1.4 Analyse &amp; Synthese'!T38=1,'1.4 Analyse &amp; Synthese'!F38="Werkzeug"),'1.4 Analyse &amp; Synthese'!I38&amp;CHAR(13)&amp;"("&amp;'(Codierung)'!$C$4&amp;" - "&amp;'1.4 Analyse &amp; Synthese'!C38&amp;")","")</f>
        <v/>
      </c>
      <c r="AC37" s="277" t="str">
        <f t="array" ref="AC37">_xlfn.IFNA(INDEX($AB$6:$AB$66,MATCH(0,COUNTIF($AC$4:AC36,$AB$6:$AB$66),0),1),"")</f>
        <v/>
      </c>
      <c r="AE37" s="277" t="str">
        <f>IF(AND('1.4 Analyse &amp; Synthese'!U38=1,'1.4 Analyse &amp; Synthese'!F38="Empfehlung"),'1.4 Analyse &amp; Synthese'!I38&amp;CHAR(13)&amp;"("&amp;'(Codierung)'!$C$2&amp;" - "&amp;'1.4 Analyse &amp; Synthese'!C38&amp;")","")</f>
        <v/>
      </c>
      <c r="AF37" s="277" t="str">
        <f t="array" ref="AF37">_xlfn.IFNA(INDEX($AE$6:$AE$66,MATCH(0,COUNTIF($AF$4:AF36,$AE$6:$AE$66),0),1),"")</f>
        <v/>
      </c>
      <c r="AG37" s="277" t="str">
        <f>IF(AND('1.4 Analyse &amp; Synthese'!U38=1,'1.4 Analyse &amp; Synthese'!F38="Methode"),'1.4 Analyse &amp; Synthese'!I38&amp;CHAR(13)&amp;"("&amp;'(Codierung)'!$C$3&amp;" - "&amp;'1.4 Analyse &amp; Synthese'!C38&amp;")","")</f>
        <v/>
      </c>
      <c r="AH37" s="277" t="str">
        <f t="array" ref="AH37">_xlfn.IFNA(INDEX($AG$6:$AG$66,MATCH(0,COUNTIF($AH$4:AH36,$AG$6:$AG$66),0),1),"")</f>
        <v/>
      </c>
      <c r="AI37" s="277" t="str">
        <f>IF(AND('1.4 Analyse &amp; Synthese'!U38=1,'1.4 Analyse &amp; Synthese'!F38="Werkzeug"),'1.4 Analyse &amp; Synthese'!I38&amp;CHAR(13)&amp;"("&amp;'(Codierung)'!$C$4&amp;" - "&amp;'1.4 Analyse &amp; Synthese'!C38&amp;")","")</f>
        <v/>
      </c>
      <c r="AJ37" s="277" t="str">
        <f t="array" ref="AJ37">_xlfn.IFNA(INDEX($AI$6:$AI$66,MATCH(0,COUNTIF($AJ$4:AJ36,$AI$6:$AI$66),0),1),"")</f>
        <v/>
      </c>
      <c r="AL37" s="277" t="str">
        <f>IF(AND('1.4 Analyse &amp; Synthese'!V38=1,'1.4 Analyse &amp; Synthese'!F38="Empfehlung"),'1.4 Analyse &amp; Synthese'!I38&amp;CHAR(13)&amp;"("&amp;'(Codierung)'!$C$2&amp;" - "&amp;'1.4 Analyse &amp; Synthese'!C38&amp;")","")</f>
        <v/>
      </c>
      <c r="AM37" s="277" t="str">
        <f t="array" ref="AM37">_xlfn.IFNA(INDEX($AL$6:$AL$66,MATCH(0,COUNTIF($AM$4:AM36,$AL$6:$AL$66),0),1),"")</f>
        <v/>
      </c>
      <c r="AN37" s="277" t="str">
        <f>IF(AND('1.4 Analyse &amp; Synthese'!V38=1,'1.4 Analyse &amp; Synthese'!F38="Methode"),'1.4 Analyse &amp; Synthese'!I38&amp;CHAR(13)&amp;"("&amp;'(Codierung)'!$C$3&amp;" - "&amp;'1.4 Analyse &amp; Synthese'!C38&amp;")","")</f>
        <v/>
      </c>
      <c r="AO37" s="277" t="str">
        <f t="array" ref="AO37">_xlfn.IFNA(INDEX($AN$6:$AN$66,MATCH(0,COUNTIF($AO$4:AO36,$AN$6:$AN$66),0),1),"")</f>
        <v/>
      </c>
      <c r="AP37" s="277" t="str">
        <f>IF(AND('1.4 Analyse &amp; Synthese'!V38=1,'1.4 Analyse &amp; Synthese'!F38="Werkzeug"),'1.4 Analyse &amp; Synthese'!I38&amp;CHAR(13)&amp;"("&amp;'(Codierung)'!$C$4&amp;" - "&amp;'1.4 Analyse &amp; Synthese'!C38&amp;")","")</f>
        <v/>
      </c>
      <c r="AQ37" s="277" t="str">
        <f t="array" ref="AQ37">_xlfn.IFNA(INDEX($AP$6:$AP$66,MATCH(0,COUNTIF($AQ$4:AQ36,$AP$6:$AP$66),0),1),"")</f>
        <v/>
      </c>
      <c r="AS37" s="277" t="str">
        <f>IF(AND('1.4 Analyse &amp; Synthese'!W38=1,'1.4 Analyse &amp; Synthese'!F38="Empfehlung"),'1.4 Analyse &amp; Synthese'!I38&amp;CHAR(13)&amp;"("&amp;'(Codierung)'!$C$2&amp;" - "&amp;'1.4 Analyse &amp; Synthese'!C38&amp;")","")</f>
        <v/>
      </c>
      <c r="AT37" s="277" t="str">
        <f t="array" ref="AT37">_xlfn.IFNA(INDEX($AS$6:$AS$66,MATCH(0,COUNTIF($AT$4:AT36,$AS$6:$AS$66),0),1),"")</f>
        <v/>
      </c>
      <c r="AU37" s="277" t="str">
        <f>IF(AND('1.4 Analyse &amp; Synthese'!W38=1,'1.4 Analyse &amp; Synthese'!F38="Methode"),'1.4 Analyse &amp; Synthese'!I38&amp;CHAR(13)&amp;"("&amp;'(Codierung)'!$C$3&amp;" - "&amp;'1.4 Analyse &amp; Synthese'!C38&amp;")","")</f>
        <v>SLA Management Aggregation_x000D_(Methode - Stanik)</v>
      </c>
      <c r="AV37" s="277" t="str">
        <f t="array" ref="AV37">_xlfn.IFNA(INDEX($AU$6:$AU$66,MATCH(0,COUNTIF($AV$4:AV36,$AU$6:$AU$66),0),1),"")</f>
        <v/>
      </c>
      <c r="AW37" s="277" t="str">
        <f>IF(AND('1.4 Analyse &amp; Synthese'!W38=1,'1.4 Analyse &amp; Synthese'!F38="Werkzeug"),'1.4 Analyse &amp; Synthese'!I38&amp;CHAR(13)&amp;"("&amp;'(Codierung)'!$C$4&amp;" - "&amp;'1.4 Analyse &amp; Synthese'!C38&amp;")","")</f>
        <v/>
      </c>
      <c r="AX37" s="277" t="str">
        <f t="array" ref="AX37">_xlfn.IFNA(INDEX($AW$6:$AW$66,MATCH(0,COUNTIF($AX$4:AX36,$AW$6:$AW$66),0),1),"")</f>
        <v/>
      </c>
      <c r="AZ37" s="277" t="str">
        <f>IF(AND('1.4 Analyse &amp; Synthese'!X38=1,'1.4 Analyse &amp; Synthese'!F38="Empfehlung"),'1.4 Analyse &amp; Synthese'!I38&amp;CHAR(13)&amp;"("&amp;'(Codierung)'!$C$2&amp;" - "&amp;'1.4 Analyse &amp; Synthese'!C38&amp;")","")</f>
        <v/>
      </c>
      <c r="BA37" s="277" t="str">
        <f t="array" ref="BA37">_xlfn.IFNA(INDEX($AZ$6:$AZ$66,MATCH(0,COUNTIF($BA$4:BA36,$AZ$6:$AZ$66),0),1),"")</f>
        <v/>
      </c>
      <c r="BB37" s="277" t="str">
        <f>IF(AND('1.4 Analyse &amp; Synthese'!X38=1,'1.4 Analyse &amp; Synthese'!F38="Methode"),'1.4 Analyse &amp; Synthese'!I38&amp;CHAR(13)&amp;"("&amp;'(Codierung)'!$C$3&amp;" - "&amp;'1.4 Analyse &amp; Synthese'!C38&amp;")","")</f>
        <v/>
      </c>
      <c r="BC37" s="277" t="str">
        <f t="array" ref="BC37">_xlfn.IFNA(INDEX($BB$6:$BB$66,MATCH(0,COUNTIF($BC$4:BC36,$BB$6:$BB$66),0),1),"")</f>
        <v/>
      </c>
      <c r="BD37" s="277" t="str">
        <f>IF(AND('1.4 Analyse &amp; Synthese'!X38=1,'1.4 Analyse &amp; Synthese'!F38="Werkzeug"),'1.4 Analyse &amp; Synthese'!I38&amp;CHAR(13)&amp;"("&amp;'(Codierung)'!$C$4&amp;" - "&amp;'1.4 Analyse &amp; Synthese'!C38&amp;")","")</f>
        <v/>
      </c>
      <c r="BE37" s="277" t="str">
        <f t="array" ref="BE37">_xlfn.IFNA(INDEX($BD$6:$BD$66,MATCH(0,COUNTIF($BE$4:BE36,$BD$6:$BD$66),0),1),"")</f>
        <v/>
      </c>
      <c r="BG37" s="277" t="str">
        <f>IF(AND('1.4 Analyse &amp; Synthese'!Y38=1,'1.4 Analyse &amp; Synthese'!F38="Empfehlung"),'1.4 Analyse &amp; Synthese'!I38&amp;CHAR(13)&amp;"("&amp;'(Codierung)'!$C$2&amp;" - "&amp;'1.4 Analyse &amp; Synthese'!C38&amp;")","")</f>
        <v/>
      </c>
      <c r="BH37" s="277" t="str">
        <f t="array" ref="BH37">_xlfn.IFNA(INDEX($BG$6:$BG$66,MATCH(0,COUNTIF($BH$4:BH36,$BG$6:$BG$66),0),1),"")</f>
        <v/>
      </c>
      <c r="BI37" s="277" t="str">
        <f>IF(AND('1.4 Analyse &amp; Synthese'!Y38=1,'1.4 Analyse &amp; Synthese'!F38="Methode"),'1.4 Analyse &amp; Synthese'!I38&amp;CHAR(13)&amp;"("&amp;'(Codierung)'!$C$3&amp;" - "&amp;'1.4 Analyse &amp; Synthese'!C38&amp;")","")</f>
        <v/>
      </c>
      <c r="BJ37" s="277" t="str">
        <f t="array" ref="BJ37">_xlfn.IFNA(INDEX($BI$6:$BI$66,MATCH(0,COUNTIF($BJ$4:BJ36,$BI$6:$BI$66),0),1),"")</f>
        <v/>
      </c>
      <c r="BK37" s="277" t="str">
        <f>IF(AND('1.4 Analyse &amp; Synthese'!Y38=1,'1.4 Analyse &amp; Synthese'!F38="Werkzeug"),'1.4 Analyse &amp; Synthese'!I38&amp;CHAR(13)&amp;"("&amp;'(Codierung)'!$C$4&amp;" - "&amp;'1.4 Analyse &amp; Synthese'!C38&amp;")","")</f>
        <v/>
      </c>
      <c r="BL37" s="277" t="str">
        <f t="array" ref="BL37">_xlfn.IFNA(INDEX($BK$6:$BK$66,MATCH(0,COUNTIF($BL$4:BL36,$BK$6:$BK$66),0),1),"")</f>
        <v/>
      </c>
      <c r="BN37" s="277" t="str">
        <f>IF(AND('1.4 Analyse &amp; Synthese'!Z38=1,'1.4 Analyse &amp; Synthese'!F38="Empfehlung"),'1.4 Analyse &amp; Synthese'!I38&amp;CHAR(13)&amp;"("&amp;'(Codierung)'!$C$2&amp;" - "&amp;'1.4 Analyse &amp; Synthese'!C38&amp;")","")</f>
        <v/>
      </c>
      <c r="BO37" s="277" t="str">
        <f t="array" ref="BO37">_xlfn.IFNA(INDEX($BN$6:$BN$66,MATCH(0,COUNTIF($BO$4:BO36,$BN$6:$BN$66),0),1),"")</f>
        <v/>
      </c>
      <c r="BP37" s="277" t="str">
        <f>IF(AND('1.4 Analyse &amp; Synthese'!Z38=1,'1.4 Analyse &amp; Synthese'!F38="Methode"),'1.4 Analyse &amp; Synthese'!I38&amp;CHAR(13)&amp;"("&amp;'(Codierung)'!$C$3&amp;" - "&amp;'1.4 Analyse &amp; Synthese'!C38&amp;")","")</f>
        <v/>
      </c>
      <c r="BQ37" s="277" t="str">
        <f t="array" ref="BQ37">_xlfn.IFNA(INDEX($BP$6:$BP$66,MATCH(0,COUNTIF($BQ$4:BQ36,$BP$6:$BP$66),0),1),"")</f>
        <v/>
      </c>
      <c r="BR37" s="277" t="str">
        <f>IF(AND('1.4 Analyse &amp; Synthese'!Z38=1,'1.4 Analyse &amp; Synthese'!F38="Werkzeug"),'1.4 Analyse &amp; Synthese'!I38&amp;CHAR(13)&amp;"("&amp;'(Codierung)'!$C$4&amp;" - "&amp;'1.4 Analyse &amp; Synthese'!C38&amp;")","")</f>
        <v/>
      </c>
      <c r="BS37" s="277" t="str">
        <f t="array" ref="BS37">_xlfn.IFNA(INDEX($BR$6:$BR$66,MATCH(0,COUNTIF($BS$4:BS36,$BR$6:$BR$66),0),1),"")</f>
        <v/>
      </c>
      <c r="BU37" s="277" t="str">
        <f>IF(AND('1.4 Analyse &amp; Synthese'!AA38=1,'1.4 Analyse &amp; Synthese'!F38="Empfehlung"),'1.4 Analyse &amp; Synthese'!I38&amp;CHAR(13)&amp;"("&amp;'(Codierung)'!$C$2&amp;" - "&amp;'1.4 Analyse &amp; Synthese'!C38&amp;")","")</f>
        <v/>
      </c>
      <c r="BV37" s="277" t="str">
        <f t="array" ref="BV37">_xlfn.IFNA(INDEX($BU$6:$BU$66,MATCH(0,COUNTIF($BV$4:BV36,$BU$6:$BU$66),0),1),"")</f>
        <v/>
      </c>
      <c r="BW37" s="277" t="str">
        <f>IF(AND('1.4 Analyse &amp; Synthese'!AA38=1,'1.4 Analyse &amp; Synthese'!F38="Methode"),'1.4 Analyse &amp; Synthese'!I38&amp;CHAR(13)&amp;"("&amp;'(Codierung)'!$C$3&amp;" - "&amp;'1.4 Analyse &amp; Synthese'!C38&amp;")","")</f>
        <v/>
      </c>
      <c r="BX37" s="277" t="str">
        <f t="array" ref="BX37">_xlfn.IFNA(INDEX($BW$6:$BW$66,MATCH(0,COUNTIF($BX$4:BX36,$BW$6:$BW$66),0),1),"")</f>
        <v/>
      </c>
      <c r="BY37" s="277" t="str">
        <f>IF(AND('1.4 Analyse &amp; Synthese'!AA38=1,'1.4 Analyse &amp; Synthese'!F38="Werkzeug"),'1.4 Analyse &amp; Synthese'!I38&amp;CHAR(13)&amp;"("&amp;'(Codierung)'!$C$4&amp;" - "&amp;'1.4 Analyse &amp; Synthese'!C38&amp;")","")</f>
        <v/>
      </c>
      <c r="BZ37" s="277" t="str">
        <f t="array" ref="BZ37">_xlfn.IFNA(INDEX($BY$6:$BY$66,MATCH(0,COUNTIF($BZ$4:BZ36,$BY$6:$BY$66),0),1),"")</f>
        <v/>
      </c>
      <c r="CB37" s="277" t="str">
        <f>IF(AND('1.4 Analyse &amp; Synthese'!AB38=1,'1.4 Analyse &amp; Synthese'!F38="Empfehlung"),'1.4 Analyse &amp; Synthese'!I38&amp;CHAR(13)&amp;"("&amp;'(Codierung)'!$C$2&amp;" - "&amp;'1.4 Analyse &amp; Synthese'!C38&amp;")","")</f>
        <v/>
      </c>
      <c r="CC37" s="277" t="str">
        <f t="array" ref="CC37">_xlfn.IFNA(INDEX($CB$6:$CB$66,MATCH(0,COUNTIF($CC$4:CC36,$CB$6:$CB$66),0),1),"")</f>
        <v/>
      </c>
      <c r="CD37" s="277" t="str">
        <f>IF(AND('1.4 Analyse &amp; Synthese'!AB38=1,'1.4 Analyse &amp; Synthese'!F38="Methode"),'1.4 Analyse &amp; Synthese'!I38&amp;CHAR(13)&amp;"("&amp;'(Codierung)'!$C$3&amp;" - "&amp;'1.4 Analyse &amp; Synthese'!C38&amp;")","")</f>
        <v/>
      </c>
      <c r="CE37" s="277" t="str">
        <f t="array" ref="CE37">_xlfn.IFNA(INDEX($CD$6:$CD$66,MATCH(0,COUNTIF($CE$4:CE36,$CD$6:$CD$66),0),1),"")</f>
        <v/>
      </c>
      <c r="CF37" s="277" t="str">
        <f>IF(AND('1.4 Analyse &amp; Synthese'!AB38=1,'1.4 Analyse &amp; Synthese'!F38="Werkzeug"),'1.4 Analyse &amp; Synthese'!I38&amp;CHAR(13)&amp;"("&amp;'(Codierung)'!$C$4&amp;" - "&amp;'1.4 Analyse &amp; Synthese'!C38&amp;")","")</f>
        <v/>
      </c>
      <c r="CG37" s="277" t="str">
        <f t="array" ref="CG37">_xlfn.IFNA(INDEX($CF$6:$CF$66,MATCH(0,COUNTIF($CG$4:CG36,$CF$6:$CF$66),0),1),"")</f>
        <v/>
      </c>
      <c r="CI37" s="277" t="str">
        <f>IF(AND('1.4 Analyse &amp; Synthese'!AC38=1,'1.4 Analyse &amp; Synthese'!F38="Empfehlung"),'1.4 Analyse &amp; Synthese'!I38&amp;CHAR(13)&amp;"("&amp;'(Codierung)'!$C$2&amp;" - "&amp;'1.4 Analyse &amp; Synthese'!C38&amp;")","")</f>
        <v/>
      </c>
      <c r="CJ37" s="277" t="str">
        <f t="array" ref="CJ37">_xlfn.IFNA(INDEX($CI$6:$CI$66,MATCH(0,COUNTIF($CJ$4:CJ36,$CI$6:$CI$66),0),1),"")</f>
        <v/>
      </c>
      <c r="CK37" s="277" t="str">
        <f>IF(AND('1.4 Analyse &amp; Synthese'!AC38=1,'1.4 Analyse &amp; Synthese'!F38="Methode"),'1.4 Analyse &amp; Synthese'!I38&amp;CHAR(13)&amp;"("&amp;'(Codierung)'!$C$3&amp;" - "&amp;'1.4 Analyse &amp; Synthese'!C38&amp;")","")</f>
        <v/>
      </c>
      <c r="CL37" s="277" t="str">
        <f t="array" ref="CL37">_xlfn.IFNA(INDEX($CK$6:$CK$66,MATCH(0,COUNTIF($CL$4:CL36,$CK$6:$CK$66),0),1),"")</f>
        <v/>
      </c>
      <c r="CM37" s="277" t="str">
        <f>IF(AND('1.4 Analyse &amp; Synthese'!AC38=1,'1.4 Analyse &amp; Synthese'!F38="Werkzeug"),'1.4 Analyse &amp; Synthese'!I38&amp;CHAR(13)&amp;"("&amp;'(Codierung)'!$C$4&amp;" - "&amp;'1.4 Analyse &amp; Synthese'!C38&amp;")","")</f>
        <v/>
      </c>
      <c r="CN37" s="277" t="str">
        <f t="array" ref="CN37">_xlfn.IFNA(INDEX($CM$6:$CM$66,MATCH(0,COUNTIF($CN$4:CN36,$CM$6:$CM$66),0),1),"")</f>
        <v/>
      </c>
      <c r="CP37" s="277" t="str">
        <f>IF(AND('1.4 Analyse &amp; Synthese'!AD38=1,'1.4 Analyse &amp; Synthese'!F38="Empfehlung"),'1.4 Analyse &amp; Synthese'!I38&amp;CHAR(13)&amp;"("&amp;'(Codierung)'!$C$2&amp;" - "&amp;'1.4 Analyse &amp; Synthese'!C38&amp;")","")</f>
        <v/>
      </c>
      <c r="CQ37" s="277" t="str">
        <f t="array" ref="CQ37">_xlfn.IFNA(INDEX($CP$6:$CP$66,MATCH(0,COUNTIF($CQ$4:CQ36,$CP$6:$CP$66),0),1),"")</f>
        <v/>
      </c>
      <c r="CR37" s="277" t="str">
        <f>IF(AND('1.4 Analyse &amp; Synthese'!AD38=1,'1.4 Analyse &amp; Synthese'!F38="Methode"),'1.4 Analyse &amp; Synthese'!I38&amp;CHAR(13)&amp;"("&amp;'(Codierung)'!$C$3&amp;" - "&amp;'1.4 Analyse &amp; Synthese'!C38&amp;")","")</f>
        <v>SLA Management Aggregation_x000D_(Methode - Stanik)</v>
      </c>
      <c r="CS37" s="277" t="str">
        <f t="array" ref="CS37">_xlfn.IFNA(INDEX($CR$6:$CR$66,MATCH(0,COUNTIF($CS$4:CS36,$CR$6:$CR$66),0),1),"")</f>
        <v/>
      </c>
      <c r="CT37" s="277" t="str">
        <f>IF(AND('1.4 Analyse &amp; Synthese'!AD38=1,'1.4 Analyse &amp; Synthese'!F38="Werkzeug"),'1.4 Analyse &amp; Synthese'!I38&amp;CHAR(13)&amp;"("&amp;'(Codierung)'!$C$4&amp;" - "&amp;'1.4 Analyse &amp; Synthese'!C38&amp;")","")</f>
        <v/>
      </c>
      <c r="CU37" s="277" t="str">
        <f t="array" ref="CU37">_xlfn.IFNA(INDEX($CT$6:$CT$66,MATCH(0,COUNTIF($CU$4:CU36,$CT$6:$CT$66),0),1),"")</f>
        <v/>
      </c>
      <c r="CW37" s="277" t="str">
        <f>IF(AND('1.4 Analyse &amp; Synthese'!AE38=1,'1.4 Analyse &amp; Synthese'!F38="Empfehlung"),'1.4 Analyse &amp; Synthese'!I38&amp;CHAR(13)&amp;"("&amp;'(Codierung)'!$C$2&amp;" - "&amp;'1.4 Analyse &amp; Synthese'!C38&amp;")","")</f>
        <v/>
      </c>
      <c r="CX37" s="277" t="str">
        <f t="array" ref="CX37">_xlfn.IFNA(INDEX($CW$6:$CW$66,MATCH(0,COUNTIF($CX$4:CX36,$CW$6:$CW$66),0),1),"")</f>
        <v/>
      </c>
      <c r="CY37" s="277" t="str">
        <f>IF(AND('1.4 Analyse &amp; Synthese'!AE38=1,'1.4 Analyse &amp; Synthese'!F38="Methode"),'1.4 Analyse &amp; Synthese'!I38&amp;CHAR(13)&amp;"("&amp;'(Codierung)'!$C$3&amp;" - "&amp;'1.4 Analyse &amp; Synthese'!C38&amp;")","")</f>
        <v/>
      </c>
      <c r="CZ37" s="277" t="str">
        <f t="array" ref="CZ37">_xlfn.IFNA(INDEX($CY$6:$CY$66,MATCH(0,COUNTIF($CZ$4:CZ36,$CY$6:$CY$66),0),1),"")</f>
        <v/>
      </c>
      <c r="DA37" s="277" t="str">
        <f>IF(AND('1.4 Analyse &amp; Synthese'!AE38=1,'1.4 Analyse &amp; Synthese'!F38="Werkzeug"),'1.4 Analyse &amp; Synthese'!I38&amp;CHAR(13)&amp;"("&amp;'(Codierung)'!$C$4&amp;" - "&amp;'1.4 Analyse &amp; Synthese'!C38&amp;")","")</f>
        <v/>
      </c>
      <c r="DB37" s="277" t="str">
        <f t="array" ref="DB37">_xlfn.IFNA(INDEX($DA$6:$DA$66,MATCH(0,COUNTIF($DB$4:DB36,$DA$6:$DA$66),0),1),"")</f>
        <v/>
      </c>
      <c r="DD37" s="277" t="str">
        <f>IF(AND('1.4 Analyse &amp; Synthese'!AF38=1,'1.4 Analyse &amp; Synthese'!F38="Empfehlung"),'1.4 Analyse &amp; Synthese'!I38&amp;CHAR(13)&amp;"("&amp;'(Codierung)'!$C$2&amp;" - "&amp;'1.4 Analyse &amp; Synthese'!C38&amp;")","")</f>
        <v/>
      </c>
      <c r="DE37" s="277" t="str">
        <f t="array" ref="DE37">_xlfn.IFNA(INDEX($DD$6:$DD$66,MATCH(0,COUNTIF($DE$4:DE36,$DD$6:$DD$66),0),1),"")</f>
        <v/>
      </c>
      <c r="DF37" s="277" t="str">
        <f>IF(AND('1.4 Analyse &amp; Synthese'!AF38=1,'1.4 Analyse &amp; Synthese'!F38="Methode"),'1.4 Analyse &amp; Synthese'!I38&amp;CHAR(13)&amp;"("&amp;'(Codierung)'!$C$3&amp;" - "&amp;'1.4 Analyse &amp; Synthese'!C38&amp;")","")</f>
        <v>SLA Management Aggregation_x000D_(Methode - Stanik)</v>
      </c>
      <c r="DG37" s="277" t="str">
        <f t="array" ref="DG37">_xlfn.IFNA(INDEX($DF$6:$DF$66,MATCH(0,COUNTIF($DG$4:DG36,$DF$6:$DF$66),0),1),"")</f>
        <v/>
      </c>
      <c r="DH37" s="277" t="str">
        <f>IF(AND('1.4 Analyse &amp; Synthese'!AF38=1,'1.4 Analyse &amp; Synthese'!F38="Werkzeug"),'1.4 Analyse &amp; Synthese'!I38&amp;CHAR(13)&amp;"("&amp;'(Codierung)'!$C$4&amp;" - "&amp;'1.4 Analyse &amp; Synthese'!C38&amp;")","")</f>
        <v/>
      </c>
      <c r="DI37" s="277" t="str">
        <f t="array" ref="DI37">_xlfn.IFNA(INDEX($DH$6:$DH$66,MATCH(0,COUNTIF($DI$4:DI36,$DH$6:$DH$66),0),1),"")</f>
        <v/>
      </c>
      <c r="DK37" s="277" t="str">
        <f>IF(AND('1.4 Analyse &amp; Synthese'!AG38=1,'1.4 Analyse &amp; Synthese'!F38="Empfehlung"),'1.4 Analyse &amp; Synthese'!I38&amp;CHAR(13)&amp;"("&amp;'(Codierung)'!$C$2&amp;" - "&amp;'1.4 Analyse &amp; Synthese'!C38&amp;")","")</f>
        <v/>
      </c>
      <c r="DL37" s="277" t="str">
        <f t="array" ref="DL37">_xlfn.IFNA(INDEX($DK$6:$DK$66,MATCH(0,COUNTIF($DL$4:DL36,$DK$6:$DK$66),0),1),"")</f>
        <v/>
      </c>
      <c r="DM37" s="277" t="str">
        <f>IF(AND('1.4 Analyse &amp; Synthese'!AG38=1,'1.4 Analyse &amp; Synthese'!F38="Methode"),'1.4 Analyse &amp; Synthese'!I38&amp;CHAR(13)&amp;"("&amp;'(Codierung)'!$C$3&amp;" - "&amp;'1.4 Analyse &amp; Synthese'!C38&amp;")","")</f>
        <v/>
      </c>
      <c r="DN37" s="277" t="str">
        <f t="array" ref="DN37">_xlfn.IFNA(INDEX($DM$6:$DM$66,MATCH(0,COUNTIF($DN$4:DN36,$DM$6:$DM$66),0),1),"")</f>
        <v/>
      </c>
      <c r="DO37" s="277" t="str">
        <f>IF(AND('1.4 Analyse &amp; Synthese'!AG38=1,'1.4 Analyse &amp; Synthese'!F38="Werkzeug"),'1.4 Analyse &amp; Synthese'!I38&amp;CHAR(13)&amp;"("&amp;'(Codierung)'!$C$4&amp;" - "&amp;'1.4 Analyse &amp; Synthese'!C38&amp;")","")</f>
        <v/>
      </c>
      <c r="DP37" s="277" t="str">
        <f t="array" ref="DP37">_xlfn.IFNA(INDEX($DO$6:$DO$66,MATCH(0,COUNTIF($DP$4:DP36,$DO$6:$DO$66),0),1),"")</f>
        <v/>
      </c>
      <c r="DR37" s="277" t="str">
        <f>IF(AND('1.4 Analyse &amp; Synthese'!AH38=1,'1.4 Analyse &amp; Synthese'!F38="Empfehlung"),'1.4 Analyse &amp; Synthese'!I38&amp;CHAR(13)&amp;"("&amp;'(Codierung)'!$C$2&amp;" - "&amp;'1.4 Analyse &amp; Synthese'!C38&amp;")","")</f>
        <v/>
      </c>
      <c r="DS37" s="277" t="str">
        <f t="array" ref="DS37">_xlfn.IFNA(INDEX($DR$6:$DR$66,MATCH(0,COUNTIF($DS$4:DS36,$DR$6:$DR$66),0),1),"")</f>
        <v/>
      </c>
      <c r="DT37" s="277" t="str">
        <f>IF(AND('1.4 Analyse &amp; Synthese'!AH38=1,'1.4 Analyse &amp; Synthese'!F38="Methode"),'1.4 Analyse &amp; Synthese'!I38&amp;CHAR(13)&amp;"("&amp;'(Codierung)'!$C$3&amp;" - "&amp;'1.4 Analyse &amp; Synthese'!C38&amp;")","")</f>
        <v/>
      </c>
      <c r="DU37" s="277" t="str">
        <f t="array" ref="DU37">_xlfn.IFNA(INDEX($DT$6:$DT$66,MATCH(0,COUNTIF($DU$4:DU36,$DT$6:$DT$66),0),1),"")</f>
        <v/>
      </c>
      <c r="DV37" s="277" t="str">
        <f>IF(AND('1.4 Analyse &amp; Synthese'!AH38=1,'1.4 Analyse &amp; Synthese'!F38="Werkzeug"),'1.4 Analyse &amp; Synthese'!I38&amp;CHAR(13)&amp;"("&amp;'(Codierung)'!$C$4&amp;" - "&amp;'1.4 Analyse &amp; Synthese'!C38&amp;")","")</f>
        <v/>
      </c>
      <c r="DW37" s="277" t="str">
        <f t="array" ref="DW37">_xlfn.IFNA(INDEX($DV$6:$DV$66,MATCH(0,COUNTIF($DW$4:DW36,$DV$6:$DV$66),0),1),"")</f>
        <v/>
      </c>
      <c r="DY37" s="277" t="str">
        <f>IF(AND('1.4 Analyse &amp; Synthese'!AI38=1,'1.4 Analyse &amp; Synthese'!F38="Empfehlung"),'1.4 Analyse &amp; Synthese'!I38&amp;CHAR(13)&amp;"("&amp;'(Codierung)'!$C$2&amp;" - "&amp;'1.4 Analyse &amp; Synthese'!C38&amp;")","")</f>
        <v/>
      </c>
      <c r="DZ37" s="277" t="str">
        <f t="array" ref="DZ37">_xlfn.IFNA(INDEX($DY$6:$DY$66,MATCH(0,COUNTIF($DZ$4:DZ36,$DY$6:$DY$66),0),1),"")</f>
        <v/>
      </c>
      <c r="EA37" s="277" t="str">
        <f>IF(AND('1.4 Analyse &amp; Synthese'!AI38=1,'1.4 Analyse &amp; Synthese'!F38="Methode"),'1.4 Analyse &amp; Synthese'!I38&amp;CHAR(13)&amp;"("&amp;'(Codierung)'!$C$3&amp;" - "&amp;'1.4 Analyse &amp; Synthese'!C38&amp;")","")</f>
        <v/>
      </c>
      <c r="EB37" s="277" t="str">
        <f t="array" ref="EB37">_xlfn.IFNA(INDEX($EA$6:$EA$66,MATCH(0,COUNTIF($EB$4:EB36,$EA$6:$EA$66),0),1),"")</f>
        <v/>
      </c>
      <c r="EC37" s="277" t="str">
        <f>IF(AND('1.4 Analyse &amp; Synthese'!AI38=1,'1.4 Analyse &amp; Synthese'!F38="Werkzeug"),'1.4 Analyse &amp; Synthese'!I38&amp;CHAR(13)&amp;"("&amp;'(Codierung)'!$C$4&amp;" - "&amp;'1.4 Analyse &amp; Synthese'!C38&amp;")","")</f>
        <v/>
      </c>
      <c r="ED37" s="277" t="str">
        <f t="array" ref="ED37">_xlfn.IFNA(INDEX($EC$6:$EC$66,MATCH(0,COUNTIF($ED$4:ED36,$EC$6:$EC$66),0),1),"")</f>
        <v/>
      </c>
      <c r="EF37" s="277" t="str">
        <f>IF(AND('1.4 Analyse &amp; Synthese'!AJ38=1,'1.4 Analyse &amp; Synthese'!F38="Empfehlung"),'1.4 Analyse &amp; Synthese'!I38&amp;CHAR(13)&amp;"("&amp;'(Codierung)'!$C$2&amp;" - "&amp;'1.4 Analyse &amp; Synthese'!C38&amp;")","")</f>
        <v/>
      </c>
      <c r="EG37" s="277" t="str">
        <f t="array" ref="EG37">_xlfn.IFNA(INDEX($EF$6:$EF$66,MATCH(0,COUNTIF($EG$4:EG36,$EF$6:$EF$66),0),1),"")</f>
        <v/>
      </c>
      <c r="EH37" s="277" t="str">
        <f>IF(AND('1.4 Analyse &amp; Synthese'!AJ38=1,'1.4 Analyse &amp; Synthese'!F38="Methode"),'1.4 Analyse &amp; Synthese'!I38&amp;CHAR(13)&amp;"("&amp;'(Codierung)'!$C$3&amp;" - "&amp;'1.4 Analyse &amp; Synthese'!C38&amp;")","")</f>
        <v/>
      </c>
      <c r="EI37" s="277" t="str">
        <f t="array" ref="EI37">_xlfn.IFNA(INDEX($EH$6:$EH$66,MATCH(0,COUNTIF($EI$4:EI36,$EH$6:$EH$66),0),1),"")</f>
        <v/>
      </c>
      <c r="EJ37" s="277" t="str">
        <f>IF(AND('1.4 Analyse &amp; Synthese'!AJ38=1,'1.4 Analyse &amp; Synthese'!F38="Werkzeug"),'1.4 Analyse &amp; Synthese'!I38&amp;CHAR(13)&amp;"("&amp;'(Codierung)'!$C$4&amp;" - "&amp;'1.4 Analyse &amp; Synthese'!C38&amp;")","")</f>
        <v/>
      </c>
      <c r="EK37" s="277" t="str">
        <f t="array" ref="EK37">_xlfn.IFNA(INDEX($EJ$6:$EJ$66,MATCH(0,COUNTIF($EK$4:EK36,$EJ$6:$EJ$66),0),1),"")</f>
        <v/>
      </c>
      <c r="EN37" s="222" t="str">
        <f t="shared" si="0"/>
        <v/>
      </c>
      <c r="EO37" s="277" t="str">
        <f t="shared" si="1"/>
        <v/>
      </c>
      <c r="EP37" s="277" t="str">
        <f t="shared" si="2"/>
        <v/>
      </c>
      <c r="EQ37" s="277" t="str">
        <f>ZahlenInBereich(Tabelle1[[Empfehlung]:[Werkzeug]],ROW()-5)</f>
        <v/>
      </c>
      <c r="ER37" s="277" t="str">
        <f t="shared" si="3"/>
        <v/>
      </c>
      <c r="ES37" s="277" t="str">
        <f t="shared" si="4"/>
        <v/>
      </c>
      <c r="ET37" s="277" t="str">
        <f t="shared" si="5"/>
        <v/>
      </c>
      <c r="EU37" s="277" t="str">
        <f>ZahlenInBereich(Tabelle1[[Empfehlung2]:[Werkzeug4]],ROW()-5)</f>
        <v/>
      </c>
      <c r="EV37" s="277" t="str">
        <f t="shared" si="6"/>
        <v/>
      </c>
      <c r="EW37" s="277" t="str">
        <f t="shared" si="7"/>
        <v/>
      </c>
      <c r="EX37" s="277" t="str">
        <f t="shared" si="8"/>
        <v/>
      </c>
      <c r="EY37" s="277" t="str">
        <f>ZahlenInBereich(Tabelle1[[Empfehlung6]:[Werkzeug8]],ROW()-5)</f>
        <v/>
      </c>
      <c r="EZ37" s="277" t="str">
        <f t="shared" si="9"/>
        <v/>
      </c>
      <c r="FA37" s="277" t="str">
        <f t="shared" si="10"/>
        <v/>
      </c>
      <c r="FB37" s="277" t="str">
        <f t="shared" si="11"/>
        <v/>
      </c>
      <c r="FC37" s="277" t="str">
        <f>ZahlenInBereich(Tabelle1[[Empfehlung10]:[Werkzeug12]],ROW()-5)</f>
        <v/>
      </c>
      <c r="FD37" s="277" t="str">
        <f t="shared" si="12"/>
        <v/>
      </c>
      <c r="FE37" s="277" t="str">
        <f t="shared" si="13"/>
        <v/>
      </c>
      <c r="FF37" s="277" t="str">
        <f t="shared" si="14"/>
        <v/>
      </c>
      <c r="FG37" s="277" t="str">
        <f>ZahlenInBereich(Tabelle1[[Empfehlung14]:[Werkzeug16]],ROW()-5)</f>
        <v/>
      </c>
      <c r="FH37" s="277" t="str">
        <f t="shared" si="15"/>
        <v/>
      </c>
      <c r="FI37" s="277" t="str">
        <f t="shared" si="16"/>
        <v/>
      </c>
      <c r="FJ37" s="277" t="str">
        <f t="shared" si="17"/>
        <v/>
      </c>
      <c r="FK37" s="277" t="str">
        <f>ZahlenInBereich(Tabelle1[[Empfehlung18]:[Werkzeug20]],ROW()-5)</f>
        <v/>
      </c>
      <c r="FL37" s="277" t="str">
        <f t="shared" si="18"/>
        <v/>
      </c>
      <c r="FM37" s="277" t="str">
        <f t="shared" si="19"/>
        <v/>
      </c>
      <c r="FN37" s="277" t="str">
        <f t="shared" si="20"/>
        <v/>
      </c>
      <c r="FO37" s="277" t="str">
        <f>ZahlenInBereich(Tabelle1[[Empfehlung22]:[Werkzeug24]],ROW()-5)</f>
        <v/>
      </c>
      <c r="FP37" s="277" t="str">
        <f t="shared" si="21"/>
        <v/>
      </c>
      <c r="FQ37" s="277" t="str">
        <f t="shared" si="22"/>
        <v/>
      </c>
      <c r="FR37" s="277" t="str">
        <f t="shared" si="23"/>
        <v/>
      </c>
      <c r="FS37" s="277" t="str">
        <f>ZahlenInBereich(Tabelle1[[Empfehlung26]:[Werkzeug28]],ROW()-5)</f>
        <v/>
      </c>
      <c r="FT37" s="277" t="str">
        <f t="shared" si="24"/>
        <v/>
      </c>
      <c r="FU37" s="277" t="str">
        <f t="shared" si="25"/>
        <v/>
      </c>
      <c r="FV37" s="277" t="str">
        <f t="shared" si="26"/>
        <v/>
      </c>
      <c r="FW37" s="277" t="str">
        <f>ZahlenInBereich(Tabelle1[[Empfehlung30]:[Werkzeug32]],ROW()-5)</f>
        <v/>
      </c>
      <c r="FX37" s="277" t="str">
        <f t="shared" si="27"/>
        <v/>
      </c>
      <c r="FY37" s="277" t="str">
        <f t="shared" si="28"/>
        <v/>
      </c>
      <c r="FZ37" s="277" t="str">
        <f t="shared" si="29"/>
        <v/>
      </c>
      <c r="GA37" s="277" t="str">
        <f>ZahlenInBereich(Tabelle1[[Empfehlung34]:[Werkzeug36]],ROW()-5)</f>
        <v/>
      </c>
      <c r="GB37" s="277" t="str">
        <f t="shared" si="30"/>
        <v/>
      </c>
      <c r="GC37" s="277" t="str">
        <f t="shared" si="31"/>
        <v/>
      </c>
      <c r="GD37" s="277" t="str">
        <f t="shared" si="32"/>
        <v/>
      </c>
      <c r="GE37" s="277" t="str">
        <f>ZahlenInBereich(Tabelle1[[Empfehlung38]:[Werkzeug40]],ROW()-5)</f>
        <v/>
      </c>
      <c r="GF37" s="277" t="str">
        <f t="shared" si="33"/>
        <v/>
      </c>
      <c r="GG37" s="277" t="str">
        <f t="shared" si="34"/>
        <v/>
      </c>
      <c r="GH37" s="277" t="str">
        <f t="shared" si="35"/>
        <v/>
      </c>
      <c r="GI37" s="277" t="str">
        <f>ZahlenInBereich(Tabelle1[[Empfehlung42]:[Werkzeug44]],ROW()-5)</f>
        <v/>
      </c>
      <c r="GJ37" s="277" t="str">
        <f t="shared" si="36"/>
        <v/>
      </c>
      <c r="GK37" s="277" t="str">
        <f t="shared" si="37"/>
        <v/>
      </c>
      <c r="GL37" s="277" t="str">
        <f t="shared" si="38"/>
        <v/>
      </c>
      <c r="GM37" s="277" t="str">
        <f>ZahlenInBereich(Tabelle1[[Empfehlung46]:[Werkzeug48]],ROW()-5)</f>
        <v/>
      </c>
      <c r="GN37" s="277" t="str">
        <f t="shared" si="39"/>
        <v/>
      </c>
      <c r="GO37" s="277" t="str">
        <f t="shared" si="40"/>
        <v/>
      </c>
      <c r="GP37" s="277" t="str">
        <f t="shared" si="41"/>
        <v/>
      </c>
      <c r="GQ37" s="277" t="str">
        <f>ZahlenInBereich(Tabelle1[[Empfehlung50]:[Werkzeug52]],ROW()-5)</f>
        <v/>
      </c>
      <c r="GR37" s="277" t="str">
        <f t="shared" si="42"/>
        <v/>
      </c>
      <c r="GS37" s="277" t="str">
        <f t="shared" si="43"/>
        <v/>
      </c>
      <c r="GT37" s="277" t="str">
        <f t="shared" si="44"/>
        <v/>
      </c>
      <c r="GU37" s="277" t="str">
        <f>ZahlenInBereich(Tabelle1[[Empfehlung54]:[Werkzeug56]],ROW()-5)</f>
        <v/>
      </c>
      <c r="GV37" s="277" t="str">
        <f t="shared" si="45"/>
        <v/>
      </c>
      <c r="GW37" s="277" t="str">
        <f t="shared" si="46"/>
        <v/>
      </c>
      <c r="GX37" s="277" t="str">
        <f t="shared" si="47"/>
        <v/>
      </c>
      <c r="GY37" s="277" t="str">
        <f>ZahlenInBereich(Tabelle1[[Empfehlung58]:[Werkzeug60]],ROW()-5)</f>
        <v/>
      </c>
      <c r="GZ37" s="277" t="str">
        <f t="shared" si="48"/>
        <v/>
      </c>
      <c r="HA37" s="277" t="str">
        <f t="shared" si="49"/>
        <v/>
      </c>
      <c r="HB37" s="277" t="str">
        <f t="shared" si="50"/>
        <v/>
      </c>
      <c r="HC37" s="277" t="str">
        <f>ZahlenInBereich(Tabelle1[[Empfehlung62]:[Werkzeug64]],ROW()-5)</f>
        <v/>
      </c>
      <c r="HD37" s="277" t="str">
        <f t="shared" si="51"/>
        <v/>
      </c>
      <c r="HE37" s="277" t="str">
        <f t="shared" si="52"/>
        <v/>
      </c>
      <c r="HF37" s="277" t="str">
        <f t="shared" si="53"/>
        <v/>
      </c>
      <c r="HG37" s="277" t="str">
        <f>ZahlenInBereich(Tabelle1[[Empfehlung66]:[Werkzeug68]],ROW()-5)</f>
        <v/>
      </c>
      <c r="HH37" s="277" t="str">
        <f t="shared" si="54"/>
        <v/>
      </c>
      <c r="HI37" s="277" t="str">
        <f t="shared" si="55"/>
        <v/>
      </c>
      <c r="HJ37" s="277" t="str">
        <f t="shared" si="56"/>
        <v/>
      </c>
      <c r="HK37" s="277" t="str">
        <f>ZahlenInBereich(Tabelle1[[Empfehlung70]:[Werkzeug72]],ROW()-5)</f>
        <v/>
      </c>
      <c r="HL37" s="277" t="str">
        <f t="shared" si="57"/>
        <v/>
      </c>
      <c r="HM37" s="277" t="str">
        <f t="shared" si="58"/>
        <v/>
      </c>
      <c r="HN37" s="277" t="str">
        <f t="shared" si="59"/>
        <v/>
      </c>
      <c r="HO37" s="277" t="str">
        <f>ZahlenInBereich(Tabelle1[[Empfehlung74]:[Werkzeug76]],ROW()-5)</f>
        <v/>
      </c>
    </row>
    <row r="38" spans="2:223" ht="32" x14ac:dyDescent="0.2">
      <c r="B38" s="134">
        <f>'1.4 Analyse &amp; Synthese'!B39</f>
        <v>33</v>
      </c>
      <c r="C38" s="277" t="str">
        <f>IF(AND('1.4 Analyse &amp; Synthese'!Q39=1,'1.4 Analyse &amp; Synthese'!F39="Empfehlung"),'1.4 Analyse &amp; Synthese'!I39&amp;CHAR(13)&amp;"("&amp;'(Codierung)'!$C$2&amp;" - "&amp;'1.4 Analyse &amp; Synthese'!C39&amp;")","")</f>
        <v/>
      </c>
      <c r="D38" s="222" t="str">
        <f t="array" ref="D38">_xlfn.IFNA(INDEX($C$6:$C$66,MATCH(0,COUNTIF($D$4:D37,$C$6:$C$66),0),1),"")</f>
        <v/>
      </c>
      <c r="E38" s="277" t="str">
        <f>IF(AND('1.4 Analyse &amp; Synthese'!Q39=1,'1.4 Analyse &amp; Synthese'!F39="Methode"),'1.4 Analyse &amp; Synthese'!I39&amp;CHAR(13)&amp;"("&amp;'(Codierung)'!$C$3&amp;" - "&amp;'1.4 Analyse &amp; Synthese'!C39&amp;")","")</f>
        <v/>
      </c>
      <c r="F38" s="277" t="str">
        <f t="array" ref="F38">_xlfn.IFNA(INDEX($E$6:$E$66,MATCH(0,COUNTIF($F$4:F37,$E$6:$E$66),0),1),"")</f>
        <v/>
      </c>
      <c r="G38" s="277" t="str">
        <f>IF(AND('1.4 Analyse &amp; Synthese'!Q39=1,'1.4 Analyse &amp; Synthese'!F39="Werkzeug"),'1.4 Analyse &amp; Synthese'!I39&amp;CHAR(13)&amp;"("&amp;'(Codierung)'!$C$4&amp;" - "&amp;'1.4 Analyse &amp; Synthese'!C39&amp;")","")</f>
        <v/>
      </c>
      <c r="H38" s="277" t="str">
        <f t="array" ref="H38">_xlfn.IFNA(INDEX($G$6:$G$66,MATCH(0,COUNTIF($H$4:H37,$G$6:$G$66),0),1),"")</f>
        <v/>
      </c>
      <c r="J38" s="277" t="str">
        <f>IF(AND('1.4 Analyse &amp; Synthese'!R39=1,'1.4 Analyse &amp; Synthese'!F39="Empfehlung"),'1.4 Analyse &amp; Synthese'!I39&amp;CHAR(13)&amp;"("&amp;'(Codierung)'!$C$2&amp;" - "&amp;'1.4 Analyse &amp; Synthese'!C39&amp;")","")</f>
        <v/>
      </c>
      <c r="K38" s="277" t="str">
        <f t="array" ref="K38">_xlfn.IFNA(INDEX($J$6:$J$66,MATCH(0,COUNTIF($K$4:K37,$J$6:$J$66),0),1),"")</f>
        <v/>
      </c>
      <c r="L38" s="277" t="str">
        <f>IF(AND('1.4 Analyse &amp; Synthese'!R39=1,'1.4 Analyse &amp; Synthese'!F39="Methode"),'1.4 Analyse &amp; Synthese'!I39&amp;CHAR(13)&amp;"("&amp;'(Codierung)'!$C$3&amp;" - "&amp;'1.4 Analyse &amp; Synthese'!C39&amp;")","")</f>
        <v/>
      </c>
      <c r="M38" s="277" t="str">
        <f t="array" ref="M38">_xlfn.IFNA(INDEX($L$6:$L$66,MATCH(0,COUNTIF($M$4:M37,$L$6:$L$66),0),1),"")</f>
        <v/>
      </c>
      <c r="N38" s="277" t="str">
        <f>IF(AND('1.4 Analyse &amp; Synthese'!R39=1,'1.4 Analyse &amp; Synthese'!F39="Werkzeug"),'1.4 Analyse &amp; Synthese'!I39&amp;CHAR(13)&amp;"("&amp;'(Codierung)'!$C$4&amp;" - "&amp;'1.4 Analyse &amp; Synthese'!C39&amp;")","")</f>
        <v/>
      </c>
      <c r="O38" s="277" t="str">
        <f t="array" ref="O38">_xlfn.IFNA(INDEX($N$6:$N$66,MATCH(0,COUNTIF($O$4:O37,$N$6:$N$66),0),1),"")</f>
        <v/>
      </c>
      <c r="Q38" s="277" t="str">
        <f>IF(AND('1.4 Analyse &amp; Synthese'!S39=1,'1.4 Analyse &amp; Synthese'!F39="Empfehlung"),'1.4 Analyse &amp; Synthese'!I39&amp;CHAR(13)&amp;"("&amp;'(Codierung)'!$C$2&amp;" - "&amp;'1.4 Analyse &amp; Synthese'!C39&amp;")","")</f>
        <v>Monitoring System_x000D_(Empfehlung - Stefano)</v>
      </c>
      <c r="R38" s="277" t="str">
        <f t="array" ref="R38">_xlfn.IFNA(INDEX($Q$6:$Q$66,MATCH(0,COUNTIF($R$4:R37,$Q$6:$Q$66),0),1),"")</f>
        <v/>
      </c>
      <c r="S38" s="277" t="str">
        <f>IF(AND('1.4 Analyse &amp; Synthese'!S39=1,'1.4 Analyse &amp; Synthese'!F39="Methode"),'1.4 Analyse &amp; Synthese'!I39&amp;CHAR(13)&amp;"("&amp;'(Codierung)'!$C$3&amp;" - "&amp;'1.4 Analyse &amp; Synthese'!C39&amp;")","")</f>
        <v/>
      </c>
      <c r="T38" s="277" t="str">
        <f t="array" ref="T38">_xlfn.IFNA(INDEX($S$6:$S$66,MATCH(0,COUNTIF($T$4:T37,$S$6:$S$66),0),1),"")</f>
        <v/>
      </c>
      <c r="U38" s="277" t="str">
        <f>IF(AND('1.4 Analyse &amp; Synthese'!S39=1,'1.4 Analyse &amp; Synthese'!F39="Werkzeug"),'1.4 Analyse &amp; Synthese'!I39&amp;CHAR(13)&amp;"("&amp;'(Codierung)'!$C$4&amp;" - "&amp;'1.4 Analyse &amp; Synthese'!C39&amp;")","")</f>
        <v/>
      </c>
      <c r="V38" s="277" t="str">
        <f t="array" ref="V38">_xlfn.IFNA(INDEX($U$6:$U$66,MATCH(0,COUNTIF($V$4:V37,$U$6:$U$66),0),1),"")</f>
        <v/>
      </c>
      <c r="X38" s="277" t="str">
        <f>IF(AND('1.4 Analyse &amp; Synthese'!T39=1,'1.4 Analyse &amp; Synthese'!F39="Empfehlung"),'1.4 Analyse &amp; Synthese'!I39&amp;CHAR(13)&amp;"("&amp;'(Codierung)'!$C$2&amp;" - "&amp;'1.4 Analyse &amp; Synthese'!C39&amp;")","")</f>
        <v/>
      </c>
      <c r="Y38" s="277" t="str">
        <f t="array" ref="Y38">_xlfn.IFNA(INDEX($X$6:$X$66,MATCH(0,COUNTIF($Y$4:Y37,$X$6:$X$66),0),1),"")</f>
        <v/>
      </c>
      <c r="Z38" s="277" t="str">
        <f>IF(AND('1.4 Analyse &amp; Synthese'!T39=1,'1.4 Analyse &amp; Synthese'!F39="Methode"),'1.4 Analyse &amp; Synthese'!I39&amp;CHAR(13)&amp;"("&amp;'(Codierung)'!$C$3&amp;" - "&amp;'1.4 Analyse &amp; Synthese'!C39&amp;")","")</f>
        <v/>
      </c>
      <c r="AA38" s="277" t="str">
        <f t="array" ref="AA38">_xlfn.IFNA(INDEX($Z$6:$Z$66,MATCH(0,COUNTIF($AA$4:AA37,$Z$6:$Z$66),0),1),"")</f>
        <v/>
      </c>
      <c r="AB38" s="277" t="str">
        <f>IF(AND('1.4 Analyse &amp; Synthese'!T39=1,'1.4 Analyse &amp; Synthese'!F39="Werkzeug"),'1.4 Analyse &amp; Synthese'!I39&amp;CHAR(13)&amp;"("&amp;'(Codierung)'!$C$4&amp;" - "&amp;'1.4 Analyse &amp; Synthese'!C39&amp;")","")</f>
        <v/>
      </c>
      <c r="AC38" s="277" t="str">
        <f t="array" ref="AC38">_xlfn.IFNA(INDEX($AB$6:$AB$66,MATCH(0,COUNTIF($AC$4:AC37,$AB$6:$AB$66),0),1),"")</f>
        <v/>
      </c>
      <c r="AE38" s="277" t="str">
        <f>IF(AND('1.4 Analyse &amp; Synthese'!U39=1,'1.4 Analyse &amp; Synthese'!F39="Empfehlung"),'1.4 Analyse &amp; Synthese'!I39&amp;CHAR(13)&amp;"("&amp;'(Codierung)'!$C$2&amp;" - "&amp;'1.4 Analyse &amp; Synthese'!C39&amp;")","")</f>
        <v/>
      </c>
      <c r="AF38" s="277" t="str">
        <f t="array" ref="AF38">_xlfn.IFNA(INDEX($AE$6:$AE$66,MATCH(0,COUNTIF($AF$4:AF37,$AE$6:$AE$66),0),1),"")</f>
        <v/>
      </c>
      <c r="AG38" s="277" t="str">
        <f>IF(AND('1.4 Analyse &amp; Synthese'!U39=1,'1.4 Analyse &amp; Synthese'!F39="Methode"),'1.4 Analyse &amp; Synthese'!I39&amp;CHAR(13)&amp;"("&amp;'(Codierung)'!$C$3&amp;" - "&amp;'1.4 Analyse &amp; Synthese'!C39&amp;")","")</f>
        <v/>
      </c>
      <c r="AH38" s="277" t="str">
        <f t="array" ref="AH38">_xlfn.IFNA(INDEX($AG$6:$AG$66,MATCH(0,COUNTIF($AH$4:AH37,$AG$6:$AG$66),0),1),"")</f>
        <v/>
      </c>
      <c r="AI38" s="277" t="str">
        <f>IF(AND('1.4 Analyse &amp; Synthese'!U39=1,'1.4 Analyse &amp; Synthese'!F39="Werkzeug"),'1.4 Analyse &amp; Synthese'!I39&amp;CHAR(13)&amp;"("&amp;'(Codierung)'!$C$4&amp;" - "&amp;'1.4 Analyse &amp; Synthese'!C39&amp;")","")</f>
        <v/>
      </c>
      <c r="AJ38" s="277" t="str">
        <f t="array" ref="AJ38">_xlfn.IFNA(INDEX($AI$6:$AI$66,MATCH(0,COUNTIF($AJ$4:AJ37,$AI$6:$AI$66),0),1),"")</f>
        <v/>
      </c>
      <c r="AL38" s="277" t="str">
        <f>IF(AND('1.4 Analyse &amp; Synthese'!V39=1,'1.4 Analyse &amp; Synthese'!F39="Empfehlung"),'1.4 Analyse &amp; Synthese'!I39&amp;CHAR(13)&amp;"("&amp;'(Codierung)'!$C$2&amp;" - "&amp;'1.4 Analyse &amp; Synthese'!C39&amp;")","")</f>
        <v/>
      </c>
      <c r="AM38" s="277" t="str">
        <f t="array" ref="AM38">_xlfn.IFNA(INDEX($AL$6:$AL$66,MATCH(0,COUNTIF($AM$4:AM37,$AL$6:$AL$66),0),1),"")</f>
        <v/>
      </c>
      <c r="AN38" s="277" t="str">
        <f>IF(AND('1.4 Analyse &amp; Synthese'!V39=1,'1.4 Analyse &amp; Synthese'!F39="Methode"),'1.4 Analyse &amp; Synthese'!I39&amp;CHAR(13)&amp;"("&amp;'(Codierung)'!$C$3&amp;" - "&amp;'1.4 Analyse &amp; Synthese'!C39&amp;")","")</f>
        <v/>
      </c>
      <c r="AO38" s="277" t="str">
        <f t="array" ref="AO38">_xlfn.IFNA(INDEX($AN$6:$AN$66,MATCH(0,COUNTIF($AO$4:AO37,$AN$6:$AN$66),0),1),"")</f>
        <v/>
      </c>
      <c r="AP38" s="277" t="str">
        <f>IF(AND('1.4 Analyse &amp; Synthese'!V39=1,'1.4 Analyse &amp; Synthese'!F39="Werkzeug"),'1.4 Analyse &amp; Synthese'!I39&amp;CHAR(13)&amp;"("&amp;'(Codierung)'!$C$4&amp;" - "&amp;'1.4 Analyse &amp; Synthese'!C39&amp;")","")</f>
        <v/>
      </c>
      <c r="AQ38" s="277" t="str">
        <f t="array" ref="AQ38">_xlfn.IFNA(INDEX($AP$6:$AP$66,MATCH(0,COUNTIF($AQ$4:AQ37,$AP$6:$AP$66),0),1),"")</f>
        <v/>
      </c>
      <c r="AS38" s="277" t="str">
        <f>IF(AND('1.4 Analyse &amp; Synthese'!W39=1,'1.4 Analyse &amp; Synthese'!F39="Empfehlung"),'1.4 Analyse &amp; Synthese'!I39&amp;CHAR(13)&amp;"("&amp;'(Codierung)'!$C$2&amp;" - "&amp;'1.4 Analyse &amp; Synthese'!C39&amp;")","")</f>
        <v/>
      </c>
      <c r="AT38" s="277" t="str">
        <f t="array" ref="AT38">_xlfn.IFNA(INDEX($AS$6:$AS$66,MATCH(0,COUNTIF($AT$4:AT37,$AS$6:$AS$66),0),1),"")</f>
        <v/>
      </c>
      <c r="AU38" s="277" t="str">
        <f>IF(AND('1.4 Analyse &amp; Synthese'!W39=1,'1.4 Analyse &amp; Synthese'!F39="Methode"),'1.4 Analyse &amp; Synthese'!I39&amp;CHAR(13)&amp;"("&amp;'(Codierung)'!$C$3&amp;" - "&amp;'1.4 Analyse &amp; Synthese'!C39&amp;")","")</f>
        <v/>
      </c>
      <c r="AV38" s="277" t="str">
        <f t="array" ref="AV38">_xlfn.IFNA(INDEX($AU$6:$AU$66,MATCH(0,COUNTIF($AV$4:AV37,$AU$6:$AU$66),0),1),"")</f>
        <v/>
      </c>
      <c r="AW38" s="277" t="str">
        <f>IF(AND('1.4 Analyse &amp; Synthese'!W39=1,'1.4 Analyse &amp; Synthese'!F39="Werkzeug"),'1.4 Analyse &amp; Synthese'!I39&amp;CHAR(13)&amp;"("&amp;'(Codierung)'!$C$4&amp;" - "&amp;'1.4 Analyse &amp; Synthese'!C39&amp;")","")</f>
        <v/>
      </c>
      <c r="AX38" s="277" t="str">
        <f t="array" ref="AX38">_xlfn.IFNA(INDEX($AW$6:$AW$66,MATCH(0,COUNTIF($AX$4:AX37,$AW$6:$AW$66),0),1),"")</f>
        <v/>
      </c>
      <c r="AZ38" s="277" t="str">
        <f>IF(AND('1.4 Analyse &amp; Synthese'!X39=1,'1.4 Analyse &amp; Synthese'!F39="Empfehlung"),'1.4 Analyse &amp; Synthese'!I39&amp;CHAR(13)&amp;"("&amp;'(Codierung)'!$C$2&amp;" - "&amp;'1.4 Analyse &amp; Synthese'!C39&amp;")","")</f>
        <v/>
      </c>
      <c r="BA38" s="277" t="str">
        <f t="array" ref="BA38">_xlfn.IFNA(INDEX($AZ$6:$AZ$66,MATCH(0,COUNTIF($BA$4:BA37,$AZ$6:$AZ$66),0),1),"")</f>
        <v/>
      </c>
      <c r="BB38" s="277" t="str">
        <f>IF(AND('1.4 Analyse &amp; Synthese'!X39=1,'1.4 Analyse &amp; Synthese'!F39="Methode"),'1.4 Analyse &amp; Synthese'!I39&amp;CHAR(13)&amp;"("&amp;'(Codierung)'!$C$3&amp;" - "&amp;'1.4 Analyse &amp; Synthese'!C39&amp;")","")</f>
        <v/>
      </c>
      <c r="BC38" s="277" t="str">
        <f t="array" ref="BC38">_xlfn.IFNA(INDEX($BB$6:$BB$66,MATCH(0,COUNTIF($BC$4:BC37,$BB$6:$BB$66),0),1),"")</f>
        <v/>
      </c>
      <c r="BD38" s="277" t="str">
        <f>IF(AND('1.4 Analyse &amp; Synthese'!X39=1,'1.4 Analyse &amp; Synthese'!F39="Werkzeug"),'1.4 Analyse &amp; Synthese'!I39&amp;CHAR(13)&amp;"("&amp;'(Codierung)'!$C$4&amp;" - "&amp;'1.4 Analyse &amp; Synthese'!C39&amp;")","")</f>
        <v/>
      </c>
      <c r="BE38" s="277" t="str">
        <f t="array" ref="BE38">_xlfn.IFNA(INDEX($BD$6:$BD$66,MATCH(0,COUNTIF($BE$4:BE37,$BD$6:$BD$66),0),1),"")</f>
        <v/>
      </c>
      <c r="BG38" s="277" t="str">
        <f>IF(AND('1.4 Analyse &amp; Synthese'!Y39=1,'1.4 Analyse &amp; Synthese'!F39="Empfehlung"),'1.4 Analyse &amp; Synthese'!I39&amp;CHAR(13)&amp;"("&amp;'(Codierung)'!$C$2&amp;" - "&amp;'1.4 Analyse &amp; Synthese'!C39&amp;")","")</f>
        <v/>
      </c>
      <c r="BH38" s="277" t="str">
        <f t="array" ref="BH38">_xlfn.IFNA(INDEX($BG$6:$BG$66,MATCH(0,COUNTIF($BH$4:BH37,$BG$6:$BG$66),0),1),"")</f>
        <v/>
      </c>
      <c r="BI38" s="277" t="str">
        <f>IF(AND('1.4 Analyse &amp; Synthese'!Y39=1,'1.4 Analyse &amp; Synthese'!F39="Methode"),'1.4 Analyse &amp; Synthese'!I39&amp;CHAR(13)&amp;"("&amp;'(Codierung)'!$C$3&amp;" - "&amp;'1.4 Analyse &amp; Synthese'!C39&amp;")","")</f>
        <v/>
      </c>
      <c r="BJ38" s="277" t="str">
        <f t="array" ref="BJ38">_xlfn.IFNA(INDEX($BI$6:$BI$66,MATCH(0,COUNTIF($BJ$4:BJ37,$BI$6:$BI$66),0),1),"")</f>
        <v/>
      </c>
      <c r="BK38" s="277" t="str">
        <f>IF(AND('1.4 Analyse &amp; Synthese'!Y39=1,'1.4 Analyse &amp; Synthese'!F39="Werkzeug"),'1.4 Analyse &amp; Synthese'!I39&amp;CHAR(13)&amp;"("&amp;'(Codierung)'!$C$4&amp;" - "&amp;'1.4 Analyse &amp; Synthese'!C39&amp;")","")</f>
        <v/>
      </c>
      <c r="BL38" s="277" t="str">
        <f t="array" ref="BL38">_xlfn.IFNA(INDEX($BK$6:$BK$66,MATCH(0,COUNTIF($BL$4:BL37,$BK$6:$BK$66),0),1),"")</f>
        <v/>
      </c>
      <c r="BN38" s="277" t="str">
        <f>IF(AND('1.4 Analyse &amp; Synthese'!Z39=1,'1.4 Analyse &amp; Synthese'!F39="Empfehlung"),'1.4 Analyse &amp; Synthese'!I39&amp;CHAR(13)&amp;"("&amp;'(Codierung)'!$C$2&amp;" - "&amp;'1.4 Analyse &amp; Synthese'!C39&amp;")","")</f>
        <v/>
      </c>
      <c r="BO38" s="277" t="str">
        <f t="array" ref="BO38">_xlfn.IFNA(INDEX($BN$6:$BN$66,MATCH(0,COUNTIF($BO$4:BO37,$BN$6:$BN$66),0),1),"")</f>
        <v/>
      </c>
      <c r="BP38" s="277" t="str">
        <f>IF(AND('1.4 Analyse &amp; Synthese'!Z39=1,'1.4 Analyse &amp; Synthese'!F39="Methode"),'1.4 Analyse &amp; Synthese'!I39&amp;CHAR(13)&amp;"("&amp;'(Codierung)'!$C$3&amp;" - "&amp;'1.4 Analyse &amp; Synthese'!C39&amp;")","")</f>
        <v/>
      </c>
      <c r="BQ38" s="277" t="str">
        <f t="array" ref="BQ38">_xlfn.IFNA(INDEX($BP$6:$BP$66,MATCH(0,COUNTIF($BQ$4:BQ37,$BP$6:$BP$66),0),1),"")</f>
        <v/>
      </c>
      <c r="BR38" s="277" t="str">
        <f>IF(AND('1.4 Analyse &amp; Synthese'!Z39=1,'1.4 Analyse &amp; Synthese'!F39="Werkzeug"),'1.4 Analyse &amp; Synthese'!I39&amp;CHAR(13)&amp;"("&amp;'(Codierung)'!$C$4&amp;" - "&amp;'1.4 Analyse &amp; Synthese'!C39&amp;")","")</f>
        <v/>
      </c>
      <c r="BS38" s="277" t="str">
        <f t="array" ref="BS38">_xlfn.IFNA(INDEX($BR$6:$BR$66,MATCH(0,COUNTIF($BS$4:BS37,$BR$6:$BR$66),0),1),"")</f>
        <v/>
      </c>
      <c r="BU38" s="277" t="str">
        <f>IF(AND('1.4 Analyse &amp; Synthese'!AA39=1,'1.4 Analyse &amp; Synthese'!F39="Empfehlung"),'1.4 Analyse &amp; Synthese'!I39&amp;CHAR(13)&amp;"("&amp;'(Codierung)'!$C$2&amp;" - "&amp;'1.4 Analyse &amp; Synthese'!C39&amp;")","")</f>
        <v/>
      </c>
      <c r="BV38" s="277" t="str">
        <f t="array" ref="BV38">_xlfn.IFNA(INDEX($BU$6:$BU$66,MATCH(0,COUNTIF($BV$4:BV37,$BU$6:$BU$66),0),1),"")</f>
        <v/>
      </c>
      <c r="BW38" s="277" t="str">
        <f>IF(AND('1.4 Analyse &amp; Synthese'!AA39=1,'1.4 Analyse &amp; Synthese'!F39="Methode"),'1.4 Analyse &amp; Synthese'!I39&amp;CHAR(13)&amp;"("&amp;'(Codierung)'!$C$3&amp;" - "&amp;'1.4 Analyse &amp; Synthese'!C39&amp;")","")</f>
        <v/>
      </c>
      <c r="BX38" s="277" t="str">
        <f t="array" ref="BX38">_xlfn.IFNA(INDEX($BW$6:$BW$66,MATCH(0,COUNTIF($BX$4:BX37,$BW$6:$BW$66),0),1),"")</f>
        <v/>
      </c>
      <c r="BY38" s="277" t="str">
        <f>IF(AND('1.4 Analyse &amp; Synthese'!AA39=1,'1.4 Analyse &amp; Synthese'!F39="Werkzeug"),'1.4 Analyse &amp; Synthese'!I39&amp;CHAR(13)&amp;"("&amp;'(Codierung)'!$C$4&amp;" - "&amp;'1.4 Analyse &amp; Synthese'!C39&amp;")","")</f>
        <v/>
      </c>
      <c r="BZ38" s="277" t="str">
        <f t="array" ref="BZ38">_xlfn.IFNA(INDEX($BY$6:$BY$66,MATCH(0,COUNTIF($BZ$4:BZ37,$BY$6:$BY$66),0),1),"")</f>
        <v/>
      </c>
      <c r="CB38" s="277" t="str">
        <f>IF(AND('1.4 Analyse &amp; Synthese'!AB39=1,'1.4 Analyse &amp; Synthese'!F39="Empfehlung"),'1.4 Analyse &amp; Synthese'!I39&amp;CHAR(13)&amp;"("&amp;'(Codierung)'!$C$2&amp;" - "&amp;'1.4 Analyse &amp; Synthese'!C39&amp;")","")</f>
        <v/>
      </c>
      <c r="CC38" s="277" t="str">
        <f t="array" ref="CC38">_xlfn.IFNA(INDEX($CB$6:$CB$66,MATCH(0,COUNTIF($CC$4:CC37,$CB$6:$CB$66),0),1),"")</f>
        <v/>
      </c>
      <c r="CD38" s="277" t="str">
        <f>IF(AND('1.4 Analyse &amp; Synthese'!AB39=1,'1.4 Analyse &amp; Synthese'!F39="Methode"),'1.4 Analyse &amp; Synthese'!I39&amp;CHAR(13)&amp;"("&amp;'(Codierung)'!$C$3&amp;" - "&amp;'1.4 Analyse &amp; Synthese'!C39&amp;")","")</f>
        <v/>
      </c>
      <c r="CE38" s="277" t="str">
        <f t="array" ref="CE38">_xlfn.IFNA(INDEX($CD$6:$CD$66,MATCH(0,COUNTIF($CE$4:CE37,$CD$6:$CD$66),0),1),"")</f>
        <v/>
      </c>
      <c r="CF38" s="277" t="str">
        <f>IF(AND('1.4 Analyse &amp; Synthese'!AB39=1,'1.4 Analyse &amp; Synthese'!F39="Werkzeug"),'1.4 Analyse &amp; Synthese'!I39&amp;CHAR(13)&amp;"("&amp;'(Codierung)'!$C$4&amp;" - "&amp;'1.4 Analyse &amp; Synthese'!C39&amp;")","")</f>
        <v/>
      </c>
      <c r="CG38" s="277" t="str">
        <f t="array" ref="CG38">_xlfn.IFNA(INDEX($CF$6:$CF$66,MATCH(0,COUNTIF($CG$4:CG37,$CF$6:$CF$66),0),1),"")</f>
        <v/>
      </c>
      <c r="CI38" s="277" t="str">
        <f>IF(AND('1.4 Analyse &amp; Synthese'!AC39=1,'1.4 Analyse &amp; Synthese'!F39="Empfehlung"),'1.4 Analyse &amp; Synthese'!I39&amp;CHAR(13)&amp;"("&amp;'(Codierung)'!$C$2&amp;" - "&amp;'1.4 Analyse &amp; Synthese'!C39&amp;")","")</f>
        <v/>
      </c>
      <c r="CJ38" s="277" t="str">
        <f t="array" ref="CJ38">_xlfn.IFNA(INDEX($CI$6:$CI$66,MATCH(0,COUNTIF($CJ$4:CJ37,$CI$6:$CI$66),0),1),"")</f>
        <v/>
      </c>
      <c r="CK38" s="277" t="str">
        <f>IF(AND('1.4 Analyse &amp; Synthese'!AC39=1,'1.4 Analyse &amp; Synthese'!F39="Methode"),'1.4 Analyse &amp; Synthese'!I39&amp;CHAR(13)&amp;"("&amp;'(Codierung)'!$C$3&amp;" - "&amp;'1.4 Analyse &amp; Synthese'!C39&amp;")","")</f>
        <v/>
      </c>
      <c r="CL38" s="277" t="str">
        <f t="array" ref="CL38">_xlfn.IFNA(INDEX($CK$6:$CK$66,MATCH(0,COUNTIF($CL$4:CL37,$CK$6:$CK$66),0),1),"")</f>
        <v/>
      </c>
      <c r="CM38" s="277" t="str">
        <f>IF(AND('1.4 Analyse &amp; Synthese'!AC39=1,'1.4 Analyse &amp; Synthese'!F39="Werkzeug"),'1.4 Analyse &amp; Synthese'!I39&amp;CHAR(13)&amp;"("&amp;'(Codierung)'!$C$4&amp;" - "&amp;'1.4 Analyse &amp; Synthese'!C39&amp;")","")</f>
        <v/>
      </c>
      <c r="CN38" s="277" t="str">
        <f t="array" ref="CN38">_xlfn.IFNA(INDEX($CM$6:$CM$66,MATCH(0,COUNTIF($CN$4:CN37,$CM$6:$CM$66),0),1),"")</f>
        <v/>
      </c>
      <c r="CP38" s="277" t="str">
        <f>IF(AND('1.4 Analyse &amp; Synthese'!AD39=1,'1.4 Analyse &amp; Synthese'!F39="Empfehlung"),'1.4 Analyse &amp; Synthese'!I39&amp;CHAR(13)&amp;"("&amp;'(Codierung)'!$C$2&amp;" - "&amp;'1.4 Analyse &amp; Synthese'!C39&amp;")","")</f>
        <v/>
      </c>
      <c r="CQ38" s="277" t="str">
        <f t="array" ref="CQ38">_xlfn.IFNA(INDEX($CP$6:$CP$66,MATCH(0,COUNTIF($CQ$4:CQ37,$CP$6:$CP$66),0),1),"")</f>
        <v/>
      </c>
      <c r="CR38" s="277" t="str">
        <f>IF(AND('1.4 Analyse &amp; Synthese'!AD39=1,'1.4 Analyse &amp; Synthese'!F39="Methode"),'1.4 Analyse &amp; Synthese'!I39&amp;CHAR(13)&amp;"("&amp;'(Codierung)'!$C$3&amp;" - "&amp;'1.4 Analyse &amp; Synthese'!C39&amp;")","")</f>
        <v/>
      </c>
      <c r="CS38" s="277" t="str">
        <f t="array" ref="CS38">_xlfn.IFNA(INDEX($CR$6:$CR$66,MATCH(0,COUNTIF($CS$4:CS37,$CR$6:$CR$66),0),1),"")</f>
        <v/>
      </c>
      <c r="CT38" s="277" t="str">
        <f>IF(AND('1.4 Analyse &amp; Synthese'!AD39=1,'1.4 Analyse &amp; Synthese'!F39="Werkzeug"),'1.4 Analyse &amp; Synthese'!I39&amp;CHAR(13)&amp;"("&amp;'(Codierung)'!$C$4&amp;" - "&amp;'1.4 Analyse &amp; Synthese'!C39&amp;")","")</f>
        <v/>
      </c>
      <c r="CU38" s="277" t="str">
        <f t="array" ref="CU38">_xlfn.IFNA(INDEX($CT$6:$CT$66,MATCH(0,COUNTIF($CU$4:CU37,$CT$6:$CT$66),0),1),"")</f>
        <v/>
      </c>
      <c r="CW38" s="277" t="str">
        <f>IF(AND('1.4 Analyse &amp; Synthese'!AE39=1,'1.4 Analyse &amp; Synthese'!F39="Empfehlung"),'1.4 Analyse &amp; Synthese'!I39&amp;CHAR(13)&amp;"("&amp;'(Codierung)'!$C$2&amp;" - "&amp;'1.4 Analyse &amp; Synthese'!C39&amp;")","")</f>
        <v/>
      </c>
      <c r="CX38" s="277" t="str">
        <f t="array" ref="CX38">_xlfn.IFNA(INDEX($CW$6:$CW$66,MATCH(0,COUNTIF($CX$4:CX37,$CW$6:$CW$66),0),1),"")</f>
        <v/>
      </c>
      <c r="CY38" s="277" t="str">
        <f>IF(AND('1.4 Analyse &amp; Synthese'!AE39=1,'1.4 Analyse &amp; Synthese'!F39="Methode"),'1.4 Analyse &amp; Synthese'!I39&amp;CHAR(13)&amp;"("&amp;'(Codierung)'!$C$3&amp;" - "&amp;'1.4 Analyse &amp; Synthese'!C39&amp;")","")</f>
        <v/>
      </c>
      <c r="CZ38" s="277" t="str">
        <f t="array" ref="CZ38">_xlfn.IFNA(INDEX($CY$6:$CY$66,MATCH(0,COUNTIF($CZ$4:CZ37,$CY$6:$CY$66),0),1),"")</f>
        <v/>
      </c>
      <c r="DA38" s="277" t="str">
        <f>IF(AND('1.4 Analyse &amp; Synthese'!AE39=1,'1.4 Analyse &amp; Synthese'!F39="Werkzeug"),'1.4 Analyse &amp; Synthese'!I39&amp;CHAR(13)&amp;"("&amp;'(Codierung)'!$C$4&amp;" - "&amp;'1.4 Analyse &amp; Synthese'!C39&amp;")","")</f>
        <v/>
      </c>
      <c r="DB38" s="277" t="str">
        <f t="array" ref="DB38">_xlfn.IFNA(INDEX($DA$6:$DA$66,MATCH(0,COUNTIF($DB$4:DB37,$DA$6:$DA$66),0),1),"")</f>
        <v/>
      </c>
      <c r="DD38" s="277" t="str">
        <f>IF(AND('1.4 Analyse &amp; Synthese'!AF39=1,'1.4 Analyse &amp; Synthese'!F39="Empfehlung"),'1.4 Analyse &amp; Synthese'!I39&amp;CHAR(13)&amp;"("&amp;'(Codierung)'!$C$2&amp;" - "&amp;'1.4 Analyse &amp; Synthese'!C39&amp;")","")</f>
        <v>Monitoring System_x000D_(Empfehlung - Stefano)</v>
      </c>
      <c r="DE38" s="277" t="str">
        <f t="array" ref="DE38">_xlfn.IFNA(INDEX($DD$6:$DD$66,MATCH(0,COUNTIF($DE$4:DE37,$DD$6:$DD$66),0),1),"")</f>
        <v/>
      </c>
      <c r="DF38" s="277" t="str">
        <f>IF(AND('1.4 Analyse &amp; Synthese'!AF39=1,'1.4 Analyse &amp; Synthese'!F39="Methode"),'1.4 Analyse &amp; Synthese'!I39&amp;CHAR(13)&amp;"("&amp;'(Codierung)'!$C$3&amp;" - "&amp;'1.4 Analyse &amp; Synthese'!C39&amp;")","")</f>
        <v/>
      </c>
      <c r="DG38" s="277" t="str">
        <f t="array" ref="DG38">_xlfn.IFNA(INDEX($DF$6:$DF$66,MATCH(0,COUNTIF($DG$4:DG37,$DF$6:$DF$66),0),1),"")</f>
        <v/>
      </c>
      <c r="DH38" s="277" t="str">
        <f>IF(AND('1.4 Analyse &amp; Synthese'!AF39=1,'1.4 Analyse &amp; Synthese'!F39="Werkzeug"),'1.4 Analyse &amp; Synthese'!I39&amp;CHAR(13)&amp;"("&amp;'(Codierung)'!$C$4&amp;" - "&amp;'1.4 Analyse &amp; Synthese'!C39&amp;")","")</f>
        <v/>
      </c>
      <c r="DI38" s="277" t="str">
        <f t="array" ref="DI38">_xlfn.IFNA(INDEX($DH$6:$DH$66,MATCH(0,COUNTIF($DI$4:DI37,$DH$6:$DH$66),0),1),"")</f>
        <v/>
      </c>
      <c r="DK38" s="277" t="str">
        <f>IF(AND('1.4 Analyse &amp; Synthese'!AG39=1,'1.4 Analyse &amp; Synthese'!F39="Empfehlung"),'1.4 Analyse &amp; Synthese'!I39&amp;CHAR(13)&amp;"("&amp;'(Codierung)'!$C$2&amp;" - "&amp;'1.4 Analyse &amp; Synthese'!C39&amp;")","")</f>
        <v>Monitoring System_x000D_(Empfehlung - Stefano)</v>
      </c>
      <c r="DL38" s="277" t="str">
        <f t="array" ref="DL38">_xlfn.IFNA(INDEX($DK$6:$DK$66,MATCH(0,COUNTIF($DL$4:DL37,$DK$6:$DK$66),0),1),"")</f>
        <v/>
      </c>
      <c r="DM38" s="277" t="str">
        <f>IF(AND('1.4 Analyse &amp; Synthese'!AG39=1,'1.4 Analyse &amp; Synthese'!F39="Methode"),'1.4 Analyse &amp; Synthese'!I39&amp;CHAR(13)&amp;"("&amp;'(Codierung)'!$C$3&amp;" - "&amp;'1.4 Analyse &amp; Synthese'!C39&amp;")","")</f>
        <v/>
      </c>
      <c r="DN38" s="277" t="str">
        <f t="array" ref="DN38">_xlfn.IFNA(INDEX($DM$6:$DM$66,MATCH(0,COUNTIF($DN$4:DN37,$DM$6:$DM$66),0),1),"")</f>
        <v/>
      </c>
      <c r="DO38" s="277" t="str">
        <f>IF(AND('1.4 Analyse &amp; Synthese'!AG39=1,'1.4 Analyse &amp; Synthese'!F39="Werkzeug"),'1.4 Analyse &amp; Synthese'!I39&amp;CHAR(13)&amp;"("&amp;'(Codierung)'!$C$4&amp;" - "&amp;'1.4 Analyse &amp; Synthese'!C39&amp;")","")</f>
        <v/>
      </c>
      <c r="DP38" s="277" t="str">
        <f t="array" ref="DP38">_xlfn.IFNA(INDEX($DO$6:$DO$66,MATCH(0,COUNTIF($DP$4:DP37,$DO$6:$DO$66),0),1),"")</f>
        <v/>
      </c>
      <c r="DR38" s="277" t="str">
        <f>IF(AND('1.4 Analyse &amp; Synthese'!AH39=1,'1.4 Analyse &amp; Synthese'!F39="Empfehlung"),'1.4 Analyse &amp; Synthese'!I39&amp;CHAR(13)&amp;"("&amp;'(Codierung)'!$C$2&amp;" - "&amp;'1.4 Analyse &amp; Synthese'!C39&amp;")","")</f>
        <v/>
      </c>
      <c r="DS38" s="277" t="str">
        <f t="array" ref="DS38">_xlfn.IFNA(INDEX($DR$6:$DR$66,MATCH(0,COUNTIF($DS$4:DS37,$DR$6:$DR$66),0),1),"")</f>
        <v/>
      </c>
      <c r="DT38" s="277" t="str">
        <f>IF(AND('1.4 Analyse &amp; Synthese'!AH39=1,'1.4 Analyse &amp; Synthese'!F39="Methode"),'1.4 Analyse &amp; Synthese'!I39&amp;CHAR(13)&amp;"("&amp;'(Codierung)'!$C$3&amp;" - "&amp;'1.4 Analyse &amp; Synthese'!C39&amp;")","")</f>
        <v/>
      </c>
      <c r="DU38" s="277" t="str">
        <f t="array" ref="DU38">_xlfn.IFNA(INDEX($DT$6:$DT$66,MATCH(0,COUNTIF($DU$4:DU37,$DT$6:$DT$66),0),1),"")</f>
        <v/>
      </c>
      <c r="DV38" s="277" t="str">
        <f>IF(AND('1.4 Analyse &amp; Synthese'!AH39=1,'1.4 Analyse &amp; Synthese'!F39="Werkzeug"),'1.4 Analyse &amp; Synthese'!I39&amp;CHAR(13)&amp;"("&amp;'(Codierung)'!$C$4&amp;" - "&amp;'1.4 Analyse &amp; Synthese'!C39&amp;")","")</f>
        <v/>
      </c>
      <c r="DW38" s="277" t="str">
        <f t="array" ref="DW38">_xlfn.IFNA(INDEX($DV$6:$DV$66,MATCH(0,COUNTIF($DW$4:DW37,$DV$6:$DV$66),0),1),"")</f>
        <v/>
      </c>
      <c r="DY38" s="277" t="str">
        <f>IF(AND('1.4 Analyse &amp; Synthese'!AI39=1,'1.4 Analyse &amp; Synthese'!F39="Empfehlung"),'1.4 Analyse &amp; Synthese'!I39&amp;CHAR(13)&amp;"("&amp;'(Codierung)'!$C$2&amp;" - "&amp;'1.4 Analyse &amp; Synthese'!C39&amp;")","")</f>
        <v>Monitoring System_x000D_(Empfehlung - Stefano)</v>
      </c>
      <c r="DZ38" s="277" t="str">
        <f t="array" ref="DZ38">_xlfn.IFNA(INDEX($DY$6:$DY$66,MATCH(0,COUNTIF($DZ$4:DZ37,$DY$6:$DY$66),0),1),"")</f>
        <v/>
      </c>
      <c r="EA38" s="277" t="str">
        <f>IF(AND('1.4 Analyse &amp; Synthese'!AI39=1,'1.4 Analyse &amp; Synthese'!F39="Methode"),'1.4 Analyse &amp; Synthese'!I39&amp;CHAR(13)&amp;"("&amp;'(Codierung)'!$C$3&amp;" - "&amp;'1.4 Analyse &amp; Synthese'!C39&amp;")","")</f>
        <v/>
      </c>
      <c r="EB38" s="277" t="str">
        <f t="array" ref="EB38">_xlfn.IFNA(INDEX($EA$6:$EA$66,MATCH(0,COUNTIF($EB$4:EB37,$EA$6:$EA$66),0),1),"")</f>
        <v/>
      </c>
      <c r="EC38" s="277" t="str">
        <f>IF(AND('1.4 Analyse &amp; Synthese'!AI39=1,'1.4 Analyse &amp; Synthese'!F39="Werkzeug"),'1.4 Analyse &amp; Synthese'!I39&amp;CHAR(13)&amp;"("&amp;'(Codierung)'!$C$4&amp;" - "&amp;'1.4 Analyse &amp; Synthese'!C39&amp;")","")</f>
        <v/>
      </c>
      <c r="ED38" s="277" t="str">
        <f t="array" ref="ED38">_xlfn.IFNA(INDEX($EC$6:$EC$66,MATCH(0,COUNTIF($ED$4:ED37,$EC$6:$EC$66),0),1),"")</f>
        <v/>
      </c>
      <c r="EF38" s="277" t="str">
        <f>IF(AND('1.4 Analyse &amp; Synthese'!AJ39=1,'1.4 Analyse &amp; Synthese'!F39="Empfehlung"),'1.4 Analyse &amp; Synthese'!I39&amp;CHAR(13)&amp;"("&amp;'(Codierung)'!$C$2&amp;" - "&amp;'1.4 Analyse &amp; Synthese'!C39&amp;")","")</f>
        <v/>
      </c>
      <c r="EG38" s="277" t="str">
        <f t="array" ref="EG38">_xlfn.IFNA(INDEX($EF$6:$EF$66,MATCH(0,COUNTIF($EG$4:EG37,$EF$6:$EF$66),0),1),"")</f>
        <v/>
      </c>
      <c r="EH38" s="277" t="str">
        <f>IF(AND('1.4 Analyse &amp; Synthese'!AJ39=1,'1.4 Analyse &amp; Synthese'!F39="Methode"),'1.4 Analyse &amp; Synthese'!I39&amp;CHAR(13)&amp;"("&amp;'(Codierung)'!$C$3&amp;" - "&amp;'1.4 Analyse &amp; Synthese'!C39&amp;")","")</f>
        <v/>
      </c>
      <c r="EI38" s="277" t="str">
        <f t="array" ref="EI38">_xlfn.IFNA(INDEX($EH$6:$EH$66,MATCH(0,COUNTIF($EI$4:EI37,$EH$6:$EH$66),0),1),"")</f>
        <v/>
      </c>
      <c r="EJ38" s="277" t="str">
        <f>IF(AND('1.4 Analyse &amp; Synthese'!AJ39=1,'1.4 Analyse &amp; Synthese'!F39="Werkzeug"),'1.4 Analyse &amp; Synthese'!I39&amp;CHAR(13)&amp;"("&amp;'(Codierung)'!$C$4&amp;" - "&amp;'1.4 Analyse &amp; Synthese'!C39&amp;")","")</f>
        <v/>
      </c>
      <c r="EK38" s="277" t="str">
        <f t="array" ref="EK38">_xlfn.IFNA(INDEX($EJ$6:$EJ$66,MATCH(0,COUNTIF($EK$4:EK37,$EJ$6:$EJ$66),0),1),"")</f>
        <v/>
      </c>
      <c r="EN38" s="222" t="str">
        <f t="shared" si="0"/>
        <v/>
      </c>
      <c r="EO38" s="277" t="str">
        <f t="shared" si="1"/>
        <v/>
      </c>
      <c r="EP38" s="277" t="str">
        <f t="shared" si="2"/>
        <v/>
      </c>
      <c r="EQ38" s="277" t="str">
        <f>ZahlenInBereich(Tabelle1[[Empfehlung]:[Werkzeug]],ROW()-5)</f>
        <v/>
      </c>
      <c r="ER38" s="277" t="str">
        <f t="shared" si="3"/>
        <v/>
      </c>
      <c r="ES38" s="277" t="str">
        <f t="shared" si="4"/>
        <v/>
      </c>
      <c r="ET38" s="277" t="str">
        <f t="shared" si="5"/>
        <v/>
      </c>
      <c r="EU38" s="277" t="str">
        <f>ZahlenInBereich(Tabelle1[[Empfehlung2]:[Werkzeug4]],ROW()-5)</f>
        <v/>
      </c>
      <c r="EV38" s="277" t="str">
        <f t="shared" si="6"/>
        <v/>
      </c>
      <c r="EW38" s="277" t="str">
        <f t="shared" si="7"/>
        <v/>
      </c>
      <c r="EX38" s="277" t="str">
        <f t="shared" si="8"/>
        <v/>
      </c>
      <c r="EY38" s="277" t="str">
        <f>ZahlenInBereich(Tabelle1[[Empfehlung6]:[Werkzeug8]],ROW()-5)</f>
        <v/>
      </c>
      <c r="EZ38" s="277" t="str">
        <f t="shared" si="9"/>
        <v/>
      </c>
      <c r="FA38" s="277" t="str">
        <f t="shared" si="10"/>
        <v/>
      </c>
      <c r="FB38" s="277" t="str">
        <f t="shared" si="11"/>
        <v/>
      </c>
      <c r="FC38" s="277" t="str">
        <f>ZahlenInBereich(Tabelle1[[Empfehlung10]:[Werkzeug12]],ROW()-5)</f>
        <v/>
      </c>
      <c r="FD38" s="277" t="str">
        <f t="shared" si="12"/>
        <v/>
      </c>
      <c r="FE38" s="277" t="str">
        <f t="shared" si="13"/>
        <v/>
      </c>
      <c r="FF38" s="277" t="str">
        <f t="shared" si="14"/>
        <v/>
      </c>
      <c r="FG38" s="277" t="str">
        <f>ZahlenInBereich(Tabelle1[[Empfehlung14]:[Werkzeug16]],ROW()-5)</f>
        <v/>
      </c>
      <c r="FH38" s="277" t="str">
        <f t="shared" si="15"/>
        <v/>
      </c>
      <c r="FI38" s="277" t="str">
        <f t="shared" si="16"/>
        <v/>
      </c>
      <c r="FJ38" s="277" t="str">
        <f t="shared" si="17"/>
        <v/>
      </c>
      <c r="FK38" s="277" t="str">
        <f>ZahlenInBereich(Tabelle1[[Empfehlung18]:[Werkzeug20]],ROW()-5)</f>
        <v/>
      </c>
      <c r="FL38" s="277" t="str">
        <f t="shared" si="18"/>
        <v/>
      </c>
      <c r="FM38" s="277" t="str">
        <f t="shared" si="19"/>
        <v/>
      </c>
      <c r="FN38" s="277" t="str">
        <f t="shared" si="20"/>
        <v/>
      </c>
      <c r="FO38" s="277" t="str">
        <f>ZahlenInBereich(Tabelle1[[Empfehlung22]:[Werkzeug24]],ROW()-5)</f>
        <v/>
      </c>
      <c r="FP38" s="277" t="str">
        <f t="shared" si="21"/>
        <v/>
      </c>
      <c r="FQ38" s="277" t="str">
        <f t="shared" si="22"/>
        <v/>
      </c>
      <c r="FR38" s="277" t="str">
        <f t="shared" si="23"/>
        <v/>
      </c>
      <c r="FS38" s="277" t="str">
        <f>ZahlenInBereich(Tabelle1[[Empfehlung26]:[Werkzeug28]],ROW()-5)</f>
        <v/>
      </c>
      <c r="FT38" s="277" t="str">
        <f t="shared" si="24"/>
        <v/>
      </c>
      <c r="FU38" s="277" t="str">
        <f t="shared" si="25"/>
        <v/>
      </c>
      <c r="FV38" s="277" t="str">
        <f t="shared" si="26"/>
        <v/>
      </c>
      <c r="FW38" s="277" t="str">
        <f>ZahlenInBereich(Tabelle1[[Empfehlung30]:[Werkzeug32]],ROW()-5)</f>
        <v/>
      </c>
      <c r="FX38" s="277" t="str">
        <f t="shared" si="27"/>
        <v/>
      </c>
      <c r="FY38" s="277" t="str">
        <f t="shared" si="28"/>
        <v/>
      </c>
      <c r="FZ38" s="277" t="str">
        <f t="shared" si="29"/>
        <v/>
      </c>
      <c r="GA38" s="277" t="str">
        <f>ZahlenInBereich(Tabelle1[[Empfehlung34]:[Werkzeug36]],ROW()-5)</f>
        <v/>
      </c>
      <c r="GB38" s="277" t="str">
        <f t="shared" si="30"/>
        <v/>
      </c>
      <c r="GC38" s="277" t="str">
        <f t="shared" si="31"/>
        <v/>
      </c>
      <c r="GD38" s="277" t="str">
        <f t="shared" si="32"/>
        <v/>
      </c>
      <c r="GE38" s="277" t="str">
        <f>ZahlenInBereich(Tabelle1[[Empfehlung38]:[Werkzeug40]],ROW()-5)</f>
        <v/>
      </c>
      <c r="GF38" s="277" t="str">
        <f t="shared" si="33"/>
        <v/>
      </c>
      <c r="GG38" s="277" t="str">
        <f t="shared" si="34"/>
        <v/>
      </c>
      <c r="GH38" s="277" t="str">
        <f t="shared" si="35"/>
        <v/>
      </c>
      <c r="GI38" s="277" t="str">
        <f>ZahlenInBereich(Tabelle1[[Empfehlung42]:[Werkzeug44]],ROW()-5)</f>
        <v/>
      </c>
      <c r="GJ38" s="277" t="str">
        <f t="shared" si="36"/>
        <v/>
      </c>
      <c r="GK38" s="277" t="str">
        <f t="shared" si="37"/>
        <v/>
      </c>
      <c r="GL38" s="277" t="str">
        <f t="shared" si="38"/>
        <v/>
      </c>
      <c r="GM38" s="277" t="str">
        <f>ZahlenInBereich(Tabelle1[[Empfehlung46]:[Werkzeug48]],ROW()-5)</f>
        <v/>
      </c>
      <c r="GN38" s="277" t="str">
        <f t="shared" si="39"/>
        <v/>
      </c>
      <c r="GO38" s="277" t="str">
        <f t="shared" si="40"/>
        <v/>
      </c>
      <c r="GP38" s="277" t="str">
        <f t="shared" si="41"/>
        <v/>
      </c>
      <c r="GQ38" s="277" t="str">
        <f>ZahlenInBereich(Tabelle1[[Empfehlung50]:[Werkzeug52]],ROW()-5)</f>
        <v/>
      </c>
      <c r="GR38" s="277" t="str">
        <f t="shared" si="42"/>
        <v/>
      </c>
      <c r="GS38" s="277" t="str">
        <f t="shared" si="43"/>
        <v/>
      </c>
      <c r="GT38" s="277" t="str">
        <f t="shared" si="44"/>
        <v/>
      </c>
      <c r="GU38" s="277" t="str">
        <f>ZahlenInBereich(Tabelle1[[Empfehlung54]:[Werkzeug56]],ROW()-5)</f>
        <v/>
      </c>
      <c r="GV38" s="277" t="str">
        <f t="shared" si="45"/>
        <v/>
      </c>
      <c r="GW38" s="277" t="str">
        <f t="shared" si="46"/>
        <v/>
      </c>
      <c r="GX38" s="277" t="str">
        <f t="shared" si="47"/>
        <v/>
      </c>
      <c r="GY38" s="277" t="str">
        <f>ZahlenInBereich(Tabelle1[[Empfehlung58]:[Werkzeug60]],ROW()-5)</f>
        <v/>
      </c>
      <c r="GZ38" s="277" t="str">
        <f t="shared" si="48"/>
        <v/>
      </c>
      <c r="HA38" s="277" t="str">
        <f t="shared" si="49"/>
        <v/>
      </c>
      <c r="HB38" s="277" t="str">
        <f t="shared" si="50"/>
        <v/>
      </c>
      <c r="HC38" s="277" t="str">
        <f>ZahlenInBereich(Tabelle1[[Empfehlung62]:[Werkzeug64]],ROW()-5)</f>
        <v/>
      </c>
      <c r="HD38" s="277" t="str">
        <f t="shared" si="51"/>
        <v/>
      </c>
      <c r="HE38" s="277" t="str">
        <f t="shared" si="52"/>
        <v/>
      </c>
      <c r="HF38" s="277" t="str">
        <f t="shared" si="53"/>
        <v/>
      </c>
      <c r="HG38" s="277" t="str">
        <f>ZahlenInBereich(Tabelle1[[Empfehlung66]:[Werkzeug68]],ROW()-5)</f>
        <v/>
      </c>
      <c r="HH38" s="277" t="str">
        <f t="shared" si="54"/>
        <v/>
      </c>
      <c r="HI38" s="277" t="str">
        <f t="shared" si="55"/>
        <v/>
      </c>
      <c r="HJ38" s="277" t="str">
        <f t="shared" si="56"/>
        <v/>
      </c>
      <c r="HK38" s="277" t="str">
        <f>ZahlenInBereich(Tabelle1[[Empfehlung70]:[Werkzeug72]],ROW()-5)</f>
        <v/>
      </c>
      <c r="HL38" s="277" t="str">
        <f t="shared" si="57"/>
        <v/>
      </c>
      <c r="HM38" s="277" t="str">
        <f t="shared" si="58"/>
        <v/>
      </c>
      <c r="HN38" s="277" t="str">
        <f t="shared" si="59"/>
        <v/>
      </c>
      <c r="HO38" s="277" t="str">
        <f>ZahlenInBereich(Tabelle1[[Empfehlung74]:[Werkzeug76]],ROW()-5)</f>
        <v/>
      </c>
    </row>
    <row r="39" spans="2:223" ht="32" x14ac:dyDescent="0.2">
      <c r="B39" s="134">
        <f>'1.4 Analyse &amp; Synthese'!B40</f>
        <v>34</v>
      </c>
      <c r="C39" s="277" t="str">
        <f>IF(AND('1.4 Analyse &amp; Synthese'!Q40=1,'1.4 Analyse &amp; Synthese'!F40="Empfehlung"),'1.4 Analyse &amp; Synthese'!I40&amp;CHAR(13)&amp;"("&amp;'(Codierung)'!$C$2&amp;" - "&amp;'1.4 Analyse &amp; Synthese'!C40&amp;")","")</f>
        <v/>
      </c>
      <c r="D39" s="222" t="str">
        <f t="array" ref="D39">_xlfn.IFNA(INDEX($C$6:$C$66,MATCH(0,COUNTIF($D$4:D38,$C$6:$C$66),0),1),"")</f>
        <v/>
      </c>
      <c r="E39" s="277" t="str">
        <f>IF(AND('1.4 Analyse &amp; Synthese'!Q40=1,'1.4 Analyse &amp; Synthese'!F40="Methode"),'1.4 Analyse &amp; Synthese'!I40&amp;CHAR(13)&amp;"("&amp;'(Codierung)'!$C$3&amp;" - "&amp;'1.4 Analyse &amp; Synthese'!C40&amp;")","")</f>
        <v/>
      </c>
      <c r="F39" s="277" t="str">
        <f t="array" ref="F39">_xlfn.IFNA(INDEX($E$6:$E$66,MATCH(0,COUNTIF($F$4:F38,$E$6:$E$66),0),1),"")</f>
        <v/>
      </c>
      <c r="G39" s="277" t="str">
        <f>IF(AND('1.4 Analyse &amp; Synthese'!Q40=1,'1.4 Analyse &amp; Synthese'!F40="Werkzeug"),'1.4 Analyse &amp; Synthese'!I40&amp;CHAR(13)&amp;"("&amp;'(Codierung)'!$C$4&amp;" - "&amp;'1.4 Analyse &amp; Synthese'!C40&amp;")","")</f>
        <v/>
      </c>
      <c r="H39" s="277" t="str">
        <f t="array" ref="H39">_xlfn.IFNA(INDEX($G$6:$G$66,MATCH(0,COUNTIF($H$4:H38,$G$6:$G$66),0),1),"")</f>
        <v/>
      </c>
      <c r="J39" s="277" t="str">
        <f>IF(AND('1.4 Analyse &amp; Synthese'!R40=1,'1.4 Analyse &amp; Synthese'!F40="Empfehlung"),'1.4 Analyse &amp; Synthese'!I40&amp;CHAR(13)&amp;"("&amp;'(Codierung)'!$C$2&amp;" - "&amp;'1.4 Analyse &amp; Synthese'!C40&amp;")","")</f>
        <v/>
      </c>
      <c r="K39" s="277" t="str">
        <f t="array" ref="K39">_xlfn.IFNA(INDEX($J$6:$J$66,MATCH(0,COUNTIF($K$4:K38,$J$6:$J$66),0),1),"")</f>
        <v/>
      </c>
      <c r="L39" s="277" t="str">
        <f>IF(AND('1.4 Analyse &amp; Synthese'!R40=1,'1.4 Analyse &amp; Synthese'!F40="Methode"),'1.4 Analyse &amp; Synthese'!I40&amp;CHAR(13)&amp;"("&amp;'(Codierung)'!$C$3&amp;" - "&amp;'1.4 Analyse &amp; Synthese'!C40&amp;")","")</f>
        <v/>
      </c>
      <c r="M39" s="277" t="str">
        <f t="array" ref="M39">_xlfn.IFNA(INDEX($L$6:$L$66,MATCH(0,COUNTIF($M$4:M38,$L$6:$L$66),0),1),"")</f>
        <v/>
      </c>
      <c r="N39" s="277" t="str">
        <f>IF(AND('1.4 Analyse &amp; Synthese'!R40=1,'1.4 Analyse &amp; Synthese'!F40="Werkzeug"),'1.4 Analyse &amp; Synthese'!I40&amp;CHAR(13)&amp;"("&amp;'(Codierung)'!$C$4&amp;" - "&amp;'1.4 Analyse &amp; Synthese'!C40&amp;")","")</f>
        <v/>
      </c>
      <c r="O39" s="277" t="str">
        <f t="array" ref="O39">_xlfn.IFNA(INDEX($N$6:$N$66,MATCH(0,COUNTIF($O$4:O38,$N$6:$N$66),0),1),"")</f>
        <v/>
      </c>
      <c r="Q39" s="277" t="str">
        <f>IF(AND('1.4 Analyse &amp; Synthese'!S40=1,'1.4 Analyse &amp; Synthese'!F40="Empfehlung"),'1.4 Analyse &amp; Synthese'!I40&amp;CHAR(13)&amp;"("&amp;'(Codierung)'!$C$2&amp;" - "&amp;'1.4 Analyse &amp; Synthese'!C40&amp;")","")</f>
        <v/>
      </c>
      <c r="R39" s="277" t="str">
        <f t="array" ref="R39">_xlfn.IFNA(INDEX($Q$6:$Q$66,MATCH(0,COUNTIF($R$4:R38,$Q$6:$Q$66),0),1),"")</f>
        <v/>
      </c>
      <c r="S39" s="277" t="str">
        <f>IF(AND('1.4 Analyse &amp; Synthese'!S40=1,'1.4 Analyse &amp; Synthese'!F40="Methode"),'1.4 Analyse &amp; Synthese'!I40&amp;CHAR(13)&amp;"("&amp;'(Codierung)'!$C$3&amp;" - "&amp;'1.4 Analyse &amp; Synthese'!C40&amp;")","")</f>
        <v/>
      </c>
      <c r="T39" s="277" t="str">
        <f t="array" ref="T39">_xlfn.IFNA(INDEX($S$6:$S$66,MATCH(0,COUNTIF($T$4:T38,$S$6:$S$66),0),1),"")</f>
        <v/>
      </c>
      <c r="U39" s="277" t="str">
        <f>IF(AND('1.4 Analyse &amp; Synthese'!S40=1,'1.4 Analyse &amp; Synthese'!F40="Werkzeug"),'1.4 Analyse &amp; Synthese'!I40&amp;CHAR(13)&amp;"("&amp;'(Codierung)'!$C$4&amp;" - "&amp;'1.4 Analyse &amp; Synthese'!C40&amp;")","")</f>
        <v/>
      </c>
      <c r="V39" s="277" t="str">
        <f t="array" ref="V39">_xlfn.IFNA(INDEX($U$6:$U$66,MATCH(0,COUNTIF($V$4:V38,$U$6:$U$66),0),1),"")</f>
        <v/>
      </c>
      <c r="X39" s="277" t="str">
        <f>IF(AND('1.4 Analyse &amp; Synthese'!T40=1,'1.4 Analyse &amp; Synthese'!F40="Empfehlung"),'1.4 Analyse &amp; Synthese'!I40&amp;CHAR(13)&amp;"("&amp;'(Codierung)'!$C$2&amp;" - "&amp;'1.4 Analyse &amp; Synthese'!C40&amp;")","")</f>
        <v/>
      </c>
      <c r="Y39" s="277" t="str">
        <f t="array" ref="Y39">_xlfn.IFNA(INDEX($X$6:$X$66,MATCH(0,COUNTIF($Y$4:Y38,$X$6:$X$66),0),1),"")</f>
        <v/>
      </c>
      <c r="Z39" s="277" t="str">
        <f>IF(AND('1.4 Analyse &amp; Synthese'!T40=1,'1.4 Analyse &amp; Synthese'!F40="Methode"),'1.4 Analyse &amp; Synthese'!I40&amp;CHAR(13)&amp;"("&amp;'(Codierung)'!$C$3&amp;" - "&amp;'1.4 Analyse &amp; Synthese'!C40&amp;")","")</f>
        <v/>
      </c>
      <c r="AA39" s="277" t="str">
        <f t="array" ref="AA39">_xlfn.IFNA(INDEX($Z$6:$Z$66,MATCH(0,COUNTIF($AA$4:AA38,$Z$6:$Z$66),0),1),"")</f>
        <v/>
      </c>
      <c r="AB39" s="277" t="str">
        <f>IF(AND('1.4 Analyse &amp; Synthese'!T40=1,'1.4 Analyse &amp; Synthese'!F40="Werkzeug"),'1.4 Analyse &amp; Synthese'!I40&amp;CHAR(13)&amp;"("&amp;'(Codierung)'!$C$4&amp;" - "&amp;'1.4 Analyse &amp; Synthese'!C40&amp;")","")</f>
        <v/>
      </c>
      <c r="AC39" s="277" t="str">
        <f t="array" ref="AC39">_xlfn.IFNA(INDEX($AB$6:$AB$66,MATCH(0,COUNTIF($AC$4:AC38,$AB$6:$AB$66),0),1),"")</f>
        <v/>
      </c>
      <c r="AE39" s="277" t="str">
        <f>IF(AND('1.4 Analyse &amp; Synthese'!U40=1,'1.4 Analyse &amp; Synthese'!F40="Empfehlung"),'1.4 Analyse &amp; Synthese'!I40&amp;CHAR(13)&amp;"("&amp;'(Codierung)'!$C$2&amp;" - "&amp;'1.4 Analyse &amp; Synthese'!C40&amp;")","")</f>
        <v/>
      </c>
      <c r="AF39" s="277" t="str">
        <f t="array" ref="AF39">_xlfn.IFNA(INDEX($AE$6:$AE$66,MATCH(0,COUNTIF($AF$4:AF38,$AE$6:$AE$66),0),1),"")</f>
        <v/>
      </c>
      <c r="AG39" s="277" t="str">
        <f>IF(AND('1.4 Analyse &amp; Synthese'!U40=1,'1.4 Analyse &amp; Synthese'!F40="Methode"),'1.4 Analyse &amp; Synthese'!I40&amp;CHAR(13)&amp;"("&amp;'(Codierung)'!$C$3&amp;" - "&amp;'1.4 Analyse &amp; Synthese'!C40&amp;")","")</f>
        <v/>
      </c>
      <c r="AH39" s="277" t="str">
        <f t="array" ref="AH39">_xlfn.IFNA(INDEX($AG$6:$AG$66,MATCH(0,COUNTIF($AH$4:AH38,$AG$6:$AG$66),0),1),"")</f>
        <v/>
      </c>
      <c r="AI39" s="277" t="str">
        <f>IF(AND('1.4 Analyse &amp; Synthese'!U40=1,'1.4 Analyse &amp; Synthese'!F40="Werkzeug"),'1.4 Analyse &amp; Synthese'!I40&amp;CHAR(13)&amp;"("&amp;'(Codierung)'!$C$4&amp;" - "&amp;'1.4 Analyse &amp; Synthese'!C40&amp;")","")</f>
        <v/>
      </c>
      <c r="AJ39" s="277" t="str">
        <f t="array" ref="AJ39">_xlfn.IFNA(INDEX($AI$6:$AI$66,MATCH(0,COUNTIF($AJ$4:AJ38,$AI$6:$AI$66),0),1),"")</f>
        <v/>
      </c>
      <c r="AL39" s="277" t="str">
        <f>IF(AND('1.4 Analyse &amp; Synthese'!V40=1,'1.4 Analyse &amp; Synthese'!F40="Empfehlung"),'1.4 Analyse &amp; Synthese'!I40&amp;CHAR(13)&amp;"("&amp;'(Codierung)'!$C$2&amp;" - "&amp;'1.4 Analyse &amp; Synthese'!C40&amp;")","")</f>
        <v/>
      </c>
      <c r="AM39" s="277" t="str">
        <f t="array" ref="AM39">_xlfn.IFNA(INDEX($AL$6:$AL$66,MATCH(0,COUNTIF($AM$4:AM38,$AL$6:$AL$66),0),1),"")</f>
        <v/>
      </c>
      <c r="AN39" s="277" t="str">
        <f>IF(AND('1.4 Analyse &amp; Synthese'!V40=1,'1.4 Analyse &amp; Synthese'!F40="Methode"),'1.4 Analyse &amp; Synthese'!I40&amp;CHAR(13)&amp;"("&amp;'(Codierung)'!$C$3&amp;" - "&amp;'1.4 Analyse &amp; Synthese'!C40&amp;")","")</f>
        <v/>
      </c>
      <c r="AO39" s="277" t="str">
        <f t="array" ref="AO39">_xlfn.IFNA(INDEX($AN$6:$AN$66,MATCH(0,COUNTIF($AO$4:AO38,$AN$6:$AN$66),0),1),"")</f>
        <v/>
      </c>
      <c r="AP39" s="277" t="str">
        <f>IF(AND('1.4 Analyse &amp; Synthese'!V40=1,'1.4 Analyse &amp; Synthese'!F40="Werkzeug"),'1.4 Analyse &amp; Synthese'!I40&amp;CHAR(13)&amp;"("&amp;'(Codierung)'!$C$4&amp;" - "&amp;'1.4 Analyse &amp; Synthese'!C40&amp;")","")</f>
        <v/>
      </c>
      <c r="AQ39" s="277" t="str">
        <f t="array" ref="AQ39">_xlfn.IFNA(INDEX($AP$6:$AP$66,MATCH(0,COUNTIF($AQ$4:AQ38,$AP$6:$AP$66),0),1),"")</f>
        <v/>
      </c>
      <c r="AS39" s="277" t="str">
        <f>IF(AND('1.4 Analyse &amp; Synthese'!W40=1,'1.4 Analyse &amp; Synthese'!F40="Empfehlung"),'1.4 Analyse &amp; Synthese'!I40&amp;CHAR(13)&amp;"("&amp;'(Codierung)'!$C$2&amp;" - "&amp;'1.4 Analyse &amp; Synthese'!C40&amp;")","")</f>
        <v/>
      </c>
      <c r="AT39" s="277" t="str">
        <f t="array" ref="AT39">_xlfn.IFNA(INDEX($AS$6:$AS$66,MATCH(0,COUNTIF($AT$4:AT38,$AS$6:$AS$66),0),1),"")</f>
        <v/>
      </c>
      <c r="AU39" s="277" t="str">
        <f>IF(AND('1.4 Analyse &amp; Synthese'!W40=1,'1.4 Analyse &amp; Synthese'!F40="Methode"),'1.4 Analyse &amp; Synthese'!I40&amp;CHAR(13)&amp;"("&amp;'(Codierung)'!$C$3&amp;" - "&amp;'1.4 Analyse &amp; Synthese'!C40&amp;")","")</f>
        <v/>
      </c>
      <c r="AV39" s="277" t="str">
        <f t="array" ref="AV39">_xlfn.IFNA(INDEX($AU$6:$AU$66,MATCH(0,COUNTIF($AV$4:AV38,$AU$6:$AU$66),0),1),"")</f>
        <v/>
      </c>
      <c r="AW39" s="277" t="str">
        <f>IF(AND('1.4 Analyse &amp; Synthese'!W40=1,'1.4 Analyse &amp; Synthese'!F40="Werkzeug"),'1.4 Analyse &amp; Synthese'!I40&amp;CHAR(13)&amp;"("&amp;'(Codierung)'!$C$4&amp;" - "&amp;'1.4 Analyse &amp; Synthese'!C40&amp;")","")</f>
        <v/>
      </c>
      <c r="AX39" s="277" t="str">
        <f t="array" ref="AX39">_xlfn.IFNA(INDEX($AW$6:$AW$66,MATCH(0,COUNTIF($AX$4:AX38,$AW$6:$AW$66),0),1),"")</f>
        <v/>
      </c>
      <c r="AZ39" s="277" t="str">
        <f>IF(AND('1.4 Analyse &amp; Synthese'!X40=1,'1.4 Analyse &amp; Synthese'!F40="Empfehlung"),'1.4 Analyse &amp; Synthese'!I40&amp;CHAR(13)&amp;"("&amp;'(Codierung)'!$C$2&amp;" - "&amp;'1.4 Analyse &amp; Synthese'!C40&amp;")","")</f>
        <v/>
      </c>
      <c r="BA39" s="277" t="str">
        <f t="array" ref="BA39">_xlfn.IFNA(INDEX($AZ$6:$AZ$66,MATCH(0,COUNTIF($BA$4:BA38,$AZ$6:$AZ$66),0),1),"")</f>
        <v/>
      </c>
      <c r="BB39" s="277" t="str">
        <f>IF(AND('1.4 Analyse &amp; Synthese'!X40=1,'1.4 Analyse &amp; Synthese'!F40="Methode"),'1.4 Analyse &amp; Synthese'!I40&amp;CHAR(13)&amp;"("&amp;'(Codierung)'!$C$3&amp;" - "&amp;'1.4 Analyse &amp; Synthese'!C40&amp;")","")</f>
        <v/>
      </c>
      <c r="BC39" s="277" t="str">
        <f t="array" ref="BC39">_xlfn.IFNA(INDEX($BB$6:$BB$66,MATCH(0,COUNTIF($BC$4:BC38,$BB$6:$BB$66),0),1),"")</f>
        <v/>
      </c>
      <c r="BD39" s="277" t="str">
        <f>IF(AND('1.4 Analyse &amp; Synthese'!X40=1,'1.4 Analyse &amp; Synthese'!F40="Werkzeug"),'1.4 Analyse &amp; Synthese'!I40&amp;CHAR(13)&amp;"("&amp;'(Codierung)'!$C$4&amp;" - "&amp;'1.4 Analyse &amp; Synthese'!C40&amp;")","")</f>
        <v/>
      </c>
      <c r="BE39" s="277" t="str">
        <f t="array" ref="BE39">_xlfn.IFNA(INDEX($BD$6:$BD$66,MATCH(0,COUNTIF($BE$4:BE38,$BD$6:$BD$66),0),1),"")</f>
        <v/>
      </c>
      <c r="BG39" s="277" t="str">
        <f>IF(AND('1.4 Analyse &amp; Synthese'!Y40=1,'1.4 Analyse &amp; Synthese'!F40="Empfehlung"),'1.4 Analyse &amp; Synthese'!I40&amp;CHAR(13)&amp;"("&amp;'(Codierung)'!$C$2&amp;" - "&amp;'1.4 Analyse &amp; Synthese'!C40&amp;")","")</f>
        <v/>
      </c>
      <c r="BH39" s="277" t="str">
        <f t="array" ref="BH39">_xlfn.IFNA(INDEX($BG$6:$BG$66,MATCH(0,COUNTIF($BH$4:BH38,$BG$6:$BG$66),0),1),"")</f>
        <v/>
      </c>
      <c r="BI39" s="277" t="str">
        <f>IF(AND('1.4 Analyse &amp; Synthese'!Y40=1,'1.4 Analyse &amp; Synthese'!F40="Methode"),'1.4 Analyse &amp; Synthese'!I40&amp;CHAR(13)&amp;"("&amp;'(Codierung)'!$C$3&amp;" - "&amp;'1.4 Analyse &amp; Synthese'!C40&amp;")","")</f>
        <v/>
      </c>
      <c r="BJ39" s="277" t="str">
        <f t="array" ref="BJ39">_xlfn.IFNA(INDEX($BI$6:$BI$66,MATCH(0,COUNTIF($BJ$4:BJ38,$BI$6:$BI$66),0),1),"")</f>
        <v/>
      </c>
      <c r="BK39" s="277" t="str">
        <f>IF(AND('1.4 Analyse &amp; Synthese'!Y40=1,'1.4 Analyse &amp; Synthese'!F40="Werkzeug"),'1.4 Analyse &amp; Synthese'!I40&amp;CHAR(13)&amp;"("&amp;'(Codierung)'!$C$4&amp;" - "&amp;'1.4 Analyse &amp; Synthese'!C40&amp;")","")</f>
        <v/>
      </c>
      <c r="BL39" s="277" t="str">
        <f t="array" ref="BL39">_xlfn.IFNA(INDEX($BK$6:$BK$66,MATCH(0,COUNTIF($BL$4:BL38,$BK$6:$BK$66),0),1),"")</f>
        <v/>
      </c>
      <c r="BN39" s="277" t="str">
        <f>IF(AND('1.4 Analyse &amp; Synthese'!Z40=1,'1.4 Analyse &amp; Synthese'!F40="Empfehlung"),'1.4 Analyse &amp; Synthese'!I40&amp;CHAR(13)&amp;"("&amp;'(Codierung)'!$C$2&amp;" - "&amp;'1.4 Analyse &amp; Synthese'!C40&amp;")","")</f>
        <v/>
      </c>
      <c r="BO39" s="277" t="str">
        <f t="array" ref="BO39">_xlfn.IFNA(INDEX($BN$6:$BN$66,MATCH(0,COUNTIF($BO$4:BO38,$BN$6:$BN$66),0),1),"")</f>
        <v/>
      </c>
      <c r="BP39" s="277" t="str">
        <f>IF(AND('1.4 Analyse &amp; Synthese'!Z40=1,'1.4 Analyse &amp; Synthese'!F40="Methode"),'1.4 Analyse &amp; Synthese'!I40&amp;CHAR(13)&amp;"("&amp;'(Codierung)'!$C$3&amp;" - "&amp;'1.4 Analyse &amp; Synthese'!C40&amp;")","")</f>
        <v/>
      </c>
      <c r="BQ39" s="277" t="str">
        <f t="array" ref="BQ39">_xlfn.IFNA(INDEX($BP$6:$BP$66,MATCH(0,COUNTIF($BQ$4:BQ38,$BP$6:$BP$66),0),1),"")</f>
        <v/>
      </c>
      <c r="BR39" s="277" t="str">
        <f>IF(AND('1.4 Analyse &amp; Synthese'!Z40=1,'1.4 Analyse &amp; Synthese'!F40="Werkzeug"),'1.4 Analyse &amp; Synthese'!I40&amp;CHAR(13)&amp;"("&amp;'(Codierung)'!$C$4&amp;" - "&amp;'1.4 Analyse &amp; Synthese'!C40&amp;")","")</f>
        <v/>
      </c>
      <c r="BS39" s="277" t="str">
        <f t="array" ref="BS39">_xlfn.IFNA(INDEX($BR$6:$BR$66,MATCH(0,COUNTIF($BS$4:BS38,$BR$6:$BR$66),0),1),"")</f>
        <v/>
      </c>
      <c r="BU39" s="277" t="str">
        <f>IF(AND('1.4 Analyse &amp; Synthese'!AA40=1,'1.4 Analyse &amp; Synthese'!F40="Empfehlung"),'1.4 Analyse &amp; Synthese'!I40&amp;CHAR(13)&amp;"("&amp;'(Codierung)'!$C$2&amp;" - "&amp;'1.4 Analyse &amp; Synthese'!C40&amp;")","")</f>
        <v/>
      </c>
      <c r="BV39" s="277" t="str">
        <f t="array" ref="BV39">_xlfn.IFNA(INDEX($BU$6:$BU$66,MATCH(0,COUNTIF($BV$4:BV38,$BU$6:$BU$66),0),1),"")</f>
        <v/>
      </c>
      <c r="BW39" s="277" t="str">
        <f>IF(AND('1.4 Analyse &amp; Synthese'!AA40=1,'1.4 Analyse &amp; Synthese'!F40="Methode"),'1.4 Analyse &amp; Synthese'!I40&amp;CHAR(13)&amp;"("&amp;'(Codierung)'!$C$3&amp;" - "&amp;'1.4 Analyse &amp; Synthese'!C40&amp;")","")</f>
        <v/>
      </c>
      <c r="BX39" s="277" t="str">
        <f t="array" ref="BX39">_xlfn.IFNA(INDEX($BW$6:$BW$66,MATCH(0,COUNTIF($BX$4:BX38,$BW$6:$BW$66),0),1),"")</f>
        <v/>
      </c>
      <c r="BY39" s="277" t="str">
        <f>IF(AND('1.4 Analyse &amp; Synthese'!AA40=1,'1.4 Analyse &amp; Synthese'!F40="Werkzeug"),'1.4 Analyse &amp; Synthese'!I40&amp;CHAR(13)&amp;"("&amp;'(Codierung)'!$C$4&amp;" - "&amp;'1.4 Analyse &amp; Synthese'!C40&amp;")","")</f>
        <v/>
      </c>
      <c r="BZ39" s="277" t="str">
        <f t="array" ref="BZ39">_xlfn.IFNA(INDEX($BY$6:$BY$66,MATCH(0,COUNTIF($BZ$4:BZ38,$BY$6:$BY$66),0),1),"")</f>
        <v/>
      </c>
      <c r="CB39" s="277" t="str">
        <f>IF(AND('1.4 Analyse &amp; Synthese'!AB40=1,'1.4 Analyse &amp; Synthese'!F40="Empfehlung"),'1.4 Analyse &amp; Synthese'!I40&amp;CHAR(13)&amp;"("&amp;'(Codierung)'!$C$2&amp;" - "&amp;'1.4 Analyse &amp; Synthese'!C40&amp;")","")</f>
        <v/>
      </c>
      <c r="CC39" s="277" t="str">
        <f t="array" ref="CC39">_xlfn.IFNA(INDEX($CB$6:$CB$66,MATCH(0,COUNTIF($CC$4:CC38,$CB$6:$CB$66),0),1),"")</f>
        <v/>
      </c>
      <c r="CD39" s="277" t="str">
        <f>IF(AND('1.4 Analyse &amp; Synthese'!AB40=1,'1.4 Analyse &amp; Synthese'!F40="Methode"),'1.4 Analyse &amp; Synthese'!I40&amp;CHAR(13)&amp;"("&amp;'(Codierung)'!$C$3&amp;" - "&amp;'1.4 Analyse &amp; Synthese'!C40&amp;")","")</f>
        <v/>
      </c>
      <c r="CE39" s="277" t="str">
        <f t="array" ref="CE39">_xlfn.IFNA(INDEX($CD$6:$CD$66,MATCH(0,COUNTIF($CE$4:CE38,$CD$6:$CD$66),0),1),"")</f>
        <v/>
      </c>
      <c r="CF39" s="277" t="str">
        <f>IF(AND('1.4 Analyse &amp; Synthese'!AB40=1,'1.4 Analyse &amp; Synthese'!F40="Werkzeug"),'1.4 Analyse &amp; Synthese'!I40&amp;CHAR(13)&amp;"("&amp;'(Codierung)'!$C$4&amp;" - "&amp;'1.4 Analyse &amp; Synthese'!C40&amp;")","")</f>
        <v/>
      </c>
      <c r="CG39" s="277" t="str">
        <f t="array" ref="CG39">_xlfn.IFNA(INDEX($CF$6:$CF$66,MATCH(0,COUNTIF($CG$4:CG38,$CF$6:$CF$66),0),1),"")</f>
        <v/>
      </c>
      <c r="CI39" s="277" t="str">
        <f>IF(AND('1.4 Analyse &amp; Synthese'!AC40=1,'1.4 Analyse &amp; Synthese'!F40="Empfehlung"),'1.4 Analyse &amp; Synthese'!I40&amp;CHAR(13)&amp;"("&amp;'(Codierung)'!$C$2&amp;" - "&amp;'1.4 Analyse &amp; Synthese'!C40&amp;")","")</f>
        <v>Cultural Frames_x000D_(Empfehlung - Su)</v>
      </c>
      <c r="CJ39" s="277" t="str">
        <f t="array" ref="CJ39">_xlfn.IFNA(INDEX($CI$6:$CI$66,MATCH(0,COUNTIF($CJ$4:CJ38,$CI$6:$CI$66),0),1),"")</f>
        <v/>
      </c>
      <c r="CK39" s="277" t="str">
        <f>IF(AND('1.4 Analyse &amp; Synthese'!AC40=1,'1.4 Analyse &amp; Synthese'!F40="Methode"),'1.4 Analyse &amp; Synthese'!I40&amp;CHAR(13)&amp;"("&amp;'(Codierung)'!$C$3&amp;" - "&amp;'1.4 Analyse &amp; Synthese'!C40&amp;")","")</f>
        <v/>
      </c>
      <c r="CL39" s="277" t="str">
        <f t="array" ref="CL39">_xlfn.IFNA(INDEX($CK$6:$CK$66,MATCH(0,COUNTIF($CL$4:CL38,$CK$6:$CK$66),0),1),"")</f>
        <v/>
      </c>
      <c r="CM39" s="277" t="str">
        <f>IF(AND('1.4 Analyse &amp; Synthese'!AC40=1,'1.4 Analyse &amp; Synthese'!F40="Werkzeug"),'1.4 Analyse &amp; Synthese'!I40&amp;CHAR(13)&amp;"("&amp;'(Codierung)'!$C$4&amp;" - "&amp;'1.4 Analyse &amp; Synthese'!C40&amp;")","")</f>
        <v/>
      </c>
      <c r="CN39" s="277" t="str">
        <f t="array" ref="CN39">_xlfn.IFNA(INDEX($CM$6:$CM$66,MATCH(0,COUNTIF($CN$4:CN38,$CM$6:$CM$66),0),1),"")</f>
        <v/>
      </c>
      <c r="CP39" s="277" t="str">
        <f>IF(AND('1.4 Analyse &amp; Synthese'!AD40=1,'1.4 Analyse &amp; Synthese'!F40="Empfehlung"),'1.4 Analyse &amp; Synthese'!I40&amp;CHAR(13)&amp;"("&amp;'(Codierung)'!$C$2&amp;" - "&amp;'1.4 Analyse &amp; Synthese'!C40&amp;")","")</f>
        <v/>
      </c>
      <c r="CQ39" s="277" t="str">
        <f t="array" ref="CQ39">_xlfn.IFNA(INDEX($CP$6:$CP$66,MATCH(0,COUNTIF($CQ$4:CQ38,$CP$6:$CP$66),0),1),"")</f>
        <v/>
      </c>
      <c r="CR39" s="277" t="str">
        <f>IF(AND('1.4 Analyse &amp; Synthese'!AD40=1,'1.4 Analyse &amp; Synthese'!F40="Methode"),'1.4 Analyse &amp; Synthese'!I40&amp;CHAR(13)&amp;"("&amp;'(Codierung)'!$C$3&amp;" - "&amp;'1.4 Analyse &amp; Synthese'!C40&amp;")","")</f>
        <v/>
      </c>
      <c r="CS39" s="277" t="str">
        <f t="array" ref="CS39">_xlfn.IFNA(INDEX($CR$6:$CR$66,MATCH(0,COUNTIF($CS$4:CS38,$CR$6:$CR$66),0),1),"")</f>
        <v/>
      </c>
      <c r="CT39" s="277" t="str">
        <f>IF(AND('1.4 Analyse &amp; Synthese'!AD40=1,'1.4 Analyse &amp; Synthese'!F40="Werkzeug"),'1.4 Analyse &amp; Synthese'!I40&amp;CHAR(13)&amp;"("&amp;'(Codierung)'!$C$4&amp;" - "&amp;'1.4 Analyse &amp; Synthese'!C40&amp;")","")</f>
        <v/>
      </c>
      <c r="CU39" s="277" t="str">
        <f t="array" ref="CU39">_xlfn.IFNA(INDEX($CT$6:$CT$66,MATCH(0,COUNTIF($CU$4:CU38,$CT$6:$CT$66),0),1),"")</f>
        <v/>
      </c>
      <c r="CW39" s="277" t="str">
        <f>IF(AND('1.4 Analyse &amp; Synthese'!AE40=1,'1.4 Analyse &amp; Synthese'!F40="Empfehlung"),'1.4 Analyse &amp; Synthese'!I40&amp;CHAR(13)&amp;"("&amp;'(Codierung)'!$C$2&amp;" - "&amp;'1.4 Analyse &amp; Synthese'!C40&amp;")","")</f>
        <v/>
      </c>
      <c r="CX39" s="277" t="str">
        <f t="array" ref="CX39">_xlfn.IFNA(INDEX($CW$6:$CW$66,MATCH(0,COUNTIF($CX$4:CX38,$CW$6:$CW$66),0),1),"")</f>
        <v/>
      </c>
      <c r="CY39" s="277" t="str">
        <f>IF(AND('1.4 Analyse &amp; Synthese'!AE40=1,'1.4 Analyse &amp; Synthese'!F40="Methode"),'1.4 Analyse &amp; Synthese'!I40&amp;CHAR(13)&amp;"("&amp;'(Codierung)'!$C$3&amp;" - "&amp;'1.4 Analyse &amp; Synthese'!C40&amp;")","")</f>
        <v/>
      </c>
      <c r="CZ39" s="277" t="str">
        <f t="array" ref="CZ39">_xlfn.IFNA(INDEX($CY$6:$CY$66,MATCH(0,COUNTIF($CZ$4:CZ38,$CY$6:$CY$66),0),1),"")</f>
        <v/>
      </c>
      <c r="DA39" s="277" t="str">
        <f>IF(AND('1.4 Analyse &amp; Synthese'!AE40=1,'1.4 Analyse &amp; Synthese'!F40="Werkzeug"),'1.4 Analyse &amp; Synthese'!I40&amp;CHAR(13)&amp;"("&amp;'(Codierung)'!$C$4&amp;" - "&amp;'1.4 Analyse &amp; Synthese'!C40&amp;")","")</f>
        <v/>
      </c>
      <c r="DB39" s="277" t="str">
        <f t="array" ref="DB39">_xlfn.IFNA(INDEX($DA$6:$DA$66,MATCH(0,COUNTIF($DB$4:DB38,$DA$6:$DA$66),0),1),"")</f>
        <v/>
      </c>
      <c r="DD39" s="277" t="str">
        <f>IF(AND('1.4 Analyse &amp; Synthese'!AF40=1,'1.4 Analyse &amp; Synthese'!F40="Empfehlung"),'1.4 Analyse &amp; Synthese'!I40&amp;CHAR(13)&amp;"("&amp;'(Codierung)'!$C$2&amp;" - "&amp;'1.4 Analyse &amp; Synthese'!C40&amp;")","")</f>
        <v/>
      </c>
      <c r="DE39" s="277" t="str">
        <f t="array" ref="DE39">_xlfn.IFNA(INDEX($DD$6:$DD$66,MATCH(0,COUNTIF($DE$4:DE38,$DD$6:$DD$66),0),1),"")</f>
        <v/>
      </c>
      <c r="DF39" s="277" t="str">
        <f>IF(AND('1.4 Analyse &amp; Synthese'!AF40=1,'1.4 Analyse &amp; Synthese'!F40="Methode"),'1.4 Analyse &amp; Synthese'!I40&amp;CHAR(13)&amp;"("&amp;'(Codierung)'!$C$3&amp;" - "&amp;'1.4 Analyse &amp; Synthese'!C40&amp;")","")</f>
        <v/>
      </c>
      <c r="DG39" s="277" t="str">
        <f t="array" ref="DG39">_xlfn.IFNA(INDEX($DF$6:$DF$66,MATCH(0,COUNTIF($DG$4:DG38,$DF$6:$DF$66),0),1),"")</f>
        <v/>
      </c>
      <c r="DH39" s="277" t="str">
        <f>IF(AND('1.4 Analyse &amp; Synthese'!AF40=1,'1.4 Analyse &amp; Synthese'!F40="Werkzeug"),'1.4 Analyse &amp; Synthese'!I40&amp;CHAR(13)&amp;"("&amp;'(Codierung)'!$C$4&amp;" - "&amp;'1.4 Analyse &amp; Synthese'!C40&amp;")","")</f>
        <v/>
      </c>
      <c r="DI39" s="277" t="str">
        <f t="array" ref="DI39">_xlfn.IFNA(INDEX($DH$6:$DH$66,MATCH(0,COUNTIF($DI$4:DI38,$DH$6:$DH$66),0),1),"")</f>
        <v/>
      </c>
      <c r="DK39" s="277" t="str">
        <f>IF(AND('1.4 Analyse &amp; Synthese'!AG40=1,'1.4 Analyse &amp; Synthese'!F40="Empfehlung"),'1.4 Analyse &amp; Synthese'!I40&amp;CHAR(13)&amp;"("&amp;'(Codierung)'!$C$2&amp;" - "&amp;'1.4 Analyse &amp; Synthese'!C40&amp;")","")</f>
        <v/>
      </c>
      <c r="DL39" s="277" t="str">
        <f t="array" ref="DL39">_xlfn.IFNA(INDEX($DK$6:$DK$66,MATCH(0,COUNTIF($DL$4:DL38,$DK$6:$DK$66),0),1),"")</f>
        <v/>
      </c>
      <c r="DM39" s="277" t="str">
        <f>IF(AND('1.4 Analyse &amp; Synthese'!AG40=1,'1.4 Analyse &amp; Synthese'!F40="Methode"),'1.4 Analyse &amp; Synthese'!I40&amp;CHAR(13)&amp;"("&amp;'(Codierung)'!$C$3&amp;" - "&amp;'1.4 Analyse &amp; Synthese'!C40&amp;")","")</f>
        <v/>
      </c>
      <c r="DN39" s="277" t="str">
        <f t="array" ref="DN39">_xlfn.IFNA(INDEX($DM$6:$DM$66,MATCH(0,COUNTIF($DN$4:DN38,$DM$6:$DM$66),0),1),"")</f>
        <v/>
      </c>
      <c r="DO39" s="277" t="str">
        <f>IF(AND('1.4 Analyse &amp; Synthese'!AG40=1,'1.4 Analyse &amp; Synthese'!F40="Werkzeug"),'1.4 Analyse &amp; Synthese'!I40&amp;CHAR(13)&amp;"("&amp;'(Codierung)'!$C$4&amp;" - "&amp;'1.4 Analyse &amp; Synthese'!C40&amp;")","")</f>
        <v/>
      </c>
      <c r="DP39" s="277" t="str">
        <f t="array" ref="DP39">_xlfn.IFNA(INDEX($DO$6:$DO$66,MATCH(0,COUNTIF($DP$4:DP38,$DO$6:$DO$66),0),1),"")</f>
        <v/>
      </c>
      <c r="DR39" s="277" t="str">
        <f>IF(AND('1.4 Analyse &amp; Synthese'!AH40=1,'1.4 Analyse &amp; Synthese'!F40="Empfehlung"),'1.4 Analyse &amp; Synthese'!I40&amp;CHAR(13)&amp;"("&amp;'(Codierung)'!$C$2&amp;" - "&amp;'1.4 Analyse &amp; Synthese'!C40&amp;")","")</f>
        <v/>
      </c>
      <c r="DS39" s="277" t="str">
        <f t="array" ref="DS39">_xlfn.IFNA(INDEX($DR$6:$DR$66,MATCH(0,COUNTIF($DS$4:DS38,$DR$6:$DR$66),0),1),"")</f>
        <v/>
      </c>
      <c r="DT39" s="277" t="str">
        <f>IF(AND('1.4 Analyse &amp; Synthese'!AH40=1,'1.4 Analyse &amp; Synthese'!F40="Methode"),'1.4 Analyse &amp; Synthese'!I40&amp;CHAR(13)&amp;"("&amp;'(Codierung)'!$C$3&amp;" - "&amp;'1.4 Analyse &amp; Synthese'!C40&amp;")","")</f>
        <v/>
      </c>
      <c r="DU39" s="277" t="str">
        <f t="array" ref="DU39">_xlfn.IFNA(INDEX($DT$6:$DT$66,MATCH(0,COUNTIF($DU$4:DU38,$DT$6:$DT$66),0),1),"")</f>
        <v/>
      </c>
      <c r="DV39" s="277" t="str">
        <f>IF(AND('1.4 Analyse &amp; Synthese'!AH40=1,'1.4 Analyse &amp; Synthese'!F40="Werkzeug"),'1.4 Analyse &amp; Synthese'!I40&amp;CHAR(13)&amp;"("&amp;'(Codierung)'!$C$4&amp;" - "&amp;'1.4 Analyse &amp; Synthese'!C40&amp;")","")</f>
        <v/>
      </c>
      <c r="DW39" s="277" t="str">
        <f t="array" ref="DW39">_xlfn.IFNA(INDEX($DV$6:$DV$66,MATCH(0,COUNTIF($DW$4:DW38,$DV$6:$DV$66),0),1),"")</f>
        <v/>
      </c>
      <c r="DY39" s="277" t="str">
        <f>IF(AND('1.4 Analyse &amp; Synthese'!AI40=1,'1.4 Analyse &amp; Synthese'!F40="Empfehlung"),'1.4 Analyse &amp; Synthese'!I40&amp;CHAR(13)&amp;"("&amp;'(Codierung)'!$C$2&amp;" - "&amp;'1.4 Analyse &amp; Synthese'!C40&amp;")","")</f>
        <v/>
      </c>
      <c r="DZ39" s="277" t="str">
        <f t="array" ref="DZ39">_xlfn.IFNA(INDEX($DY$6:$DY$66,MATCH(0,COUNTIF($DZ$4:DZ38,$DY$6:$DY$66),0),1),"")</f>
        <v/>
      </c>
      <c r="EA39" s="277" t="str">
        <f>IF(AND('1.4 Analyse &amp; Synthese'!AI40=1,'1.4 Analyse &amp; Synthese'!F40="Methode"),'1.4 Analyse &amp; Synthese'!I40&amp;CHAR(13)&amp;"("&amp;'(Codierung)'!$C$3&amp;" - "&amp;'1.4 Analyse &amp; Synthese'!C40&amp;")","")</f>
        <v/>
      </c>
      <c r="EB39" s="277" t="str">
        <f t="array" ref="EB39">_xlfn.IFNA(INDEX($EA$6:$EA$66,MATCH(0,COUNTIF($EB$4:EB38,$EA$6:$EA$66),0),1),"")</f>
        <v/>
      </c>
      <c r="EC39" s="277" t="str">
        <f>IF(AND('1.4 Analyse &amp; Synthese'!AI40=1,'1.4 Analyse &amp; Synthese'!F40="Werkzeug"),'1.4 Analyse &amp; Synthese'!I40&amp;CHAR(13)&amp;"("&amp;'(Codierung)'!$C$4&amp;" - "&amp;'1.4 Analyse &amp; Synthese'!C40&amp;")","")</f>
        <v/>
      </c>
      <c r="ED39" s="277" t="str">
        <f t="array" ref="ED39">_xlfn.IFNA(INDEX($EC$6:$EC$66,MATCH(0,COUNTIF($ED$4:ED38,$EC$6:$EC$66),0),1),"")</f>
        <v/>
      </c>
      <c r="EF39" s="277" t="str">
        <f>IF(AND('1.4 Analyse &amp; Synthese'!AJ40=1,'1.4 Analyse &amp; Synthese'!F40="Empfehlung"),'1.4 Analyse &amp; Synthese'!I40&amp;CHAR(13)&amp;"("&amp;'(Codierung)'!$C$2&amp;" - "&amp;'1.4 Analyse &amp; Synthese'!C40&amp;")","")</f>
        <v/>
      </c>
      <c r="EG39" s="277" t="str">
        <f t="array" ref="EG39">_xlfn.IFNA(INDEX($EF$6:$EF$66,MATCH(0,COUNTIF($EG$4:EG38,$EF$6:$EF$66),0),1),"")</f>
        <v/>
      </c>
      <c r="EH39" s="277" t="str">
        <f>IF(AND('1.4 Analyse &amp; Synthese'!AJ40=1,'1.4 Analyse &amp; Synthese'!F40="Methode"),'1.4 Analyse &amp; Synthese'!I40&amp;CHAR(13)&amp;"("&amp;'(Codierung)'!$C$3&amp;" - "&amp;'1.4 Analyse &amp; Synthese'!C40&amp;")","")</f>
        <v/>
      </c>
      <c r="EI39" s="277" t="str">
        <f t="array" ref="EI39">_xlfn.IFNA(INDEX($EH$6:$EH$66,MATCH(0,COUNTIF($EI$4:EI38,$EH$6:$EH$66),0),1),"")</f>
        <v/>
      </c>
      <c r="EJ39" s="277" t="str">
        <f>IF(AND('1.4 Analyse &amp; Synthese'!AJ40=1,'1.4 Analyse &amp; Synthese'!F40="Werkzeug"),'1.4 Analyse &amp; Synthese'!I40&amp;CHAR(13)&amp;"("&amp;'(Codierung)'!$C$4&amp;" - "&amp;'1.4 Analyse &amp; Synthese'!C40&amp;")","")</f>
        <v/>
      </c>
      <c r="EK39" s="277" t="str">
        <f t="array" ref="EK39">_xlfn.IFNA(INDEX($EJ$6:$EJ$66,MATCH(0,COUNTIF($EK$4:EK38,$EJ$6:$EJ$66),0),1),"")</f>
        <v/>
      </c>
      <c r="EN39" s="222" t="str">
        <f t="shared" ref="EN39:EN66" si="60">D39</f>
        <v/>
      </c>
      <c r="EO39" s="277" t="str">
        <f t="shared" ref="EO39:EO66" si="61">F39</f>
        <v/>
      </c>
      <c r="EP39" s="277" t="str">
        <f t="shared" ref="EP39:EP66" si="62">H39</f>
        <v/>
      </c>
      <c r="EQ39" s="277" t="str">
        <f>ZahlenInBereich(Tabelle1[[Empfehlung]:[Werkzeug]],ROW()-5)</f>
        <v/>
      </c>
      <c r="ER39" s="277" t="str">
        <f t="shared" ref="ER39:ER66" si="63">K39</f>
        <v/>
      </c>
      <c r="ES39" s="277" t="str">
        <f t="shared" ref="ES39:ES66" si="64">M39</f>
        <v/>
      </c>
      <c r="ET39" s="277" t="str">
        <f t="shared" ref="ET39:ET66" si="65">O39</f>
        <v/>
      </c>
      <c r="EU39" s="277" t="str">
        <f>ZahlenInBereich(Tabelle1[[Empfehlung2]:[Werkzeug4]],ROW()-5)</f>
        <v/>
      </c>
      <c r="EV39" s="277" t="str">
        <f t="shared" ref="EV39:EV66" si="66">R39</f>
        <v/>
      </c>
      <c r="EW39" s="277" t="str">
        <f t="shared" ref="EW39:EW66" si="67">T39</f>
        <v/>
      </c>
      <c r="EX39" s="277" t="str">
        <f t="shared" ref="EX39:EX66" si="68">V39</f>
        <v/>
      </c>
      <c r="EY39" s="277" t="str">
        <f>ZahlenInBereich(Tabelle1[[Empfehlung6]:[Werkzeug8]],ROW()-5)</f>
        <v/>
      </c>
      <c r="EZ39" s="277" t="str">
        <f t="shared" ref="EZ39:EZ66" si="69">Y39</f>
        <v/>
      </c>
      <c r="FA39" s="277" t="str">
        <f t="shared" ref="FA39:FA66" si="70">AA39</f>
        <v/>
      </c>
      <c r="FB39" s="277" t="str">
        <f t="shared" ref="FB39:FB66" si="71">AC39</f>
        <v/>
      </c>
      <c r="FC39" s="277" t="str">
        <f>ZahlenInBereich(Tabelle1[[Empfehlung10]:[Werkzeug12]],ROW()-5)</f>
        <v/>
      </c>
      <c r="FD39" s="277" t="str">
        <f t="shared" ref="FD39:FD66" si="72">AF39</f>
        <v/>
      </c>
      <c r="FE39" s="277" t="str">
        <f t="shared" ref="FE39:FE66" si="73">AH39</f>
        <v/>
      </c>
      <c r="FF39" s="277" t="str">
        <f t="shared" ref="FF39:FF66" si="74">AJ39</f>
        <v/>
      </c>
      <c r="FG39" s="277" t="str">
        <f>ZahlenInBereich(Tabelle1[[Empfehlung14]:[Werkzeug16]],ROW()-5)</f>
        <v/>
      </c>
      <c r="FH39" s="277" t="str">
        <f t="shared" ref="FH39:FH66" si="75">AM39</f>
        <v/>
      </c>
      <c r="FI39" s="277" t="str">
        <f t="shared" ref="FI39:FI66" si="76">AO39</f>
        <v/>
      </c>
      <c r="FJ39" s="277" t="str">
        <f t="shared" ref="FJ39:FJ66" si="77">AQ39</f>
        <v/>
      </c>
      <c r="FK39" s="277" t="str">
        <f>ZahlenInBereich(Tabelle1[[Empfehlung18]:[Werkzeug20]],ROW()-5)</f>
        <v/>
      </c>
      <c r="FL39" s="277" t="str">
        <f t="shared" ref="FL39:FL66" si="78">AT39</f>
        <v/>
      </c>
      <c r="FM39" s="277" t="str">
        <f t="shared" ref="FM39:FM66" si="79">AV39</f>
        <v/>
      </c>
      <c r="FN39" s="277" t="str">
        <f t="shared" ref="FN39:FN66" si="80">AX39</f>
        <v/>
      </c>
      <c r="FO39" s="277" t="str">
        <f>ZahlenInBereich(Tabelle1[[Empfehlung22]:[Werkzeug24]],ROW()-5)</f>
        <v/>
      </c>
      <c r="FP39" s="277" t="str">
        <f t="shared" ref="FP39:FP66" si="81">BA39</f>
        <v/>
      </c>
      <c r="FQ39" s="277" t="str">
        <f t="shared" ref="FQ39:FQ66" si="82">BC39</f>
        <v/>
      </c>
      <c r="FR39" s="277" t="str">
        <f t="shared" ref="FR39:FR66" si="83">BE39</f>
        <v/>
      </c>
      <c r="FS39" s="277" t="str">
        <f>ZahlenInBereich(Tabelle1[[Empfehlung26]:[Werkzeug28]],ROW()-5)</f>
        <v/>
      </c>
      <c r="FT39" s="277" t="str">
        <f t="shared" ref="FT39:FT66" si="84">BH39</f>
        <v/>
      </c>
      <c r="FU39" s="277" t="str">
        <f t="shared" ref="FU39:FU66" si="85">BJ39</f>
        <v/>
      </c>
      <c r="FV39" s="277" t="str">
        <f t="shared" ref="FV39:FV66" si="86">BL39</f>
        <v/>
      </c>
      <c r="FW39" s="277" t="str">
        <f>ZahlenInBereich(Tabelle1[[Empfehlung30]:[Werkzeug32]],ROW()-5)</f>
        <v/>
      </c>
      <c r="FX39" s="277" t="str">
        <f t="shared" ref="FX39:FX66" si="87">BO39</f>
        <v/>
      </c>
      <c r="FY39" s="277" t="str">
        <f t="shared" ref="FY39:FY66" si="88">BQ39</f>
        <v/>
      </c>
      <c r="FZ39" s="277" t="str">
        <f t="shared" ref="FZ39:FZ66" si="89">BS39</f>
        <v/>
      </c>
      <c r="GA39" s="277" t="str">
        <f>ZahlenInBereich(Tabelle1[[Empfehlung34]:[Werkzeug36]],ROW()-5)</f>
        <v/>
      </c>
      <c r="GB39" s="277" t="str">
        <f t="shared" ref="GB39:GB66" si="90">BV39</f>
        <v/>
      </c>
      <c r="GC39" s="277" t="str">
        <f t="shared" ref="GC39:GC66" si="91">BX39</f>
        <v/>
      </c>
      <c r="GD39" s="277" t="str">
        <f t="shared" ref="GD39:GD66" si="92">BZ39</f>
        <v/>
      </c>
      <c r="GE39" s="277" t="str">
        <f>ZahlenInBereich(Tabelle1[[Empfehlung38]:[Werkzeug40]],ROW()-5)</f>
        <v/>
      </c>
      <c r="GF39" s="277" t="str">
        <f t="shared" ref="GF39:GF66" si="93">CC39</f>
        <v/>
      </c>
      <c r="GG39" s="277" t="str">
        <f t="shared" ref="GG39:GG66" si="94">CE39</f>
        <v/>
      </c>
      <c r="GH39" s="277" t="str">
        <f t="shared" ref="GH39:GH66" si="95">CG39</f>
        <v/>
      </c>
      <c r="GI39" s="277" t="str">
        <f>ZahlenInBereich(Tabelle1[[Empfehlung42]:[Werkzeug44]],ROW()-5)</f>
        <v/>
      </c>
      <c r="GJ39" s="277" t="str">
        <f t="shared" ref="GJ39:GJ66" si="96">CJ39</f>
        <v/>
      </c>
      <c r="GK39" s="277" t="str">
        <f t="shared" ref="GK39:GK66" si="97">CL39</f>
        <v/>
      </c>
      <c r="GL39" s="277" t="str">
        <f t="shared" ref="GL39:GL66" si="98">CN39</f>
        <v/>
      </c>
      <c r="GM39" s="277" t="str">
        <f>ZahlenInBereich(Tabelle1[[Empfehlung46]:[Werkzeug48]],ROW()-5)</f>
        <v/>
      </c>
      <c r="GN39" s="277" t="str">
        <f t="shared" ref="GN39:GN66" si="99">CQ39</f>
        <v/>
      </c>
      <c r="GO39" s="277" t="str">
        <f t="shared" ref="GO39:GO66" si="100">CS39</f>
        <v/>
      </c>
      <c r="GP39" s="277" t="str">
        <f t="shared" ref="GP39:GP66" si="101">CU39</f>
        <v/>
      </c>
      <c r="GQ39" s="277" t="str">
        <f>ZahlenInBereich(Tabelle1[[Empfehlung50]:[Werkzeug52]],ROW()-5)</f>
        <v/>
      </c>
      <c r="GR39" s="277" t="str">
        <f t="shared" ref="GR39:GR66" si="102">CX39</f>
        <v/>
      </c>
      <c r="GS39" s="277" t="str">
        <f t="shared" ref="GS39:GS66" si="103">CZ39</f>
        <v/>
      </c>
      <c r="GT39" s="277" t="str">
        <f t="shared" ref="GT39:GT66" si="104">DB39</f>
        <v/>
      </c>
      <c r="GU39" s="277" t="str">
        <f>ZahlenInBereich(Tabelle1[[Empfehlung54]:[Werkzeug56]],ROW()-5)</f>
        <v/>
      </c>
      <c r="GV39" s="277" t="str">
        <f t="shared" ref="GV39:GV66" si="105">DE39</f>
        <v/>
      </c>
      <c r="GW39" s="277" t="str">
        <f t="shared" ref="GW39:GW66" si="106">DG39</f>
        <v/>
      </c>
      <c r="GX39" s="277" t="str">
        <f t="shared" ref="GX39:GX66" si="107">DI39</f>
        <v/>
      </c>
      <c r="GY39" s="277" t="str">
        <f>ZahlenInBereich(Tabelle1[[Empfehlung58]:[Werkzeug60]],ROW()-5)</f>
        <v/>
      </c>
      <c r="GZ39" s="277" t="str">
        <f t="shared" ref="GZ39:GZ66" si="108">DL39</f>
        <v/>
      </c>
      <c r="HA39" s="277" t="str">
        <f t="shared" ref="HA39:HA66" si="109">DN39</f>
        <v/>
      </c>
      <c r="HB39" s="277" t="str">
        <f t="shared" ref="HB39:HB66" si="110">DP39</f>
        <v/>
      </c>
      <c r="HC39" s="277" t="str">
        <f>ZahlenInBereich(Tabelle1[[Empfehlung62]:[Werkzeug64]],ROW()-5)</f>
        <v/>
      </c>
      <c r="HD39" s="277" t="str">
        <f t="shared" ref="HD39:HD66" si="111">DS39</f>
        <v/>
      </c>
      <c r="HE39" s="277" t="str">
        <f t="shared" ref="HE39:HE66" si="112">DU39</f>
        <v/>
      </c>
      <c r="HF39" s="277" t="str">
        <f t="shared" ref="HF39:HF66" si="113">DW39</f>
        <v/>
      </c>
      <c r="HG39" s="277" t="str">
        <f>ZahlenInBereich(Tabelle1[[Empfehlung66]:[Werkzeug68]],ROW()-5)</f>
        <v/>
      </c>
      <c r="HH39" s="277" t="str">
        <f t="shared" ref="HH39:HH66" si="114">DZ39</f>
        <v/>
      </c>
      <c r="HI39" s="277" t="str">
        <f t="shared" ref="HI39:HI66" si="115">EB39</f>
        <v/>
      </c>
      <c r="HJ39" s="277" t="str">
        <f t="shared" ref="HJ39:HJ66" si="116">ED39</f>
        <v/>
      </c>
      <c r="HK39" s="277" t="str">
        <f>ZahlenInBereich(Tabelle1[[Empfehlung70]:[Werkzeug72]],ROW()-5)</f>
        <v/>
      </c>
      <c r="HL39" s="277" t="str">
        <f t="shared" ref="HL39:HL66" si="117">EG39</f>
        <v/>
      </c>
      <c r="HM39" s="277" t="str">
        <f t="shared" ref="HM39:HM66" si="118">EI39</f>
        <v/>
      </c>
      <c r="HN39" s="277" t="str">
        <f t="shared" ref="HN39:HN66" si="119">EK39</f>
        <v/>
      </c>
      <c r="HO39" s="277" t="str">
        <f>ZahlenInBereich(Tabelle1[[Empfehlung74]:[Werkzeug76]],ROW()-5)</f>
        <v/>
      </c>
    </row>
    <row r="40" spans="2:223" ht="32" x14ac:dyDescent="0.2">
      <c r="B40" s="134">
        <f>'1.4 Analyse &amp; Synthese'!B41</f>
        <v>35</v>
      </c>
      <c r="C40" s="277" t="str">
        <f>IF(AND('1.4 Analyse &amp; Synthese'!Q41=1,'1.4 Analyse &amp; Synthese'!F41="Empfehlung"),'1.4 Analyse &amp; Synthese'!I41&amp;CHAR(13)&amp;"("&amp;'(Codierung)'!$C$2&amp;" - "&amp;'1.4 Analyse &amp; Synthese'!C41&amp;")","")</f>
        <v/>
      </c>
      <c r="D40" s="222" t="str">
        <f t="array" ref="D40">_xlfn.IFNA(INDEX($C$6:$C$66,MATCH(0,COUNTIF($D$4:D39,$C$6:$C$66),0),1),"")</f>
        <v/>
      </c>
      <c r="E40" s="277" t="str">
        <f>IF(AND('1.4 Analyse &amp; Synthese'!Q41=1,'1.4 Analyse &amp; Synthese'!F41="Methode"),'1.4 Analyse &amp; Synthese'!I41&amp;CHAR(13)&amp;"("&amp;'(Codierung)'!$C$3&amp;" - "&amp;'1.4 Analyse &amp; Synthese'!C41&amp;")","")</f>
        <v/>
      </c>
      <c r="F40" s="277" t="str">
        <f t="array" ref="F40">_xlfn.IFNA(INDEX($E$6:$E$66,MATCH(0,COUNTIF($F$4:F39,$E$6:$E$66),0),1),"")</f>
        <v/>
      </c>
      <c r="G40" s="277" t="str">
        <f>IF(AND('1.4 Analyse &amp; Synthese'!Q41=1,'1.4 Analyse &amp; Synthese'!F41="Werkzeug"),'1.4 Analyse &amp; Synthese'!I41&amp;CHAR(13)&amp;"("&amp;'(Codierung)'!$C$4&amp;" - "&amp;'1.4 Analyse &amp; Synthese'!C41&amp;")","")</f>
        <v/>
      </c>
      <c r="H40" s="277" t="str">
        <f t="array" ref="H40">_xlfn.IFNA(INDEX($G$6:$G$66,MATCH(0,COUNTIF($H$4:H39,$G$6:$G$66),0),1),"")</f>
        <v/>
      </c>
      <c r="J40" s="277" t="str">
        <f>IF(AND('1.4 Analyse &amp; Synthese'!R41=1,'1.4 Analyse &amp; Synthese'!F41="Empfehlung"),'1.4 Analyse &amp; Synthese'!I41&amp;CHAR(13)&amp;"("&amp;'(Codierung)'!$C$2&amp;" - "&amp;'1.4 Analyse &amp; Synthese'!C41&amp;")","")</f>
        <v/>
      </c>
      <c r="K40" s="277" t="str">
        <f t="array" ref="K40">_xlfn.IFNA(INDEX($J$6:$J$66,MATCH(0,COUNTIF($K$4:K39,$J$6:$J$66),0),1),"")</f>
        <v/>
      </c>
      <c r="L40" s="277" t="str">
        <f>IF(AND('1.4 Analyse &amp; Synthese'!R41=1,'1.4 Analyse &amp; Synthese'!F41="Methode"),'1.4 Analyse &amp; Synthese'!I41&amp;CHAR(13)&amp;"("&amp;'(Codierung)'!$C$3&amp;" - "&amp;'1.4 Analyse &amp; Synthese'!C41&amp;")","")</f>
        <v/>
      </c>
      <c r="M40" s="277" t="str">
        <f t="array" ref="M40">_xlfn.IFNA(INDEX($L$6:$L$66,MATCH(0,COUNTIF($M$4:M39,$L$6:$L$66),0),1),"")</f>
        <v/>
      </c>
      <c r="N40" s="277" t="str">
        <f>IF(AND('1.4 Analyse &amp; Synthese'!R41=1,'1.4 Analyse &amp; Synthese'!F41="Werkzeug"),'1.4 Analyse &amp; Synthese'!I41&amp;CHAR(13)&amp;"("&amp;'(Codierung)'!$C$4&amp;" - "&amp;'1.4 Analyse &amp; Synthese'!C41&amp;")","")</f>
        <v/>
      </c>
      <c r="O40" s="277" t="str">
        <f t="array" ref="O40">_xlfn.IFNA(INDEX($N$6:$N$66,MATCH(0,COUNTIF($O$4:O39,$N$6:$N$66),0),1),"")</f>
        <v/>
      </c>
      <c r="Q40" s="277" t="str">
        <f>IF(AND('1.4 Analyse &amp; Synthese'!S41=1,'1.4 Analyse &amp; Synthese'!F41="Empfehlung"),'1.4 Analyse &amp; Synthese'!I41&amp;CHAR(13)&amp;"("&amp;'(Codierung)'!$C$2&amp;" - "&amp;'1.4 Analyse &amp; Synthese'!C41&amp;")","")</f>
        <v/>
      </c>
      <c r="R40" s="277" t="str">
        <f t="array" ref="R40">_xlfn.IFNA(INDEX($Q$6:$Q$66,MATCH(0,COUNTIF($R$4:R39,$Q$6:$Q$66),0),1),"")</f>
        <v/>
      </c>
      <c r="S40" s="277" t="str">
        <f>IF(AND('1.4 Analyse &amp; Synthese'!S41=1,'1.4 Analyse &amp; Synthese'!F41="Methode"),'1.4 Analyse &amp; Synthese'!I41&amp;CHAR(13)&amp;"("&amp;'(Codierung)'!$C$3&amp;" - "&amp;'1.4 Analyse &amp; Synthese'!C41&amp;")","")</f>
        <v>Monitoring System_x000D_(Methode - Tata)</v>
      </c>
      <c r="T40" s="277" t="str">
        <f t="array" ref="T40">_xlfn.IFNA(INDEX($S$6:$S$66,MATCH(0,COUNTIF($T$4:T39,$S$6:$S$66),0),1),"")</f>
        <v/>
      </c>
      <c r="U40" s="277" t="str">
        <f>IF(AND('1.4 Analyse &amp; Synthese'!S41=1,'1.4 Analyse &amp; Synthese'!F41="Werkzeug"),'1.4 Analyse &amp; Synthese'!I41&amp;CHAR(13)&amp;"("&amp;'(Codierung)'!$C$4&amp;" - "&amp;'1.4 Analyse &amp; Synthese'!C41&amp;")","")</f>
        <v/>
      </c>
      <c r="V40" s="277" t="str">
        <f t="array" ref="V40">_xlfn.IFNA(INDEX($U$6:$U$66,MATCH(0,COUNTIF($V$4:V39,$U$6:$U$66),0),1),"")</f>
        <v/>
      </c>
      <c r="X40" s="277" t="str">
        <f>IF(AND('1.4 Analyse &amp; Synthese'!T41=1,'1.4 Analyse &amp; Synthese'!F41="Empfehlung"),'1.4 Analyse &amp; Synthese'!I41&amp;CHAR(13)&amp;"("&amp;'(Codierung)'!$C$2&amp;" - "&amp;'1.4 Analyse &amp; Synthese'!C41&amp;")","")</f>
        <v/>
      </c>
      <c r="Y40" s="277" t="str">
        <f t="array" ref="Y40">_xlfn.IFNA(INDEX($X$6:$X$66,MATCH(0,COUNTIF($Y$4:Y39,$X$6:$X$66),0),1),"")</f>
        <v/>
      </c>
      <c r="Z40" s="277" t="str">
        <f>IF(AND('1.4 Analyse &amp; Synthese'!T41=1,'1.4 Analyse &amp; Synthese'!F41="Methode"),'1.4 Analyse &amp; Synthese'!I41&amp;CHAR(13)&amp;"("&amp;'(Codierung)'!$C$3&amp;" - "&amp;'1.4 Analyse &amp; Synthese'!C41&amp;")","")</f>
        <v/>
      </c>
      <c r="AA40" s="277" t="str">
        <f t="array" ref="AA40">_xlfn.IFNA(INDEX($Z$6:$Z$66,MATCH(0,COUNTIF($AA$4:AA39,$Z$6:$Z$66),0),1),"")</f>
        <v/>
      </c>
      <c r="AB40" s="277" t="str">
        <f>IF(AND('1.4 Analyse &amp; Synthese'!T41=1,'1.4 Analyse &amp; Synthese'!F41="Werkzeug"),'1.4 Analyse &amp; Synthese'!I41&amp;CHAR(13)&amp;"("&amp;'(Codierung)'!$C$4&amp;" - "&amp;'1.4 Analyse &amp; Synthese'!C41&amp;")","")</f>
        <v/>
      </c>
      <c r="AC40" s="277" t="str">
        <f t="array" ref="AC40">_xlfn.IFNA(INDEX($AB$6:$AB$66,MATCH(0,COUNTIF($AC$4:AC39,$AB$6:$AB$66),0),1),"")</f>
        <v/>
      </c>
      <c r="AE40" s="277" t="str">
        <f>IF(AND('1.4 Analyse &amp; Synthese'!U41=1,'1.4 Analyse &amp; Synthese'!F41="Empfehlung"),'1.4 Analyse &amp; Synthese'!I41&amp;CHAR(13)&amp;"("&amp;'(Codierung)'!$C$2&amp;" - "&amp;'1.4 Analyse &amp; Synthese'!C41&amp;")","")</f>
        <v/>
      </c>
      <c r="AF40" s="277" t="str">
        <f t="array" ref="AF40">_xlfn.IFNA(INDEX($AE$6:$AE$66,MATCH(0,COUNTIF($AF$4:AF39,$AE$6:$AE$66),0),1),"")</f>
        <v/>
      </c>
      <c r="AG40" s="277" t="str">
        <f>IF(AND('1.4 Analyse &amp; Synthese'!U41=1,'1.4 Analyse &amp; Synthese'!F41="Methode"),'1.4 Analyse &amp; Synthese'!I41&amp;CHAR(13)&amp;"("&amp;'(Codierung)'!$C$3&amp;" - "&amp;'1.4 Analyse &amp; Synthese'!C41&amp;")","")</f>
        <v/>
      </c>
      <c r="AH40" s="277" t="str">
        <f t="array" ref="AH40">_xlfn.IFNA(INDEX($AG$6:$AG$66,MATCH(0,COUNTIF($AH$4:AH39,$AG$6:$AG$66),0),1),"")</f>
        <v/>
      </c>
      <c r="AI40" s="277" t="str">
        <f>IF(AND('1.4 Analyse &amp; Synthese'!U41=1,'1.4 Analyse &amp; Synthese'!F41="Werkzeug"),'1.4 Analyse &amp; Synthese'!I41&amp;CHAR(13)&amp;"("&amp;'(Codierung)'!$C$4&amp;" - "&amp;'1.4 Analyse &amp; Synthese'!C41&amp;")","")</f>
        <v/>
      </c>
      <c r="AJ40" s="277" t="str">
        <f t="array" ref="AJ40">_xlfn.IFNA(INDEX($AI$6:$AI$66,MATCH(0,COUNTIF($AJ$4:AJ39,$AI$6:$AI$66),0),1),"")</f>
        <v/>
      </c>
      <c r="AL40" s="277" t="str">
        <f>IF(AND('1.4 Analyse &amp; Synthese'!V41=1,'1.4 Analyse &amp; Synthese'!F41="Empfehlung"),'1.4 Analyse &amp; Synthese'!I41&amp;CHAR(13)&amp;"("&amp;'(Codierung)'!$C$2&amp;" - "&amp;'1.4 Analyse &amp; Synthese'!C41&amp;")","")</f>
        <v/>
      </c>
      <c r="AM40" s="277" t="str">
        <f t="array" ref="AM40">_xlfn.IFNA(INDEX($AL$6:$AL$66,MATCH(0,COUNTIF($AM$4:AM39,$AL$6:$AL$66),0),1),"")</f>
        <v/>
      </c>
      <c r="AN40" s="277" t="str">
        <f>IF(AND('1.4 Analyse &amp; Synthese'!V41=1,'1.4 Analyse &amp; Synthese'!F41="Methode"),'1.4 Analyse &amp; Synthese'!I41&amp;CHAR(13)&amp;"("&amp;'(Codierung)'!$C$3&amp;" - "&amp;'1.4 Analyse &amp; Synthese'!C41&amp;")","")</f>
        <v/>
      </c>
      <c r="AO40" s="277" t="str">
        <f t="array" ref="AO40">_xlfn.IFNA(INDEX($AN$6:$AN$66,MATCH(0,COUNTIF($AO$4:AO39,$AN$6:$AN$66),0),1),"")</f>
        <v/>
      </c>
      <c r="AP40" s="277" t="str">
        <f>IF(AND('1.4 Analyse &amp; Synthese'!V41=1,'1.4 Analyse &amp; Synthese'!F41="Werkzeug"),'1.4 Analyse &amp; Synthese'!I41&amp;CHAR(13)&amp;"("&amp;'(Codierung)'!$C$4&amp;" - "&amp;'1.4 Analyse &amp; Synthese'!C41&amp;")","")</f>
        <v/>
      </c>
      <c r="AQ40" s="277" t="str">
        <f t="array" ref="AQ40">_xlfn.IFNA(INDEX($AP$6:$AP$66,MATCH(0,COUNTIF($AQ$4:AQ39,$AP$6:$AP$66),0),1),"")</f>
        <v/>
      </c>
      <c r="AS40" s="277" t="str">
        <f>IF(AND('1.4 Analyse &amp; Synthese'!W41=1,'1.4 Analyse &amp; Synthese'!F41="Empfehlung"),'1.4 Analyse &amp; Synthese'!I41&amp;CHAR(13)&amp;"("&amp;'(Codierung)'!$C$2&amp;" - "&amp;'1.4 Analyse &amp; Synthese'!C41&amp;")","")</f>
        <v/>
      </c>
      <c r="AT40" s="277" t="str">
        <f t="array" ref="AT40">_xlfn.IFNA(INDEX($AS$6:$AS$66,MATCH(0,COUNTIF($AT$4:AT39,$AS$6:$AS$66),0),1),"")</f>
        <v/>
      </c>
      <c r="AU40" s="277" t="str">
        <f>IF(AND('1.4 Analyse &amp; Synthese'!W41=1,'1.4 Analyse &amp; Synthese'!F41="Methode"),'1.4 Analyse &amp; Synthese'!I41&amp;CHAR(13)&amp;"("&amp;'(Codierung)'!$C$3&amp;" - "&amp;'1.4 Analyse &amp; Synthese'!C41&amp;")","")</f>
        <v/>
      </c>
      <c r="AV40" s="277" t="str">
        <f t="array" ref="AV40">_xlfn.IFNA(INDEX($AU$6:$AU$66,MATCH(0,COUNTIF($AV$4:AV39,$AU$6:$AU$66),0),1),"")</f>
        <v/>
      </c>
      <c r="AW40" s="277" t="str">
        <f>IF(AND('1.4 Analyse &amp; Synthese'!W41=1,'1.4 Analyse &amp; Synthese'!F41="Werkzeug"),'1.4 Analyse &amp; Synthese'!I41&amp;CHAR(13)&amp;"("&amp;'(Codierung)'!$C$4&amp;" - "&amp;'1.4 Analyse &amp; Synthese'!C41&amp;")","")</f>
        <v/>
      </c>
      <c r="AX40" s="277" t="str">
        <f t="array" ref="AX40">_xlfn.IFNA(INDEX($AW$6:$AW$66,MATCH(0,COUNTIF($AX$4:AX39,$AW$6:$AW$66),0),1),"")</f>
        <v/>
      </c>
      <c r="AZ40" s="277" t="str">
        <f>IF(AND('1.4 Analyse &amp; Synthese'!X41=1,'1.4 Analyse &amp; Synthese'!F41="Empfehlung"),'1.4 Analyse &amp; Synthese'!I41&amp;CHAR(13)&amp;"("&amp;'(Codierung)'!$C$2&amp;" - "&amp;'1.4 Analyse &amp; Synthese'!C41&amp;")","")</f>
        <v/>
      </c>
      <c r="BA40" s="277" t="str">
        <f t="array" ref="BA40">_xlfn.IFNA(INDEX($AZ$6:$AZ$66,MATCH(0,COUNTIF($BA$4:BA39,$AZ$6:$AZ$66),0),1),"")</f>
        <v/>
      </c>
      <c r="BB40" s="277" t="str">
        <f>IF(AND('1.4 Analyse &amp; Synthese'!X41=1,'1.4 Analyse &amp; Synthese'!F41="Methode"),'1.4 Analyse &amp; Synthese'!I41&amp;CHAR(13)&amp;"("&amp;'(Codierung)'!$C$3&amp;" - "&amp;'1.4 Analyse &amp; Synthese'!C41&amp;")","")</f>
        <v/>
      </c>
      <c r="BC40" s="277" t="str">
        <f t="array" ref="BC40">_xlfn.IFNA(INDEX($BB$6:$BB$66,MATCH(0,COUNTIF($BC$4:BC39,$BB$6:$BB$66),0),1),"")</f>
        <v/>
      </c>
      <c r="BD40" s="277" t="str">
        <f>IF(AND('1.4 Analyse &amp; Synthese'!X41=1,'1.4 Analyse &amp; Synthese'!F41="Werkzeug"),'1.4 Analyse &amp; Synthese'!I41&amp;CHAR(13)&amp;"("&amp;'(Codierung)'!$C$4&amp;" - "&amp;'1.4 Analyse &amp; Synthese'!C41&amp;")","")</f>
        <v/>
      </c>
      <c r="BE40" s="277" t="str">
        <f t="array" ref="BE40">_xlfn.IFNA(INDEX($BD$6:$BD$66,MATCH(0,COUNTIF($BE$4:BE39,$BD$6:$BD$66),0),1),"")</f>
        <v/>
      </c>
      <c r="BG40" s="277" t="str">
        <f>IF(AND('1.4 Analyse &amp; Synthese'!Y41=1,'1.4 Analyse &amp; Synthese'!F41="Empfehlung"),'1.4 Analyse &amp; Synthese'!I41&amp;CHAR(13)&amp;"("&amp;'(Codierung)'!$C$2&amp;" - "&amp;'1.4 Analyse &amp; Synthese'!C41&amp;")","")</f>
        <v/>
      </c>
      <c r="BH40" s="277" t="str">
        <f t="array" ref="BH40">_xlfn.IFNA(INDEX($BG$6:$BG$66,MATCH(0,COUNTIF($BH$4:BH39,$BG$6:$BG$66),0),1),"")</f>
        <v/>
      </c>
      <c r="BI40" s="277" t="str">
        <f>IF(AND('1.4 Analyse &amp; Synthese'!Y41=1,'1.4 Analyse &amp; Synthese'!F41="Methode"),'1.4 Analyse &amp; Synthese'!I41&amp;CHAR(13)&amp;"("&amp;'(Codierung)'!$C$3&amp;" - "&amp;'1.4 Analyse &amp; Synthese'!C41&amp;")","")</f>
        <v/>
      </c>
      <c r="BJ40" s="277" t="str">
        <f t="array" ref="BJ40">_xlfn.IFNA(INDEX($BI$6:$BI$66,MATCH(0,COUNTIF($BJ$4:BJ39,$BI$6:$BI$66),0),1),"")</f>
        <v/>
      </c>
      <c r="BK40" s="277" t="str">
        <f>IF(AND('1.4 Analyse &amp; Synthese'!Y41=1,'1.4 Analyse &amp; Synthese'!F41="Werkzeug"),'1.4 Analyse &amp; Synthese'!I41&amp;CHAR(13)&amp;"("&amp;'(Codierung)'!$C$4&amp;" - "&amp;'1.4 Analyse &amp; Synthese'!C41&amp;")","")</f>
        <v/>
      </c>
      <c r="BL40" s="277" t="str">
        <f t="array" ref="BL40">_xlfn.IFNA(INDEX($BK$6:$BK$66,MATCH(0,COUNTIF($BL$4:BL39,$BK$6:$BK$66),0),1),"")</f>
        <v/>
      </c>
      <c r="BN40" s="277" t="str">
        <f>IF(AND('1.4 Analyse &amp; Synthese'!Z41=1,'1.4 Analyse &amp; Synthese'!F41="Empfehlung"),'1.4 Analyse &amp; Synthese'!I41&amp;CHAR(13)&amp;"("&amp;'(Codierung)'!$C$2&amp;" - "&amp;'1.4 Analyse &amp; Synthese'!C41&amp;")","")</f>
        <v/>
      </c>
      <c r="BO40" s="277" t="str">
        <f t="array" ref="BO40">_xlfn.IFNA(INDEX($BN$6:$BN$66,MATCH(0,COUNTIF($BO$4:BO39,$BN$6:$BN$66),0),1),"")</f>
        <v/>
      </c>
      <c r="BP40" s="277" t="str">
        <f>IF(AND('1.4 Analyse &amp; Synthese'!Z41=1,'1.4 Analyse &amp; Synthese'!F41="Methode"),'1.4 Analyse &amp; Synthese'!I41&amp;CHAR(13)&amp;"("&amp;'(Codierung)'!$C$3&amp;" - "&amp;'1.4 Analyse &amp; Synthese'!C41&amp;")","")</f>
        <v/>
      </c>
      <c r="BQ40" s="277" t="str">
        <f t="array" ref="BQ40">_xlfn.IFNA(INDEX($BP$6:$BP$66,MATCH(0,COUNTIF($BQ$4:BQ39,$BP$6:$BP$66),0),1),"")</f>
        <v/>
      </c>
      <c r="BR40" s="277" t="str">
        <f>IF(AND('1.4 Analyse &amp; Synthese'!Z41=1,'1.4 Analyse &amp; Synthese'!F41="Werkzeug"),'1.4 Analyse &amp; Synthese'!I41&amp;CHAR(13)&amp;"("&amp;'(Codierung)'!$C$4&amp;" - "&amp;'1.4 Analyse &amp; Synthese'!C41&amp;")","")</f>
        <v/>
      </c>
      <c r="BS40" s="277" t="str">
        <f t="array" ref="BS40">_xlfn.IFNA(INDEX($BR$6:$BR$66,MATCH(0,COUNTIF($BS$4:BS39,$BR$6:$BR$66),0),1),"")</f>
        <v/>
      </c>
      <c r="BU40" s="277" t="str">
        <f>IF(AND('1.4 Analyse &amp; Synthese'!AA41=1,'1.4 Analyse &amp; Synthese'!F41="Empfehlung"),'1.4 Analyse &amp; Synthese'!I41&amp;CHAR(13)&amp;"("&amp;'(Codierung)'!$C$2&amp;" - "&amp;'1.4 Analyse &amp; Synthese'!C41&amp;")","")</f>
        <v/>
      </c>
      <c r="BV40" s="277" t="str">
        <f t="array" ref="BV40">_xlfn.IFNA(INDEX($BU$6:$BU$66,MATCH(0,COUNTIF($BV$4:BV39,$BU$6:$BU$66),0),1),"")</f>
        <v/>
      </c>
      <c r="BW40" s="277" t="str">
        <f>IF(AND('1.4 Analyse &amp; Synthese'!AA41=1,'1.4 Analyse &amp; Synthese'!F41="Methode"),'1.4 Analyse &amp; Synthese'!I41&amp;CHAR(13)&amp;"("&amp;'(Codierung)'!$C$3&amp;" - "&amp;'1.4 Analyse &amp; Synthese'!C41&amp;")","")</f>
        <v/>
      </c>
      <c r="BX40" s="277" t="str">
        <f t="array" ref="BX40">_xlfn.IFNA(INDEX($BW$6:$BW$66,MATCH(0,COUNTIF($BX$4:BX39,$BW$6:$BW$66),0),1),"")</f>
        <v/>
      </c>
      <c r="BY40" s="277" t="str">
        <f>IF(AND('1.4 Analyse &amp; Synthese'!AA41=1,'1.4 Analyse &amp; Synthese'!F41="Werkzeug"),'1.4 Analyse &amp; Synthese'!I41&amp;CHAR(13)&amp;"("&amp;'(Codierung)'!$C$4&amp;" - "&amp;'1.4 Analyse &amp; Synthese'!C41&amp;")","")</f>
        <v/>
      </c>
      <c r="BZ40" s="277" t="str">
        <f t="array" ref="BZ40">_xlfn.IFNA(INDEX($BY$6:$BY$66,MATCH(0,COUNTIF($BZ$4:BZ39,$BY$6:$BY$66),0),1),"")</f>
        <v/>
      </c>
      <c r="CB40" s="277" t="str">
        <f>IF(AND('1.4 Analyse &amp; Synthese'!AB41=1,'1.4 Analyse &amp; Synthese'!F41="Empfehlung"),'1.4 Analyse &amp; Synthese'!I41&amp;CHAR(13)&amp;"("&amp;'(Codierung)'!$C$2&amp;" - "&amp;'1.4 Analyse &amp; Synthese'!C41&amp;")","")</f>
        <v/>
      </c>
      <c r="CC40" s="277" t="str">
        <f t="array" ref="CC40">_xlfn.IFNA(INDEX($CB$6:$CB$66,MATCH(0,COUNTIF($CC$4:CC39,$CB$6:$CB$66),0),1),"")</f>
        <v/>
      </c>
      <c r="CD40" s="277" t="str">
        <f>IF(AND('1.4 Analyse &amp; Synthese'!AB41=1,'1.4 Analyse &amp; Synthese'!F41="Methode"),'1.4 Analyse &amp; Synthese'!I41&amp;CHAR(13)&amp;"("&amp;'(Codierung)'!$C$3&amp;" - "&amp;'1.4 Analyse &amp; Synthese'!C41&amp;")","")</f>
        <v/>
      </c>
      <c r="CE40" s="277" t="str">
        <f t="array" ref="CE40">_xlfn.IFNA(INDEX($CD$6:$CD$66,MATCH(0,COUNTIF($CE$4:CE39,$CD$6:$CD$66),0),1),"")</f>
        <v/>
      </c>
      <c r="CF40" s="277" t="str">
        <f>IF(AND('1.4 Analyse &amp; Synthese'!AB41=1,'1.4 Analyse &amp; Synthese'!F41="Werkzeug"),'1.4 Analyse &amp; Synthese'!I41&amp;CHAR(13)&amp;"("&amp;'(Codierung)'!$C$4&amp;" - "&amp;'1.4 Analyse &amp; Synthese'!C41&amp;")","")</f>
        <v/>
      </c>
      <c r="CG40" s="277" t="str">
        <f t="array" ref="CG40">_xlfn.IFNA(INDEX($CF$6:$CF$66,MATCH(0,COUNTIF($CG$4:CG39,$CF$6:$CF$66),0),1),"")</f>
        <v/>
      </c>
      <c r="CI40" s="277" t="str">
        <f>IF(AND('1.4 Analyse &amp; Synthese'!AC41=1,'1.4 Analyse &amp; Synthese'!F41="Empfehlung"),'1.4 Analyse &amp; Synthese'!I41&amp;CHAR(13)&amp;"("&amp;'(Codierung)'!$C$2&amp;" - "&amp;'1.4 Analyse &amp; Synthese'!C41&amp;")","")</f>
        <v/>
      </c>
      <c r="CJ40" s="277" t="str">
        <f t="array" ref="CJ40">_xlfn.IFNA(INDEX($CI$6:$CI$66,MATCH(0,COUNTIF($CJ$4:CJ39,$CI$6:$CI$66),0),1),"")</f>
        <v/>
      </c>
      <c r="CK40" s="277" t="str">
        <f>IF(AND('1.4 Analyse &amp; Synthese'!AC41=1,'1.4 Analyse &amp; Synthese'!F41="Methode"),'1.4 Analyse &amp; Synthese'!I41&amp;CHAR(13)&amp;"("&amp;'(Codierung)'!$C$3&amp;" - "&amp;'1.4 Analyse &amp; Synthese'!C41&amp;")","")</f>
        <v/>
      </c>
      <c r="CL40" s="277" t="str">
        <f t="array" ref="CL40">_xlfn.IFNA(INDEX($CK$6:$CK$66,MATCH(0,COUNTIF($CL$4:CL39,$CK$6:$CK$66),0),1),"")</f>
        <v/>
      </c>
      <c r="CM40" s="277" t="str">
        <f>IF(AND('1.4 Analyse &amp; Synthese'!AC41=1,'1.4 Analyse &amp; Synthese'!F41="Werkzeug"),'1.4 Analyse &amp; Synthese'!I41&amp;CHAR(13)&amp;"("&amp;'(Codierung)'!$C$4&amp;" - "&amp;'1.4 Analyse &amp; Synthese'!C41&amp;")","")</f>
        <v/>
      </c>
      <c r="CN40" s="277" t="str">
        <f t="array" ref="CN40">_xlfn.IFNA(INDEX($CM$6:$CM$66,MATCH(0,COUNTIF($CN$4:CN39,$CM$6:$CM$66),0),1),"")</f>
        <v/>
      </c>
      <c r="CP40" s="277" t="str">
        <f>IF(AND('1.4 Analyse &amp; Synthese'!AD41=1,'1.4 Analyse &amp; Synthese'!F41="Empfehlung"),'1.4 Analyse &amp; Synthese'!I41&amp;CHAR(13)&amp;"("&amp;'(Codierung)'!$C$2&amp;" - "&amp;'1.4 Analyse &amp; Synthese'!C41&amp;")","")</f>
        <v/>
      </c>
      <c r="CQ40" s="277" t="str">
        <f t="array" ref="CQ40">_xlfn.IFNA(INDEX($CP$6:$CP$66,MATCH(0,COUNTIF($CQ$4:CQ39,$CP$6:$CP$66),0),1),"")</f>
        <v/>
      </c>
      <c r="CR40" s="277" t="str">
        <f>IF(AND('1.4 Analyse &amp; Synthese'!AD41=1,'1.4 Analyse &amp; Synthese'!F41="Methode"),'1.4 Analyse &amp; Synthese'!I41&amp;CHAR(13)&amp;"("&amp;'(Codierung)'!$C$3&amp;" - "&amp;'1.4 Analyse &amp; Synthese'!C41&amp;")","")</f>
        <v/>
      </c>
      <c r="CS40" s="277" t="str">
        <f t="array" ref="CS40">_xlfn.IFNA(INDEX($CR$6:$CR$66,MATCH(0,COUNTIF($CS$4:CS39,$CR$6:$CR$66),0),1),"")</f>
        <v/>
      </c>
      <c r="CT40" s="277" t="str">
        <f>IF(AND('1.4 Analyse &amp; Synthese'!AD41=1,'1.4 Analyse &amp; Synthese'!F41="Werkzeug"),'1.4 Analyse &amp; Synthese'!I41&amp;CHAR(13)&amp;"("&amp;'(Codierung)'!$C$4&amp;" - "&amp;'1.4 Analyse &amp; Synthese'!C41&amp;")","")</f>
        <v/>
      </c>
      <c r="CU40" s="277" t="str">
        <f t="array" ref="CU40">_xlfn.IFNA(INDEX($CT$6:$CT$66,MATCH(0,COUNTIF($CU$4:CU39,$CT$6:$CT$66),0),1),"")</f>
        <v/>
      </c>
      <c r="CW40" s="277" t="str">
        <f>IF(AND('1.4 Analyse &amp; Synthese'!AE41=1,'1.4 Analyse &amp; Synthese'!F41="Empfehlung"),'1.4 Analyse &amp; Synthese'!I41&amp;CHAR(13)&amp;"("&amp;'(Codierung)'!$C$2&amp;" - "&amp;'1.4 Analyse &amp; Synthese'!C41&amp;")","")</f>
        <v/>
      </c>
      <c r="CX40" s="277" t="str">
        <f t="array" ref="CX40">_xlfn.IFNA(INDEX($CW$6:$CW$66,MATCH(0,COUNTIF($CX$4:CX39,$CW$6:$CW$66),0),1),"")</f>
        <v/>
      </c>
      <c r="CY40" s="277" t="str">
        <f>IF(AND('1.4 Analyse &amp; Synthese'!AE41=1,'1.4 Analyse &amp; Synthese'!F41="Methode"),'1.4 Analyse &amp; Synthese'!I41&amp;CHAR(13)&amp;"("&amp;'(Codierung)'!$C$3&amp;" - "&amp;'1.4 Analyse &amp; Synthese'!C41&amp;")","")</f>
        <v>Monitoring System_x000D_(Methode - Tata)</v>
      </c>
      <c r="CZ40" s="277" t="str">
        <f t="array" ref="CZ40">_xlfn.IFNA(INDEX($CY$6:$CY$66,MATCH(0,COUNTIF($CZ$4:CZ39,$CY$6:$CY$66),0),1),"")</f>
        <v/>
      </c>
      <c r="DA40" s="277" t="str">
        <f>IF(AND('1.4 Analyse &amp; Synthese'!AE41=1,'1.4 Analyse &amp; Synthese'!F41="Werkzeug"),'1.4 Analyse &amp; Synthese'!I41&amp;CHAR(13)&amp;"("&amp;'(Codierung)'!$C$4&amp;" - "&amp;'1.4 Analyse &amp; Synthese'!C41&amp;")","")</f>
        <v/>
      </c>
      <c r="DB40" s="277" t="str">
        <f t="array" ref="DB40">_xlfn.IFNA(INDEX($DA$6:$DA$66,MATCH(0,COUNTIF($DB$4:DB39,$DA$6:$DA$66),0),1),"")</f>
        <v/>
      </c>
      <c r="DD40" s="277" t="str">
        <f>IF(AND('1.4 Analyse &amp; Synthese'!AF41=1,'1.4 Analyse &amp; Synthese'!F41="Empfehlung"),'1.4 Analyse &amp; Synthese'!I41&amp;CHAR(13)&amp;"("&amp;'(Codierung)'!$C$2&amp;" - "&amp;'1.4 Analyse &amp; Synthese'!C41&amp;")","")</f>
        <v/>
      </c>
      <c r="DE40" s="277" t="str">
        <f t="array" ref="DE40">_xlfn.IFNA(INDEX($DD$6:$DD$66,MATCH(0,COUNTIF($DE$4:DE39,$DD$6:$DD$66),0),1),"")</f>
        <v/>
      </c>
      <c r="DF40" s="277" t="str">
        <f>IF(AND('1.4 Analyse &amp; Synthese'!AF41=1,'1.4 Analyse &amp; Synthese'!F41="Methode"),'1.4 Analyse &amp; Synthese'!I41&amp;CHAR(13)&amp;"("&amp;'(Codierung)'!$C$3&amp;" - "&amp;'1.4 Analyse &amp; Synthese'!C41&amp;")","")</f>
        <v/>
      </c>
      <c r="DG40" s="277" t="str">
        <f t="array" ref="DG40">_xlfn.IFNA(INDEX($DF$6:$DF$66,MATCH(0,COUNTIF($DG$4:DG39,$DF$6:$DF$66),0),1),"")</f>
        <v/>
      </c>
      <c r="DH40" s="277" t="str">
        <f>IF(AND('1.4 Analyse &amp; Synthese'!AF41=1,'1.4 Analyse &amp; Synthese'!F41="Werkzeug"),'1.4 Analyse &amp; Synthese'!I41&amp;CHAR(13)&amp;"("&amp;'(Codierung)'!$C$4&amp;" - "&amp;'1.4 Analyse &amp; Synthese'!C41&amp;")","")</f>
        <v/>
      </c>
      <c r="DI40" s="277" t="str">
        <f t="array" ref="DI40">_xlfn.IFNA(INDEX($DH$6:$DH$66,MATCH(0,COUNTIF($DI$4:DI39,$DH$6:$DH$66),0),1),"")</f>
        <v/>
      </c>
      <c r="DK40" s="277" t="str">
        <f>IF(AND('1.4 Analyse &amp; Synthese'!AG41=1,'1.4 Analyse &amp; Synthese'!F41="Empfehlung"),'1.4 Analyse &amp; Synthese'!I41&amp;CHAR(13)&amp;"("&amp;'(Codierung)'!$C$2&amp;" - "&amp;'1.4 Analyse &amp; Synthese'!C41&amp;")","")</f>
        <v/>
      </c>
      <c r="DL40" s="277" t="str">
        <f t="array" ref="DL40">_xlfn.IFNA(INDEX($DK$6:$DK$66,MATCH(0,COUNTIF($DL$4:DL39,$DK$6:$DK$66),0),1),"")</f>
        <v/>
      </c>
      <c r="DM40" s="277" t="str">
        <f>IF(AND('1.4 Analyse &amp; Synthese'!AG41=1,'1.4 Analyse &amp; Synthese'!F41="Methode"),'1.4 Analyse &amp; Synthese'!I41&amp;CHAR(13)&amp;"("&amp;'(Codierung)'!$C$3&amp;" - "&amp;'1.4 Analyse &amp; Synthese'!C41&amp;")","")</f>
        <v/>
      </c>
      <c r="DN40" s="277" t="str">
        <f t="array" ref="DN40">_xlfn.IFNA(INDEX($DM$6:$DM$66,MATCH(0,COUNTIF($DN$4:DN39,$DM$6:$DM$66),0),1),"")</f>
        <v/>
      </c>
      <c r="DO40" s="277" t="str">
        <f>IF(AND('1.4 Analyse &amp; Synthese'!AG41=1,'1.4 Analyse &amp; Synthese'!F41="Werkzeug"),'1.4 Analyse &amp; Synthese'!I41&amp;CHAR(13)&amp;"("&amp;'(Codierung)'!$C$4&amp;" - "&amp;'1.4 Analyse &amp; Synthese'!C41&amp;")","")</f>
        <v/>
      </c>
      <c r="DP40" s="277" t="str">
        <f t="array" ref="DP40">_xlfn.IFNA(INDEX($DO$6:$DO$66,MATCH(0,COUNTIF($DP$4:DP39,$DO$6:$DO$66),0),1),"")</f>
        <v/>
      </c>
      <c r="DR40" s="277" t="str">
        <f>IF(AND('1.4 Analyse &amp; Synthese'!AH41=1,'1.4 Analyse &amp; Synthese'!F41="Empfehlung"),'1.4 Analyse &amp; Synthese'!I41&amp;CHAR(13)&amp;"("&amp;'(Codierung)'!$C$2&amp;" - "&amp;'1.4 Analyse &amp; Synthese'!C41&amp;")","")</f>
        <v/>
      </c>
      <c r="DS40" s="277" t="str">
        <f t="array" ref="DS40">_xlfn.IFNA(INDEX($DR$6:$DR$66,MATCH(0,COUNTIF($DS$4:DS39,$DR$6:$DR$66),0),1),"")</f>
        <v/>
      </c>
      <c r="DT40" s="277" t="str">
        <f>IF(AND('1.4 Analyse &amp; Synthese'!AH41=1,'1.4 Analyse &amp; Synthese'!F41="Methode"),'1.4 Analyse &amp; Synthese'!I41&amp;CHAR(13)&amp;"("&amp;'(Codierung)'!$C$3&amp;" - "&amp;'1.4 Analyse &amp; Synthese'!C41&amp;")","")</f>
        <v/>
      </c>
      <c r="DU40" s="277" t="str">
        <f t="array" ref="DU40">_xlfn.IFNA(INDEX($DT$6:$DT$66,MATCH(0,COUNTIF($DU$4:DU39,$DT$6:$DT$66),0),1),"")</f>
        <v/>
      </c>
      <c r="DV40" s="277" t="str">
        <f>IF(AND('1.4 Analyse &amp; Synthese'!AH41=1,'1.4 Analyse &amp; Synthese'!F41="Werkzeug"),'1.4 Analyse &amp; Synthese'!I41&amp;CHAR(13)&amp;"("&amp;'(Codierung)'!$C$4&amp;" - "&amp;'1.4 Analyse &amp; Synthese'!C41&amp;")","")</f>
        <v/>
      </c>
      <c r="DW40" s="277" t="str">
        <f t="array" ref="DW40">_xlfn.IFNA(INDEX($DV$6:$DV$66,MATCH(0,COUNTIF($DW$4:DW39,$DV$6:$DV$66),0),1),"")</f>
        <v/>
      </c>
      <c r="DY40" s="277" t="str">
        <f>IF(AND('1.4 Analyse &amp; Synthese'!AI41=1,'1.4 Analyse &amp; Synthese'!F41="Empfehlung"),'1.4 Analyse &amp; Synthese'!I41&amp;CHAR(13)&amp;"("&amp;'(Codierung)'!$C$2&amp;" - "&amp;'1.4 Analyse &amp; Synthese'!C41&amp;")","")</f>
        <v/>
      </c>
      <c r="DZ40" s="277" t="str">
        <f t="array" ref="DZ40">_xlfn.IFNA(INDEX($DY$6:$DY$66,MATCH(0,COUNTIF($DZ$4:DZ39,$DY$6:$DY$66),0),1),"")</f>
        <v/>
      </c>
      <c r="EA40" s="277" t="str">
        <f>IF(AND('1.4 Analyse &amp; Synthese'!AI41=1,'1.4 Analyse &amp; Synthese'!F41="Methode"),'1.4 Analyse &amp; Synthese'!I41&amp;CHAR(13)&amp;"("&amp;'(Codierung)'!$C$3&amp;" - "&amp;'1.4 Analyse &amp; Synthese'!C41&amp;")","")</f>
        <v/>
      </c>
      <c r="EB40" s="277" t="str">
        <f t="array" ref="EB40">_xlfn.IFNA(INDEX($EA$6:$EA$66,MATCH(0,COUNTIF($EB$4:EB39,$EA$6:$EA$66),0),1),"")</f>
        <v/>
      </c>
      <c r="EC40" s="277" t="str">
        <f>IF(AND('1.4 Analyse &amp; Synthese'!AI41=1,'1.4 Analyse &amp; Synthese'!F41="Werkzeug"),'1.4 Analyse &amp; Synthese'!I41&amp;CHAR(13)&amp;"("&amp;'(Codierung)'!$C$4&amp;" - "&amp;'1.4 Analyse &amp; Synthese'!C41&amp;")","")</f>
        <v/>
      </c>
      <c r="ED40" s="277" t="str">
        <f t="array" ref="ED40">_xlfn.IFNA(INDEX($EC$6:$EC$66,MATCH(0,COUNTIF($ED$4:ED39,$EC$6:$EC$66),0),1),"")</f>
        <v/>
      </c>
      <c r="EF40" s="277" t="str">
        <f>IF(AND('1.4 Analyse &amp; Synthese'!AJ41=1,'1.4 Analyse &amp; Synthese'!F41="Empfehlung"),'1.4 Analyse &amp; Synthese'!I41&amp;CHAR(13)&amp;"("&amp;'(Codierung)'!$C$2&amp;" - "&amp;'1.4 Analyse &amp; Synthese'!C41&amp;")","")</f>
        <v/>
      </c>
      <c r="EG40" s="277" t="str">
        <f t="array" ref="EG40">_xlfn.IFNA(INDEX($EF$6:$EF$66,MATCH(0,COUNTIF($EG$4:EG39,$EF$6:$EF$66),0),1),"")</f>
        <v/>
      </c>
      <c r="EH40" s="277" t="str">
        <f>IF(AND('1.4 Analyse &amp; Synthese'!AJ41=1,'1.4 Analyse &amp; Synthese'!F41="Methode"),'1.4 Analyse &amp; Synthese'!I41&amp;CHAR(13)&amp;"("&amp;'(Codierung)'!$C$3&amp;" - "&amp;'1.4 Analyse &amp; Synthese'!C41&amp;")","")</f>
        <v/>
      </c>
      <c r="EI40" s="277" t="str">
        <f t="array" ref="EI40">_xlfn.IFNA(INDEX($EH$6:$EH$66,MATCH(0,COUNTIF($EI$4:EI39,$EH$6:$EH$66),0),1),"")</f>
        <v/>
      </c>
      <c r="EJ40" s="277" t="str">
        <f>IF(AND('1.4 Analyse &amp; Synthese'!AJ41=1,'1.4 Analyse &amp; Synthese'!F41="Werkzeug"),'1.4 Analyse &amp; Synthese'!I41&amp;CHAR(13)&amp;"("&amp;'(Codierung)'!$C$4&amp;" - "&amp;'1.4 Analyse &amp; Synthese'!C41&amp;")","")</f>
        <v/>
      </c>
      <c r="EK40" s="277" t="str">
        <f t="array" ref="EK40">_xlfn.IFNA(INDEX($EJ$6:$EJ$66,MATCH(0,COUNTIF($EK$4:EK39,$EJ$6:$EJ$66),0),1),"")</f>
        <v/>
      </c>
      <c r="EN40" s="222" t="str">
        <f t="shared" si="60"/>
        <v/>
      </c>
      <c r="EO40" s="277" t="str">
        <f t="shared" si="61"/>
        <v/>
      </c>
      <c r="EP40" s="277" t="str">
        <f t="shared" si="62"/>
        <v/>
      </c>
      <c r="EQ40" s="277" t="str">
        <f>ZahlenInBereich(Tabelle1[[Empfehlung]:[Werkzeug]],ROW()-5)</f>
        <v/>
      </c>
      <c r="ER40" s="277" t="str">
        <f t="shared" si="63"/>
        <v/>
      </c>
      <c r="ES40" s="277" t="str">
        <f t="shared" si="64"/>
        <v/>
      </c>
      <c r="ET40" s="277" t="str">
        <f t="shared" si="65"/>
        <v/>
      </c>
      <c r="EU40" s="277" t="str">
        <f>ZahlenInBereich(Tabelle1[[Empfehlung2]:[Werkzeug4]],ROW()-5)</f>
        <v/>
      </c>
      <c r="EV40" s="277" t="str">
        <f t="shared" si="66"/>
        <v/>
      </c>
      <c r="EW40" s="277" t="str">
        <f t="shared" si="67"/>
        <v/>
      </c>
      <c r="EX40" s="277" t="str">
        <f t="shared" si="68"/>
        <v/>
      </c>
      <c r="EY40" s="277" t="str">
        <f>ZahlenInBereich(Tabelle1[[Empfehlung6]:[Werkzeug8]],ROW()-5)</f>
        <v/>
      </c>
      <c r="EZ40" s="277" t="str">
        <f t="shared" si="69"/>
        <v/>
      </c>
      <c r="FA40" s="277" t="str">
        <f t="shared" si="70"/>
        <v/>
      </c>
      <c r="FB40" s="277" t="str">
        <f t="shared" si="71"/>
        <v/>
      </c>
      <c r="FC40" s="277" t="str">
        <f>ZahlenInBereich(Tabelle1[[Empfehlung10]:[Werkzeug12]],ROW()-5)</f>
        <v/>
      </c>
      <c r="FD40" s="277" t="str">
        <f t="shared" si="72"/>
        <v/>
      </c>
      <c r="FE40" s="277" t="str">
        <f t="shared" si="73"/>
        <v/>
      </c>
      <c r="FF40" s="277" t="str">
        <f t="shared" si="74"/>
        <v/>
      </c>
      <c r="FG40" s="277" t="str">
        <f>ZahlenInBereich(Tabelle1[[Empfehlung14]:[Werkzeug16]],ROW()-5)</f>
        <v/>
      </c>
      <c r="FH40" s="277" t="str">
        <f t="shared" si="75"/>
        <v/>
      </c>
      <c r="FI40" s="277" t="str">
        <f t="shared" si="76"/>
        <v/>
      </c>
      <c r="FJ40" s="277" t="str">
        <f t="shared" si="77"/>
        <v/>
      </c>
      <c r="FK40" s="277" t="str">
        <f>ZahlenInBereich(Tabelle1[[Empfehlung18]:[Werkzeug20]],ROW()-5)</f>
        <v/>
      </c>
      <c r="FL40" s="277" t="str">
        <f t="shared" si="78"/>
        <v/>
      </c>
      <c r="FM40" s="277" t="str">
        <f t="shared" si="79"/>
        <v/>
      </c>
      <c r="FN40" s="277" t="str">
        <f t="shared" si="80"/>
        <v/>
      </c>
      <c r="FO40" s="277" t="str">
        <f>ZahlenInBereich(Tabelle1[[Empfehlung22]:[Werkzeug24]],ROW()-5)</f>
        <v/>
      </c>
      <c r="FP40" s="277" t="str">
        <f t="shared" si="81"/>
        <v/>
      </c>
      <c r="FQ40" s="277" t="str">
        <f t="shared" si="82"/>
        <v/>
      </c>
      <c r="FR40" s="277" t="str">
        <f t="shared" si="83"/>
        <v/>
      </c>
      <c r="FS40" s="277" t="str">
        <f>ZahlenInBereich(Tabelle1[[Empfehlung26]:[Werkzeug28]],ROW()-5)</f>
        <v/>
      </c>
      <c r="FT40" s="277" t="str">
        <f t="shared" si="84"/>
        <v/>
      </c>
      <c r="FU40" s="277" t="str">
        <f t="shared" si="85"/>
        <v/>
      </c>
      <c r="FV40" s="277" t="str">
        <f t="shared" si="86"/>
        <v/>
      </c>
      <c r="FW40" s="277" t="str">
        <f>ZahlenInBereich(Tabelle1[[Empfehlung30]:[Werkzeug32]],ROW()-5)</f>
        <v/>
      </c>
      <c r="FX40" s="277" t="str">
        <f t="shared" si="87"/>
        <v/>
      </c>
      <c r="FY40" s="277" t="str">
        <f t="shared" si="88"/>
        <v/>
      </c>
      <c r="FZ40" s="277" t="str">
        <f t="shared" si="89"/>
        <v/>
      </c>
      <c r="GA40" s="277" t="str">
        <f>ZahlenInBereich(Tabelle1[[Empfehlung34]:[Werkzeug36]],ROW()-5)</f>
        <v/>
      </c>
      <c r="GB40" s="277" t="str">
        <f t="shared" si="90"/>
        <v/>
      </c>
      <c r="GC40" s="277" t="str">
        <f t="shared" si="91"/>
        <v/>
      </c>
      <c r="GD40" s="277" t="str">
        <f t="shared" si="92"/>
        <v/>
      </c>
      <c r="GE40" s="277" t="str">
        <f>ZahlenInBereich(Tabelle1[[Empfehlung38]:[Werkzeug40]],ROW()-5)</f>
        <v/>
      </c>
      <c r="GF40" s="277" t="str">
        <f t="shared" si="93"/>
        <v/>
      </c>
      <c r="GG40" s="277" t="str">
        <f t="shared" si="94"/>
        <v/>
      </c>
      <c r="GH40" s="277" t="str">
        <f t="shared" si="95"/>
        <v/>
      </c>
      <c r="GI40" s="277" t="str">
        <f>ZahlenInBereich(Tabelle1[[Empfehlung42]:[Werkzeug44]],ROW()-5)</f>
        <v/>
      </c>
      <c r="GJ40" s="277" t="str">
        <f t="shared" si="96"/>
        <v/>
      </c>
      <c r="GK40" s="277" t="str">
        <f t="shared" si="97"/>
        <v/>
      </c>
      <c r="GL40" s="277" t="str">
        <f t="shared" si="98"/>
        <v/>
      </c>
      <c r="GM40" s="277" t="str">
        <f>ZahlenInBereich(Tabelle1[[Empfehlung46]:[Werkzeug48]],ROW()-5)</f>
        <v/>
      </c>
      <c r="GN40" s="277" t="str">
        <f t="shared" si="99"/>
        <v/>
      </c>
      <c r="GO40" s="277" t="str">
        <f t="shared" si="100"/>
        <v/>
      </c>
      <c r="GP40" s="277" t="str">
        <f t="shared" si="101"/>
        <v/>
      </c>
      <c r="GQ40" s="277" t="str">
        <f>ZahlenInBereich(Tabelle1[[Empfehlung50]:[Werkzeug52]],ROW()-5)</f>
        <v/>
      </c>
      <c r="GR40" s="277" t="str">
        <f t="shared" si="102"/>
        <v/>
      </c>
      <c r="GS40" s="277" t="str">
        <f t="shared" si="103"/>
        <v/>
      </c>
      <c r="GT40" s="277" t="str">
        <f t="shared" si="104"/>
        <v/>
      </c>
      <c r="GU40" s="277" t="str">
        <f>ZahlenInBereich(Tabelle1[[Empfehlung54]:[Werkzeug56]],ROW()-5)</f>
        <v/>
      </c>
      <c r="GV40" s="277" t="str">
        <f t="shared" si="105"/>
        <v/>
      </c>
      <c r="GW40" s="277" t="str">
        <f t="shared" si="106"/>
        <v/>
      </c>
      <c r="GX40" s="277" t="str">
        <f t="shared" si="107"/>
        <v/>
      </c>
      <c r="GY40" s="277" t="str">
        <f>ZahlenInBereich(Tabelle1[[Empfehlung58]:[Werkzeug60]],ROW()-5)</f>
        <v/>
      </c>
      <c r="GZ40" s="277" t="str">
        <f t="shared" si="108"/>
        <v/>
      </c>
      <c r="HA40" s="277" t="str">
        <f t="shared" si="109"/>
        <v/>
      </c>
      <c r="HB40" s="277" t="str">
        <f t="shared" si="110"/>
        <v/>
      </c>
      <c r="HC40" s="277" t="str">
        <f>ZahlenInBereich(Tabelle1[[Empfehlung62]:[Werkzeug64]],ROW()-5)</f>
        <v/>
      </c>
      <c r="HD40" s="277" t="str">
        <f t="shared" si="111"/>
        <v/>
      </c>
      <c r="HE40" s="277" t="str">
        <f t="shared" si="112"/>
        <v/>
      </c>
      <c r="HF40" s="277" t="str">
        <f t="shared" si="113"/>
        <v/>
      </c>
      <c r="HG40" s="277" t="str">
        <f>ZahlenInBereich(Tabelle1[[Empfehlung66]:[Werkzeug68]],ROW()-5)</f>
        <v/>
      </c>
      <c r="HH40" s="277" t="str">
        <f t="shared" si="114"/>
        <v/>
      </c>
      <c r="HI40" s="277" t="str">
        <f t="shared" si="115"/>
        <v/>
      </c>
      <c r="HJ40" s="277" t="str">
        <f t="shared" si="116"/>
        <v/>
      </c>
      <c r="HK40" s="277" t="str">
        <f>ZahlenInBereich(Tabelle1[[Empfehlung70]:[Werkzeug72]],ROW()-5)</f>
        <v/>
      </c>
      <c r="HL40" s="277" t="str">
        <f t="shared" si="117"/>
        <v/>
      </c>
      <c r="HM40" s="277" t="str">
        <f t="shared" si="118"/>
        <v/>
      </c>
      <c r="HN40" s="277" t="str">
        <f t="shared" si="119"/>
        <v/>
      </c>
      <c r="HO40" s="277" t="str">
        <f>ZahlenInBereich(Tabelle1[[Empfehlung74]:[Werkzeug76]],ROW()-5)</f>
        <v/>
      </c>
    </row>
    <row r="41" spans="2:223" ht="32" x14ac:dyDescent="0.2">
      <c r="B41" s="134">
        <f>'1.4 Analyse &amp; Synthese'!B42</f>
        <v>36</v>
      </c>
      <c r="C41" s="277" t="str">
        <f>IF(AND('1.4 Analyse &amp; Synthese'!Q42=1,'1.4 Analyse &amp; Synthese'!F42="Empfehlung"),'1.4 Analyse &amp; Synthese'!I42&amp;CHAR(13)&amp;"("&amp;'(Codierung)'!$C$2&amp;" - "&amp;'1.4 Analyse &amp; Synthese'!C42&amp;")","")</f>
        <v/>
      </c>
      <c r="D41" s="222" t="str">
        <f t="array" ref="D41">_xlfn.IFNA(INDEX($C$6:$C$66,MATCH(0,COUNTIF($D$4:D40,$C$6:$C$66),0),1),"")</f>
        <v/>
      </c>
      <c r="E41" s="277" t="str">
        <f>IF(AND('1.4 Analyse &amp; Synthese'!Q42=1,'1.4 Analyse &amp; Synthese'!F42="Methode"),'1.4 Analyse &amp; Synthese'!I42&amp;CHAR(13)&amp;"("&amp;'(Codierung)'!$C$3&amp;" - "&amp;'1.4 Analyse &amp; Synthese'!C42&amp;")","")</f>
        <v/>
      </c>
      <c r="F41" s="277" t="str">
        <f t="array" ref="F41">_xlfn.IFNA(INDEX($E$6:$E$66,MATCH(0,COUNTIF($F$4:F40,$E$6:$E$66),0),1),"")</f>
        <v/>
      </c>
      <c r="G41" s="277" t="str">
        <f>IF(AND('1.4 Analyse &amp; Synthese'!Q42=1,'1.4 Analyse &amp; Synthese'!F42="Werkzeug"),'1.4 Analyse &amp; Synthese'!I42&amp;CHAR(13)&amp;"("&amp;'(Codierung)'!$C$4&amp;" - "&amp;'1.4 Analyse &amp; Synthese'!C42&amp;")","")</f>
        <v/>
      </c>
      <c r="H41" s="277" t="str">
        <f t="array" ref="H41">_xlfn.IFNA(INDEX($G$6:$G$66,MATCH(0,COUNTIF($H$4:H40,$G$6:$G$66),0),1),"")</f>
        <v/>
      </c>
      <c r="J41" s="277" t="str">
        <f>IF(AND('1.4 Analyse &amp; Synthese'!R42=1,'1.4 Analyse &amp; Synthese'!F42="Empfehlung"),'1.4 Analyse &amp; Synthese'!I42&amp;CHAR(13)&amp;"("&amp;'(Codierung)'!$C$2&amp;" - "&amp;'1.4 Analyse &amp; Synthese'!C42&amp;")","")</f>
        <v/>
      </c>
      <c r="K41" s="277" t="str">
        <f t="array" ref="K41">_xlfn.IFNA(INDEX($J$6:$J$66,MATCH(0,COUNTIF($K$4:K40,$J$6:$J$66),0),1),"")</f>
        <v/>
      </c>
      <c r="L41" s="277" t="str">
        <f>IF(AND('1.4 Analyse &amp; Synthese'!R42=1,'1.4 Analyse &amp; Synthese'!F42="Methode"),'1.4 Analyse &amp; Synthese'!I42&amp;CHAR(13)&amp;"("&amp;'(Codierung)'!$C$3&amp;" - "&amp;'1.4 Analyse &amp; Synthese'!C42&amp;")","")</f>
        <v>SLA Management Aggregation_x000D_(Methode - Ul Haq)</v>
      </c>
      <c r="M41" s="277" t="str">
        <f t="array" ref="M41">_xlfn.IFNA(INDEX($L$6:$L$66,MATCH(0,COUNTIF($M$4:M40,$L$6:$L$66),0),1),"")</f>
        <v/>
      </c>
      <c r="N41" s="277" t="str">
        <f>IF(AND('1.4 Analyse &amp; Synthese'!R42=1,'1.4 Analyse &amp; Synthese'!F42="Werkzeug"),'1.4 Analyse &amp; Synthese'!I42&amp;CHAR(13)&amp;"("&amp;'(Codierung)'!$C$4&amp;" - "&amp;'1.4 Analyse &amp; Synthese'!C42&amp;")","")</f>
        <v/>
      </c>
      <c r="O41" s="277" t="str">
        <f t="array" ref="O41">_xlfn.IFNA(INDEX($N$6:$N$66,MATCH(0,COUNTIF($O$4:O40,$N$6:$N$66),0),1),"")</f>
        <v/>
      </c>
      <c r="Q41" s="277" t="str">
        <f>IF(AND('1.4 Analyse &amp; Synthese'!S42=1,'1.4 Analyse &amp; Synthese'!F42="Empfehlung"),'1.4 Analyse &amp; Synthese'!I42&amp;CHAR(13)&amp;"("&amp;'(Codierung)'!$C$2&amp;" - "&amp;'1.4 Analyse &amp; Synthese'!C42&amp;")","")</f>
        <v/>
      </c>
      <c r="R41" s="277" t="str">
        <f t="array" ref="R41">_xlfn.IFNA(INDEX($Q$6:$Q$66,MATCH(0,COUNTIF($R$4:R40,$Q$6:$Q$66),0),1),"")</f>
        <v/>
      </c>
      <c r="S41" s="277" t="str">
        <f>IF(AND('1.4 Analyse &amp; Synthese'!S42=1,'1.4 Analyse &amp; Synthese'!F42="Methode"),'1.4 Analyse &amp; Synthese'!I42&amp;CHAR(13)&amp;"("&amp;'(Codierung)'!$C$3&amp;" - "&amp;'1.4 Analyse &amp; Synthese'!C42&amp;")","")</f>
        <v>SLA Management Aggregation_x000D_(Methode - Ul Haq)</v>
      </c>
      <c r="T41" s="277" t="str">
        <f t="array" ref="T41">_xlfn.IFNA(INDEX($S$6:$S$66,MATCH(0,COUNTIF($T$4:T40,$S$6:$S$66),0),1),"")</f>
        <v/>
      </c>
      <c r="U41" s="277" t="str">
        <f>IF(AND('1.4 Analyse &amp; Synthese'!S42=1,'1.4 Analyse &amp; Synthese'!F42="Werkzeug"),'1.4 Analyse &amp; Synthese'!I42&amp;CHAR(13)&amp;"("&amp;'(Codierung)'!$C$4&amp;" - "&amp;'1.4 Analyse &amp; Synthese'!C42&amp;")","")</f>
        <v/>
      </c>
      <c r="V41" s="277" t="str">
        <f t="array" ref="V41">_xlfn.IFNA(INDEX($U$6:$U$66,MATCH(0,COUNTIF($V$4:V40,$U$6:$U$66),0),1),"")</f>
        <v/>
      </c>
      <c r="X41" s="277" t="str">
        <f>IF(AND('1.4 Analyse &amp; Synthese'!T42=1,'1.4 Analyse &amp; Synthese'!F42="Empfehlung"),'1.4 Analyse &amp; Synthese'!I42&amp;CHAR(13)&amp;"("&amp;'(Codierung)'!$C$2&amp;" - "&amp;'1.4 Analyse &amp; Synthese'!C42&amp;")","")</f>
        <v/>
      </c>
      <c r="Y41" s="277" t="str">
        <f t="array" ref="Y41">_xlfn.IFNA(INDEX($X$6:$X$66,MATCH(0,COUNTIF($Y$4:Y40,$X$6:$X$66),0),1),"")</f>
        <v/>
      </c>
      <c r="Z41" s="277" t="str">
        <f>IF(AND('1.4 Analyse &amp; Synthese'!T42=1,'1.4 Analyse &amp; Synthese'!F42="Methode"),'1.4 Analyse &amp; Synthese'!I42&amp;CHAR(13)&amp;"("&amp;'(Codierung)'!$C$3&amp;" - "&amp;'1.4 Analyse &amp; Synthese'!C42&amp;")","")</f>
        <v/>
      </c>
      <c r="AA41" s="277" t="str">
        <f t="array" ref="AA41">_xlfn.IFNA(INDEX($Z$6:$Z$66,MATCH(0,COUNTIF($AA$4:AA40,$Z$6:$Z$66),0),1),"")</f>
        <v/>
      </c>
      <c r="AB41" s="277" t="str">
        <f>IF(AND('1.4 Analyse &amp; Synthese'!T42=1,'1.4 Analyse &amp; Synthese'!F42="Werkzeug"),'1.4 Analyse &amp; Synthese'!I42&amp;CHAR(13)&amp;"("&amp;'(Codierung)'!$C$4&amp;" - "&amp;'1.4 Analyse &amp; Synthese'!C42&amp;")","")</f>
        <v/>
      </c>
      <c r="AC41" s="277" t="str">
        <f t="array" ref="AC41">_xlfn.IFNA(INDEX($AB$6:$AB$66,MATCH(0,COUNTIF($AC$4:AC40,$AB$6:$AB$66),0),1),"")</f>
        <v/>
      </c>
      <c r="AE41" s="277" t="str">
        <f>IF(AND('1.4 Analyse &amp; Synthese'!U42=1,'1.4 Analyse &amp; Synthese'!F42="Empfehlung"),'1.4 Analyse &amp; Synthese'!I42&amp;CHAR(13)&amp;"("&amp;'(Codierung)'!$C$2&amp;" - "&amp;'1.4 Analyse &amp; Synthese'!C42&amp;")","")</f>
        <v/>
      </c>
      <c r="AF41" s="277" t="str">
        <f t="array" ref="AF41">_xlfn.IFNA(INDEX($AE$6:$AE$66,MATCH(0,COUNTIF($AF$4:AF40,$AE$6:$AE$66),0),1),"")</f>
        <v/>
      </c>
      <c r="AG41" s="277" t="str">
        <f>IF(AND('1.4 Analyse &amp; Synthese'!U42=1,'1.4 Analyse &amp; Synthese'!F42="Methode"),'1.4 Analyse &amp; Synthese'!I42&amp;CHAR(13)&amp;"("&amp;'(Codierung)'!$C$3&amp;" - "&amp;'1.4 Analyse &amp; Synthese'!C42&amp;")","")</f>
        <v/>
      </c>
      <c r="AH41" s="277" t="str">
        <f t="array" ref="AH41">_xlfn.IFNA(INDEX($AG$6:$AG$66,MATCH(0,COUNTIF($AH$4:AH40,$AG$6:$AG$66),0),1),"")</f>
        <v/>
      </c>
      <c r="AI41" s="277" t="str">
        <f>IF(AND('1.4 Analyse &amp; Synthese'!U42=1,'1.4 Analyse &amp; Synthese'!F42="Werkzeug"),'1.4 Analyse &amp; Synthese'!I42&amp;CHAR(13)&amp;"("&amp;'(Codierung)'!$C$4&amp;" - "&amp;'1.4 Analyse &amp; Synthese'!C42&amp;")","")</f>
        <v/>
      </c>
      <c r="AJ41" s="277" t="str">
        <f t="array" ref="AJ41">_xlfn.IFNA(INDEX($AI$6:$AI$66,MATCH(0,COUNTIF($AJ$4:AJ40,$AI$6:$AI$66),0),1),"")</f>
        <v/>
      </c>
      <c r="AL41" s="277" t="str">
        <f>IF(AND('1.4 Analyse &amp; Synthese'!V42=1,'1.4 Analyse &amp; Synthese'!F42="Empfehlung"),'1.4 Analyse &amp; Synthese'!I42&amp;CHAR(13)&amp;"("&amp;'(Codierung)'!$C$2&amp;" - "&amp;'1.4 Analyse &amp; Synthese'!C42&amp;")","")</f>
        <v/>
      </c>
      <c r="AM41" s="277" t="str">
        <f t="array" ref="AM41">_xlfn.IFNA(INDEX($AL$6:$AL$66,MATCH(0,COUNTIF($AM$4:AM40,$AL$6:$AL$66),0),1),"")</f>
        <v/>
      </c>
      <c r="AN41" s="277" t="str">
        <f>IF(AND('1.4 Analyse &amp; Synthese'!V42=1,'1.4 Analyse &amp; Synthese'!F42="Methode"),'1.4 Analyse &amp; Synthese'!I42&amp;CHAR(13)&amp;"("&amp;'(Codierung)'!$C$3&amp;" - "&amp;'1.4 Analyse &amp; Synthese'!C42&amp;")","")</f>
        <v/>
      </c>
      <c r="AO41" s="277" t="str">
        <f t="array" ref="AO41">_xlfn.IFNA(INDEX($AN$6:$AN$66,MATCH(0,COUNTIF($AO$4:AO40,$AN$6:$AN$66),0),1),"")</f>
        <v/>
      </c>
      <c r="AP41" s="277" t="str">
        <f>IF(AND('1.4 Analyse &amp; Synthese'!V42=1,'1.4 Analyse &amp; Synthese'!F42="Werkzeug"),'1.4 Analyse &amp; Synthese'!I42&amp;CHAR(13)&amp;"("&amp;'(Codierung)'!$C$4&amp;" - "&amp;'1.4 Analyse &amp; Synthese'!C42&amp;")","")</f>
        <v/>
      </c>
      <c r="AQ41" s="277" t="str">
        <f t="array" ref="AQ41">_xlfn.IFNA(INDEX($AP$6:$AP$66,MATCH(0,COUNTIF($AQ$4:AQ40,$AP$6:$AP$66),0),1),"")</f>
        <v/>
      </c>
      <c r="AS41" s="277" t="str">
        <f>IF(AND('1.4 Analyse &amp; Synthese'!W42=1,'1.4 Analyse &amp; Synthese'!F42="Empfehlung"),'1.4 Analyse &amp; Synthese'!I42&amp;CHAR(13)&amp;"("&amp;'(Codierung)'!$C$2&amp;" - "&amp;'1.4 Analyse &amp; Synthese'!C42&amp;")","")</f>
        <v/>
      </c>
      <c r="AT41" s="277" t="str">
        <f t="array" ref="AT41">_xlfn.IFNA(INDEX($AS$6:$AS$66,MATCH(0,COUNTIF($AT$4:AT40,$AS$6:$AS$66),0),1),"")</f>
        <v/>
      </c>
      <c r="AU41" s="277" t="str">
        <f>IF(AND('1.4 Analyse &amp; Synthese'!W42=1,'1.4 Analyse &amp; Synthese'!F42="Methode"),'1.4 Analyse &amp; Synthese'!I42&amp;CHAR(13)&amp;"("&amp;'(Codierung)'!$C$3&amp;" - "&amp;'1.4 Analyse &amp; Synthese'!C42&amp;")","")</f>
        <v/>
      </c>
      <c r="AV41" s="277" t="str">
        <f t="array" ref="AV41">_xlfn.IFNA(INDEX($AU$6:$AU$66,MATCH(0,COUNTIF($AV$4:AV40,$AU$6:$AU$66),0),1),"")</f>
        <v/>
      </c>
      <c r="AW41" s="277" t="str">
        <f>IF(AND('1.4 Analyse &amp; Synthese'!W42=1,'1.4 Analyse &amp; Synthese'!F42="Werkzeug"),'1.4 Analyse &amp; Synthese'!I42&amp;CHAR(13)&amp;"("&amp;'(Codierung)'!$C$4&amp;" - "&amp;'1.4 Analyse &amp; Synthese'!C42&amp;")","")</f>
        <v/>
      </c>
      <c r="AX41" s="277" t="str">
        <f t="array" ref="AX41">_xlfn.IFNA(INDEX($AW$6:$AW$66,MATCH(0,COUNTIF($AX$4:AX40,$AW$6:$AW$66),0),1),"")</f>
        <v/>
      </c>
      <c r="AZ41" s="277" t="str">
        <f>IF(AND('1.4 Analyse &amp; Synthese'!X42=1,'1.4 Analyse &amp; Synthese'!F42="Empfehlung"),'1.4 Analyse &amp; Synthese'!I42&amp;CHAR(13)&amp;"("&amp;'(Codierung)'!$C$2&amp;" - "&amp;'1.4 Analyse &amp; Synthese'!C42&amp;")","")</f>
        <v/>
      </c>
      <c r="BA41" s="277" t="str">
        <f t="array" ref="BA41">_xlfn.IFNA(INDEX($AZ$6:$AZ$66,MATCH(0,COUNTIF($BA$4:BA40,$AZ$6:$AZ$66),0),1),"")</f>
        <v/>
      </c>
      <c r="BB41" s="277" t="str">
        <f>IF(AND('1.4 Analyse &amp; Synthese'!X42=1,'1.4 Analyse &amp; Synthese'!F42="Methode"),'1.4 Analyse &amp; Synthese'!I42&amp;CHAR(13)&amp;"("&amp;'(Codierung)'!$C$3&amp;" - "&amp;'1.4 Analyse &amp; Synthese'!C42&amp;")","")</f>
        <v/>
      </c>
      <c r="BC41" s="277" t="str">
        <f t="array" ref="BC41">_xlfn.IFNA(INDEX($BB$6:$BB$66,MATCH(0,COUNTIF($BC$4:BC40,$BB$6:$BB$66),0),1),"")</f>
        <v/>
      </c>
      <c r="BD41" s="277" t="str">
        <f>IF(AND('1.4 Analyse &amp; Synthese'!X42=1,'1.4 Analyse &amp; Synthese'!F42="Werkzeug"),'1.4 Analyse &amp; Synthese'!I42&amp;CHAR(13)&amp;"("&amp;'(Codierung)'!$C$4&amp;" - "&amp;'1.4 Analyse &amp; Synthese'!C42&amp;")","")</f>
        <v/>
      </c>
      <c r="BE41" s="277" t="str">
        <f t="array" ref="BE41">_xlfn.IFNA(INDEX($BD$6:$BD$66,MATCH(0,COUNTIF($BE$4:BE40,$BD$6:$BD$66),0),1),"")</f>
        <v/>
      </c>
      <c r="BG41" s="277" t="str">
        <f>IF(AND('1.4 Analyse &amp; Synthese'!Y42=1,'1.4 Analyse &amp; Synthese'!F42="Empfehlung"),'1.4 Analyse &amp; Synthese'!I42&amp;CHAR(13)&amp;"("&amp;'(Codierung)'!$C$2&amp;" - "&amp;'1.4 Analyse &amp; Synthese'!C42&amp;")","")</f>
        <v/>
      </c>
      <c r="BH41" s="277" t="str">
        <f t="array" ref="BH41">_xlfn.IFNA(INDEX($BG$6:$BG$66,MATCH(0,COUNTIF($BH$4:BH40,$BG$6:$BG$66),0),1),"")</f>
        <v/>
      </c>
      <c r="BI41" s="277" t="str">
        <f>IF(AND('1.4 Analyse &amp; Synthese'!Y42=1,'1.4 Analyse &amp; Synthese'!F42="Methode"),'1.4 Analyse &amp; Synthese'!I42&amp;CHAR(13)&amp;"("&amp;'(Codierung)'!$C$3&amp;" - "&amp;'1.4 Analyse &amp; Synthese'!C42&amp;")","")</f>
        <v/>
      </c>
      <c r="BJ41" s="277" t="str">
        <f t="array" ref="BJ41">_xlfn.IFNA(INDEX($BI$6:$BI$66,MATCH(0,COUNTIF($BJ$4:BJ40,$BI$6:$BI$66),0),1),"")</f>
        <v/>
      </c>
      <c r="BK41" s="277" t="str">
        <f>IF(AND('1.4 Analyse &amp; Synthese'!Y42=1,'1.4 Analyse &amp; Synthese'!F42="Werkzeug"),'1.4 Analyse &amp; Synthese'!I42&amp;CHAR(13)&amp;"("&amp;'(Codierung)'!$C$4&amp;" - "&amp;'1.4 Analyse &amp; Synthese'!C42&amp;")","")</f>
        <v/>
      </c>
      <c r="BL41" s="277" t="str">
        <f t="array" ref="BL41">_xlfn.IFNA(INDEX($BK$6:$BK$66,MATCH(0,COUNTIF($BL$4:BL40,$BK$6:$BK$66),0),1),"")</f>
        <v/>
      </c>
      <c r="BN41" s="277" t="str">
        <f>IF(AND('1.4 Analyse &amp; Synthese'!Z42=1,'1.4 Analyse &amp; Synthese'!F42="Empfehlung"),'1.4 Analyse &amp; Synthese'!I42&amp;CHAR(13)&amp;"("&amp;'(Codierung)'!$C$2&amp;" - "&amp;'1.4 Analyse &amp; Synthese'!C42&amp;")","")</f>
        <v/>
      </c>
      <c r="BO41" s="277" t="str">
        <f t="array" ref="BO41">_xlfn.IFNA(INDEX($BN$6:$BN$66,MATCH(0,COUNTIF($BO$4:BO40,$BN$6:$BN$66),0),1),"")</f>
        <v/>
      </c>
      <c r="BP41" s="277" t="str">
        <f>IF(AND('1.4 Analyse &amp; Synthese'!Z42=1,'1.4 Analyse &amp; Synthese'!F42="Methode"),'1.4 Analyse &amp; Synthese'!I42&amp;CHAR(13)&amp;"("&amp;'(Codierung)'!$C$3&amp;" - "&amp;'1.4 Analyse &amp; Synthese'!C42&amp;")","")</f>
        <v/>
      </c>
      <c r="BQ41" s="277" t="str">
        <f t="array" ref="BQ41">_xlfn.IFNA(INDEX($BP$6:$BP$66,MATCH(0,COUNTIF($BQ$4:BQ40,$BP$6:$BP$66),0),1),"")</f>
        <v/>
      </c>
      <c r="BR41" s="277" t="str">
        <f>IF(AND('1.4 Analyse &amp; Synthese'!Z42=1,'1.4 Analyse &amp; Synthese'!F42="Werkzeug"),'1.4 Analyse &amp; Synthese'!I42&amp;CHAR(13)&amp;"("&amp;'(Codierung)'!$C$4&amp;" - "&amp;'1.4 Analyse &amp; Synthese'!C42&amp;")","")</f>
        <v/>
      </c>
      <c r="BS41" s="277" t="str">
        <f t="array" ref="BS41">_xlfn.IFNA(INDEX($BR$6:$BR$66,MATCH(0,COUNTIF($BS$4:BS40,$BR$6:$BR$66),0),1),"")</f>
        <v/>
      </c>
      <c r="BU41" s="277" t="str">
        <f>IF(AND('1.4 Analyse &amp; Synthese'!AA42=1,'1.4 Analyse &amp; Synthese'!F42="Empfehlung"),'1.4 Analyse &amp; Synthese'!I42&amp;CHAR(13)&amp;"("&amp;'(Codierung)'!$C$2&amp;" - "&amp;'1.4 Analyse &amp; Synthese'!C42&amp;")","")</f>
        <v/>
      </c>
      <c r="BV41" s="277" t="str">
        <f t="array" ref="BV41">_xlfn.IFNA(INDEX($BU$6:$BU$66,MATCH(0,COUNTIF($BV$4:BV40,$BU$6:$BU$66),0),1),"")</f>
        <v/>
      </c>
      <c r="BW41" s="277" t="str">
        <f>IF(AND('1.4 Analyse &amp; Synthese'!AA42=1,'1.4 Analyse &amp; Synthese'!F42="Methode"),'1.4 Analyse &amp; Synthese'!I42&amp;CHAR(13)&amp;"("&amp;'(Codierung)'!$C$3&amp;" - "&amp;'1.4 Analyse &amp; Synthese'!C42&amp;")","")</f>
        <v/>
      </c>
      <c r="BX41" s="277" t="str">
        <f t="array" ref="BX41">_xlfn.IFNA(INDEX($BW$6:$BW$66,MATCH(0,COUNTIF($BX$4:BX40,$BW$6:$BW$66),0),1),"")</f>
        <v/>
      </c>
      <c r="BY41" s="277" t="str">
        <f>IF(AND('1.4 Analyse &amp; Synthese'!AA42=1,'1.4 Analyse &amp; Synthese'!F42="Werkzeug"),'1.4 Analyse &amp; Synthese'!I42&amp;CHAR(13)&amp;"("&amp;'(Codierung)'!$C$4&amp;" - "&amp;'1.4 Analyse &amp; Synthese'!C42&amp;")","")</f>
        <v/>
      </c>
      <c r="BZ41" s="277" t="str">
        <f t="array" ref="BZ41">_xlfn.IFNA(INDEX($BY$6:$BY$66,MATCH(0,COUNTIF($BZ$4:BZ40,$BY$6:$BY$66),0),1),"")</f>
        <v/>
      </c>
      <c r="CB41" s="277" t="str">
        <f>IF(AND('1.4 Analyse &amp; Synthese'!AB42=1,'1.4 Analyse &amp; Synthese'!F42="Empfehlung"),'1.4 Analyse &amp; Synthese'!I42&amp;CHAR(13)&amp;"("&amp;'(Codierung)'!$C$2&amp;" - "&amp;'1.4 Analyse &amp; Synthese'!C42&amp;")","")</f>
        <v/>
      </c>
      <c r="CC41" s="277" t="str">
        <f t="array" ref="CC41">_xlfn.IFNA(INDEX($CB$6:$CB$66,MATCH(0,COUNTIF($CC$4:CC40,$CB$6:$CB$66),0),1),"")</f>
        <v/>
      </c>
      <c r="CD41" s="277" t="str">
        <f>IF(AND('1.4 Analyse &amp; Synthese'!AB42=1,'1.4 Analyse &amp; Synthese'!F42="Methode"),'1.4 Analyse &amp; Synthese'!I42&amp;CHAR(13)&amp;"("&amp;'(Codierung)'!$C$3&amp;" - "&amp;'1.4 Analyse &amp; Synthese'!C42&amp;")","")</f>
        <v/>
      </c>
      <c r="CE41" s="277" t="str">
        <f t="array" ref="CE41">_xlfn.IFNA(INDEX($CD$6:$CD$66,MATCH(0,COUNTIF($CE$4:CE40,$CD$6:$CD$66),0),1),"")</f>
        <v/>
      </c>
      <c r="CF41" s="277" t="str">
        <f>IF(AND('1.4 Analyse &amp; Synthese'!AB42=1,'1.4 Analyse &amp; Synthese'!F42="Werkzeug"),'1.4 Analyse &amp; Synthese'!I42&amp;CHAR(13)&amp;"("&amp;'(Codierung)'!$C$4&amp;" - "&amp;'1.4 Analyse &amp; Synthese'!C42&amp;")","")</f>
        <v/>
      </c>
      <c r="CG41" s="277" t="str">
        <f t="array" ref="CG41">_xlfn.IFNA(INDEX($CF$6:$CF$66,MATCH(0,COUNTIF($CG$4:CG40,$CF$6:$CF$66),0),1),"")</f>
        <v/>
      </c>
      <c r="CI41" s="277" t="str">
        <f>IF(AND('1.4 Analyse &amp; Synthese'!AC42=1,'1.4 Analyse &amp; Synthese'!F42="Empfehlung"),'1.4 Analyse &amp; Synthese'!I42&amp;CHAR(13)&amp;"("&amp;'(Codierung)'!$C$2&amp;" - "&amp;'1.4 Analyse &amp; Synthese'!C42&amp;")","")</f>
        <v/>
      </c>
      <c r="CJ41" s="277" t="str">
        <f t="array" ref="CJ41">_xlfn.IFNA(INDEX($CI$6:$CI$66,MATCH(0,COUNTIF($CJ$4:CJ40,$CI$6:$CI$66),0),1),"")</f>
        <v/>
      </c>
      <c r="CK41" s="277" t="str">
        <f>IF(AND('1.4 Analyse &amp; Synthese'!AC42=1,'1.4 Analyse &amp; Synthese'!F42="Methode"),'1.4 Analyse &amp; Synthese'!I42&amp;CHAR(13)&amp;"("&amp;'(Codierung)'!$C$3&amp;" - "&amp;'1.4 Analyse &amp; Synthese'!C42&amp;")","")</f>
        <v/>
      </c>
      <c r="CL41" s="277" t="str">
        <f t="array" ref="CL41">_xlfn.IFNA(INDEX($CK$6:$CK$66,MATCH(0,COUNTIF($CL$4:CL40,$CK$6:$CK$66),0),1),"")</f>
        <v/>
      </c>
      <c r="CM41" s="277" t="str">
        <f>IF(AND('1.4 Analyse &amp; Synthese'!AC42=1,'1.4 Analyse &amp; Synthese'!F42="Werkzeug"),'1.4 Analyse &amp; Synthese'!I42&amp;CHAR(13)&amp;"("&amp;'(Codierung)'!$C$4&amp;" - "&amp;'1.4 Analyse &amp; Synthese'!C42&amp;")","")</f>
        <v/>
      </c>
      <c r="CN41" s="277" t="str">
        <f t="array" ref="CN41">_xlfn.IFNA(INDEX($CM$6:$CM$66,MATCH(0,COUNTIF($CN$4:CN40,$CM$6:$CM$66),0),1),"")</f>
        <v/>
      </c>
      <c r="CP41" s="277" t="str">
        <f>IF(AND('1.4 Analyse &amp; Synthese'!AD42=1,'1.4 Analyse &amp; Synthese'!F42="Empfehlung"),'1.4 Analyse &amp; Synthese'!I42&amp;CHAR(13)&amp;"("&amp;'(Codierung)'!$C$2&amp;" - "&amp;'1.4 Analyse &amp; Synthese'!C42&amp;")","")</f>
        <v/>
      </c>
      <c r="CQ41" s="277" t="str">
        <f t="array" ref="CQ41">_xlfn.IFNA(INDEX($CP$6:$CP$66,MATCH(0,COUNTIF($CQ$4:CQ40,$CP$6:$CP$66),0),1),"")</f>
        <v/>
      </c>
      <c r="CR41" s="277" t="str">
        <f>IF(AND('1.4 Analyse &amp; Synthese'!AD42=1,'1.4 Analyse &amp; Synthese'!F42="Methode"),'1.4 Analyse &amp; Synthese'!I42&amp;CHAR(13)&amp;"("&amp;'(Codierung)'!$C$3&amp;" - "&amp;'1.4 Analyse &amp; Synthese'!C42&amp;")","")</f>
        <v/>
      </c>
      <c r="CS41" s="277" t="str">
        <f t="array" ref="CS41">_xlfn.IFNA(INDEX($CR$6:$CR$66,MATCH(0,COUNTIF($CS$4:CS40,$CR$6:$CR$66),0),1),"")</f>
        <v/>
      </c>
      <c r="CT41" s="277" t="str">
        <f>IF(AND('1.4 Analyse &amp; Synthese'!AD42=1,'1.4 Analyse &amp; Synthese'!F42="Werkzeug"),'1.4 Analyse &amp; Synthese'!I42&amp;CHAR(13)&amp;"("&amp;'(Codierung)'!$C$4&amp;" - "&amp;'1.4 Analyse &amp; Synthese'!C42&amp;")","")</f>
        <v/>
      </c>
      <c r="CU41" s="277" t="str">
        <f t="array" ref="CU41">_xlfn.IFNA(INDEX($CT$6:$CT$66,MATCH(0,COUNTIF($CU$4:CU40,$CT$6:$CT$66),0),1),"")</f>
        <v/>
      </c>
      <c r="CW41" s="277" t="str">
        <f>IF(AND('1.4 Analyse &amp; Synthese'!AE42=1,'1.4 Analyse &amp; Synthese'!F42="Empfehlung"),'1.4 Analyse &amp; Synthese'!I42&amp;CHAR(13)&amp;"("&amp;'(Codierung)'!$C$2&amp;" - "&amp;'1.4 Analyse &amp; Synthese'!C42&amp;")","")</f>
        <v/>
      </c>
      <c r="CX41" s="277" t="str">
        <f t="array" ref="CX41">_xlfn.IFNA(INDEX($CW$6:$CW$66,MATCH(0,COUNTIF($CX$4:CX40,$CW$6:$CW$66),0),1),"")</f>
        <v/>
      </c>
      <c r="CY41" s="277" t="str">
        <f>IF(AND('1.4 Analyse &amp; Synthese'!AE42=1,'1.4 Analyse &amp; Synthese'!F42="Methode"),'1.4 Analyse &amp; Synthese'!I42&amp;CHAR(13)&amp;"("&amp;'(Codierung)'!$C$3&amp;" - "&amp;'1.4 Analyse &amp; Synthese'!C42&amp;")","")</f>
        <v/>
      </c>
      <c r="CZ41" s="277" t="str">
        <f t="array" ref="CZ41">_xlfn.IFNA(INDEX($CY$6:$CY$66,MATCH(0,COUNTIF($CZ$4:CZ40,$CY$6:$CY$66),0),1),"")</f>
        <v/>
      </c>
      <c r="DA41" s="277" t="str">
        <f>IF(AND('1.4 Analyse &amp; Synthese'!AE42=1,'1.4 Analyse &amp; Synthese'!F42="Werkzeug"),'1.4 Analyse &amp; Synthese'!I42&amp;CHAR(13)&amp;"("&amp;'(Codierung)'!$C$4&amp;" - "&amp;'1.4 Analyse &amp; Synthese'!C42&amp;")","")</f>
        <v/>
      </c>
      <c r="DB41" s="277" t="str">
        <f t="array" ref="DB41">_xlfn.IFNA(INDEX($DA$6:$DA$66,MATCH(0,COUNTIF($DB$4:DB40,$DA$6:$DA$66),0),1),"")</f>
        <v/>
      </c>
      <c r="DD41" s="277" t="str">
        <f>IF(AND('1.4 Analyse &amp; Synthese'!AF42=1,'1.4 Analyse &amp; Synthese'!F42="Empfehlung"),'1.4 Analyse &amp; Synthese'!I42&amp;CHAR(13)&amp;"("&amp;'(Codierung)'!$C$2&amp;" - "&amp;'1.4 Analyse &amp; Synthese'!C42&amp;")","")</f>
        <v/>
      </c>
      <c r="DE41" s="277" t="str">
        <f t="array" ref="DE41">_xlfn.IFNA(INDEX($DD$6:$DD$66,MATCH(0,COUNTIF($DE$4:DE40,$DD$6:$DD$66),0),1),"")</f>
        <v/>
      </c>
      <c r="DF41" s="277" t="str">
        <f>IF(AND('1.4 Analyse &amp; Synthese'!AF42=1,'1.4 Analyse &amp; Synthese'!F42="Methode"),'1.4 Analyse &amp; Synthese'!I42&amp;CHAR(13)&amp;"("&amp;'(Codierung)'!$C$3&amp;" - "&amp;'1.4 Analyse &amp; Synthese'!C42&amp;")","")</f>
        <v/>
      </c>
      <c r="DG41" s="277" t="str">
        <f t="array" ref="DG41">_xlfn.IFNA(INDEX($DF$6:$DF$66,MATCH(0,COUNTIF($DG$4:DG40,$DF$6:$DF$66),0),1),"")</f>
        <v/>
      </c>
      <c r="DH41" s="277" t="str">
        <f>IF(AND('1.4 Analyse &amp; Synthese'!AF42=1,'1.4 Analyse &amp; Synthese'!F42="Werkzeug"),'1.4 Analyse &amp; Synthese'!I42&amp;CHAR(13)&amp;"("&amp;'(Codierung)'!$C$4&amp;" - "&amp;'1.4 Analyse &amp; Synthese'!C42&amp;")","")</f>
        <v/>
      </c>
      <c r="DI41" s="277" t="str">
        <f t="array" ref="DI41">_xlfn.IFNA(INDEX($DH$6:$DH$66,MATCH(0,COUNTIF($DI$4:DI40,$DH$6:$DH$66),0),1),"")</f>
        <v/>
      </c>
      <c r="DK41" s="277" t="str">
        <f>IF(AND('1.4 Analyse &amp; Synthese'!AG42=1,'1.4 Analyse &amp; Synthese'!F42="Empfehlung"),'1.4 Analyse &amp; Synthese'!I42&amp;CHAR(13)&amp;"("&amp;'(Codierung)'!$C$2&amp;" - "&amp;'1.4 Analyse &amp; Synthese'!C42&amp;")","")</f>
        <v/>
      </c>
      <c r="DL41" s="277" t="str">
        <f t="array" ref="DL41">_xlfn.IFNA(INDEX($DK$6:$DK$66,MATCH(0,COUNTIF($DL$4:DL40,$DK$6:$DK$66),0),1),"")</f>
        <v/>
      </c>
      <c r="DM41" s="277" t="str">
        <f>IF(AND('1.4 Analyse &amp; Synthese'!AG42=1,'1.4 Analyse &amp; Synthese'!F42="Methode"),'1.4 Analyse &amp; Synthese'!I42&amp;CHAR(13)&amp;"("&amp;'(Codierung)'!$C$3&amp;" - "&amp;'1.4 Analyse &amp; Synthese'!C42&amp;")","")</f>
        <v/>
      </c>
      <c r="DN41" s="277" t="str">
        <f t="array" ref="DN41">_xlfn.IFNA(INDEX($DM$6:$DM$66,MATCH(0,COUNTIF($DN$4:DN40,$DM$6:$DM$66),0),1),"")</f>
        <v/>
      </c>
      <c r="DO41" s="277" t="str">
        <f>IF(AND('1.4 Analyse &amp; Synthese'!AG42=1,'1.4 Analyse &amp; Synthese'!F42="Werkzeug"),'1.4 Analyse &amp; Synthese'!I42&amp;CHAR(13)&amp;"("&amp;'(Codierung)'!$C$4&amp;" - "&amp;'1.4 Analyse &amp; Synthese'!C42&amp;")","")</f>
        <v/>
      </c>
      <c r="DP41" s="277" t="str">
        <f t="array" ref="DP41">_xlfn.IFNA(INDEX($DO$6:$DO$66,MATCH(0,COUNTIF($DP$4:DP40,$DO$6:$DO$66),0),1),"")</f>
        <v/>
      </c>
      <c r="DR41" s="277" t="str">
        <f>IF(AND('1.4 Analyse &amp; Synthese'!AH42=1,'1.4 Analyse &amp; Synthese'!F42="Empfehlung"),'1.4 Analyse &amp; Synthese'!I42&amp;CHAR(13)&amp;"("&amp;'(Codierung)'!$C$2&amp;" - "&amp;'1.4 Analyse &amp; Synthese'!C42&amp;")","")</f>
        <v/>
      </c>
      <c r="DS41" s="277" t="str">
        <f t="array" ref="DS41">_xlfn.IFNA(INDEX($DR$6:$DR$66,MATCH(0,COUNTIF($DS$4:DS40,$DR$6:$DR$66),0),1),"")</f>
        <v/>
      </c>
      <c r="DT41" s="277" t="str">
        <f>IF(AND('1.4 Analyse &amp; Synthese'!AH42=1,'1.4 Analyse &amp; Synthese'!F42="Methode"),'1.4 Analyse &amp; Synthese'!I42&amp;CHAR(13)&amp;"("&amp;'(Codierung)'!$C$3&amp;" - "&amp;'1.4 Analyse &amp; Synthese'!C42&amp;")","")</f>
        <v/>
      </c>
      <c r="DU41" s="277" t="str">
        <f t="array" ref="DU41">_xlfn.IFNA(INDEX($DT$6:$DT$66,MATCH(0,COUNTIF($DU$4:DU40,$DT$6:$DT$66),0),1),"")</f>
        <v/>
      </c>
      <c r="DV41" s="277" t="str">
        <f>IF(AND('1.4 Analyse &amp; Synthese'!AH42=1,'1.4 Analyse &amp; Synthese'!F42="Werkzeug"),'1.4 Analyse &amp; Synthese'!I42&amp;CHAR(13)&amp;"("&amp;'(Codierung)'!$C$4&amp;" - "&amp;'1.4 Analyse &amp; Synthese'!C42&amp;")","")</f>
        <v/>
      </c>
      <c r="DW41" s="277" t="str">
        <f t="array" ref="DW41">_xlfn.IFNA(INDEX($DV$6:$DV$66,MATCH(0,COUNTIF($DW$4:DW40,$DV$6:$DV$66),0),1),"")</f>
        <v/>
      </c>
      <c r="DY41" s="277" t="str">
        <f>IF(AND('1.4 Analyse &amp; Synthese'!AI42=1,'1.4 Analyse &amp; Synthese'!F42="Empfehlung"),'1.4 Analyse &amp; Synthese'!I42&amp;CHAR(13)&amp;"("&amp;'(Codierung)'!$C$2&amp;" - "&amp;'1.4 Analyse &amp; Synthese'!C42&amp;")","")</f>
        <v/>
      </c>
      <c r="DZ41" s="277" t="str">
        <f t="array" ref="DZ41">_xlfn.IFNA(INDEX($DY$6:$DY$66,MATCH(0,COUNTIF($DZ$4:DZ40,$DY$6:$DY$66),0),1),"")</f>
        <v/>
      </c>
      <c r="EA41" s="277" t="str">
        <f>IF(AND('1.4 Analyse &amp; Synthese'!AI42=1,'1.4 Analyse &amp; Synthese'!F42="Methode"),'1.4 Analyse &amp; Synthese'!I42&amp;CHAR(13)&amp;"("&amp;'(Codierung)'!$C$3&amp;" - "&amp;'1.4 Analyse &amp; Synthese'!C42&amp;")","")</f>
        <v/>
      </c>
      <c r="EB41" s="277" t="str">
        <f t="array" ref="EB41">_xlfn.IFNA(INDEX($EA$6:$EA$66,MATCH(0,COUNTIF($EB$4:EB40,$EA$6:$EA$66),0),1),"")</f>
        <v/>
      </c>
      <c r="EC41" s="277" t="str">
        <f>IF(AND('1.4 Analyse &amp; Synthese'!AI42=1,'1.4 Analyse &amp; Synthese'!F42="Werkzeug"),'1.4 Analyse &amp; Synthese'!I42&amp;CHAR(13)&amp;"("&amp;'(Codierung)'!$C$4&amp;" - "&amp;'1.4 Analyse &amp; Synthese'!C42&amp;")","")</f>
        <v/>
      </c>
      <c r="ED41" s="277" t="str">
        <f t="array" ref="ED41">_xlfn.IFNA(INDEX($EC$6:$EC$66,MATCH(0,COUNTIF($ED$4:ED40,$EC$6:$EC$66),0),1),"")</f>
        <v/>
      </c>
      <c r="EF41" s="277" t="str">
        <f>IF(AND('1.4 Analyse &amp; Synthese'!AJ42=1,'1.4 Analyse &amp; Synthese'!F42="Empfehlung"),'1.4 Analyse &amp; Synthese'!I42&amp;CHAR(13)&amp;"("&amp;'(Codierung)'!$C$2&amp;" - "&amp;'1.4 Analyse &amp; Synthese'!C42&amp;")","")</f>
        <v/>
      </c>
      <c r="EG41" s="277" t="str">
        <f t="array" ref="EG41">_xlfn.IFNA(INDEX($EF$6:$EF$66,MATCH(0,COUNTIF($EG$4:EG40,$EF$6:$EF$66),0),1),"")</f>
        <v/>
      </c>
      <c r="EH41" s="277" t="str">
        <f>IF(AND('1.4 Analyse &amp; Synthese'!AJ42=1,'1.4 Analyse &amp; Synthese'!F42="Methode"),'1.4 Analyse &amp; Synthese'!I42&amp;CHAR(13)&amp;"("&amp;'(Codierung)'!$C$3&amp;" - "&amp;'1.4 Analyse &amp; Synthese'!C42&amp;")","")</f>
        <v/>
      </c>
      <c r="EI41" s="277" t="str">
        <f t="array" ref="EI41">_xlfn.IFNA(INDEX($EH$6:$EH$66,MATCH(0,COUNTIF($EI$4:EI40,$EH$6:$EH$66),0),1),"")</f>
        <v/>
      </c>
      <c r="EJ41" s="277" t="str">
        <f>IF(AND('1.4 Analyse &amp; Synthese'!AJ42=1,'1.4 Analyse &amp; Synthese'!F42="Werkzeug"),'1.4 Analyse &amp; Synthese'!I42&amp;CHAR(13)&amp;"("&amp;'(Codierung)'!$C$4&amp;" - "&amp;'1.4 Analyse &amp; Synthese'!C42&amp;")","")</f>
        <v/>
      </c>
      <c r="EK41" s="277" t="str">
        <f t="array" ref="EK41">_xlfn.IFNA(INDEX($EJ$6:$EJ$66,MATCH(0,COUNTIF($EK$4:EK40,$EJ$6:$EJ$66),0),1),"")</f>
        <v/>
      </c>
      <c r="EN41" s="222" t="str">
        <f t="shared" si="60"/>
        <v/>
      </c>
      <c r="EO41" s="277" t="str">
        <f t="shared" si="61"/>
        <v/>
      </c>
      <c r="EP41" s="277" t="str">
        <f t="shared" si="62"/>
        <v/>
      </c>
      <c r="EQ41" s="277" t="str">
        <f>ZahlenInBereich(Tabelle1[[Empfehlung]:[Werkzeug]],ROW()-5)</f>
        <v/>
      </c>
      <c r="ER41" s="277" t="str">
        <f t="shared" si="63"/>
        <v/>
      </c>
      <c r="ES41" s="277" t="str">
        <f t="shared" si="64"/>
        <v/>
      </c>
      <c r="ET41" s="277" t="str">
        <f t="shared" si="65"/>
        <v/>
      </c>
      <c r="EU41" s="277" t="str">
        <f>ZahlenInBereich(Tabelle1[[Empfehlung2]:[Werkzeug4]],ROW()-5)</f>
        <v/>
      </c>
      <c r="EV41" s="277" t="str">
        <f t="shared" si="66"/>
        <v/>
      </c>
      <c r="EW41" s="277" t="str">
        <f t="shared" si="67"/>
        <v/>
      </c>
      <c r="EX41" s="277" t="str">
        <f t="shared" si="68"/>
        <v/>
      </c>
      <c r="EY41" s="277" t="str">
        <f>ZahlenInBereich(Tabelle1[[Empfehlung6]:[Werkzeug8]],ROW()-5)</f>
        <v/>
      </c>
      <c r="EZ41" s="277" t="str">
        <f t="shared" si="69"/>
        <v/>
      </c>
      <c r="FA41" s="277" t="str">
        <f t="shared" si="70"/>
        <v/>
      </c>
      <c r="FB41" s="277" t="str">
        <f t="shared" si="71"/>
        <v/>
      </c>
      <c r="FC41" s="277" t="str">
        <f>ZahlenInBereich(Tabelle1[[Empfehlung10]:[Werkzeug12]],ROW()-5)</f>
        <v/>
      </c>
      <c r="FD41" s="277" t="str">
        <f t="shared" si="72"/>
        <v/>
      </c>
      <c r="FE41" s="277" t="str">
        <f t="shared" si="73"/>
        <v/>
      </c>
      <c r="FF41" s="277" t="str">
        <f t="shared" si="74"/>
        <v/>
      </c>
      <c r="FG41" s="277" t="str">
        <f>ZahlenInBereich(Tabelle1[[Empfehlung14]:[Werkzeug16]],ROW()-5)</f>
        <v/>
      </c>
      <c r="FH41" s="277" t="str">
        <f t="shared" si="75"/>
        <v/>
      </c>
      <c r="FI41" s="277" t="str">
        <f t="shared" si="76"/>
        <v/>
      </c>
      <c r="FJ41" s="277" t="str">
        <f t="shared" si="77"/>
        <v/>
      </c>
      <c r="FK41" s="277" t="str">
        <f>ZahlenInBereich(Tabelle1[[Empfehlung18]:[Werkzeug20]],ROW()-5)</f>
        <v/>
      </c>
      <c r="FL41" s="277" t="str">
        <f t="shared" si="78"/>
        <v/>
      </c>
      <c r="FM41" s="277" t="str">
        <f t="shared" si="79"/>
        <v/>
      </c>
      <c r="FN41" s="277" t="str">
        <f t="shared" si="80"/>
        <v/>
      </c>
      <c r="FO41" s="277" t="str">
        <f>ZahlenInBereich(Tabelle1[[Empfehlung22]:[Werkzeug24]],ROW()-5)</f>
        <v/>
      </c>
      <c r="FP41" s="277" t="str">
        <f t="shared" si="81"/>
        <v/>
      </c>
      <c r="FQ41" s="277" t="str">
        <f t="shared" si="82"/>
        <v/>
      </c>
      <c r="FR41" s="277" t="str">
        <f t="shared" si="83"/>
        <v/>
      </c>
      <c r="FS41" s="277" t="str">
        <f>ZahlenInBereich(Tabelle1[[Empfehlung26]:[Werkzeug28]],ROW()-5)</f>
        <v/>
      </c>
      <c r="FT41" s="277" t="str">
        <f t="shared" si="84"/>
        <v/>
      </c>
      <c r="FU41" s="277" t="str">
        <f t="shared" si="85"/>
        <v/>
      </c>
      <c r="FV41" s="277" t="str">
        <f t="shared" si="86"/>
        <v/>
      </c>
      <c r="FW41" s="277" t="str">
        <f>ZahlenInBereich(Tabelle1[[Empfehlung30]:[Werkzeug32]],ROW()-5)</f>
        <v/>
      </c>
      <c r="FX41" s="277" t="str">
        <f t="shared" si="87"/>
        <v/>
      </c>
      <c r="FY41" s="277" t="str">
        <f t="shared" si="88"/>
        <v/>
      </c>
      <c r="FZ41" s="277" t="str">
        <f t="shared" si="89"/>
        <v/>
      </c>
      <c r="GA41" s="277" t="str">
        <f>ZahlenInBereich(Tabelle1[[Empfehlung34]:[Werkzeug36]],ROW()-5)</f>
        <v/>
      </c>
      <c r="GB41" s="277" t="str">
        <f t="shared" si="90"/>
        <v/>
      </c>
      <c r="GC41" s="277" t="str">
        <f t="shared" si="91"/>
        <v/>
      </c>
      <c r="GD41" s="277" t="str">
        <f t="shared" si="92"/>
        <v/>
      </c>
      <c r="GE41" s="277" t="str">
        <f>ZahlenInBereich(Tabelle1[[Empfehlung38]:[Werkzeug40]],ROW()-5)</f>
        <v/>
      </c>
      <c r="GF41" s="277" t="str">
        <f t="shared" si="93"/>
        <v/>
      </c>
      <c r="GG41" s="277" t="str">
        <f t="shared" si="94"/>
        <v/>
      </c>
      <c r="GH41" s="277" t="str">
        <f t="shared" si="95"/>
        <v/>
      </c>
      <c r="GI41" s="277" t="str">
        <f>ZahlenInBereich(Tabelle1[[Empfehlung42]:[Werkzeug44]],ROW()-5)</f>
        <v/>
      </c>
      <c r="GJ41" s="277" t="str">
        <f t="shared" si="96"/>
        <v/>
      </c>
      <c r="GK41" s="277" t="str">
        <f t="shared" si="97"/>
        <v/>
      </c>
      <c r="GL41" s="277" t="str">
        <f t="shared" si="98"/>
        <v/>
      </c>
      <c r="GM41" s="277" t="str">
        <f>ZahlenInBereich(Tabelle1[[Empfehlung46]:[Werkzeug48]],ROW()-5)</f>
        <v/>
      </c>
      <c r="GN41" s="277" t="str">
        <f t="shared" si="99"/>
        <v/>
      </c>
      <c r="GO41" s="277" t="str">
        <f t="shared" si="100"/>
        <v/>
      </c>
      <c r="GP41" s="277" t="str">
        <f t="shared" si="101"/>
        <v/>
      </c>
      <c r="GQ41" s="277" t="str">
        <f>ZahlenInBereich(Tabelle1[[Empfehlung50]:[Werkzeug52]],ROW()-5)</f>
        <v/>
      </c>
      <c r="GR41" s="277" t="str">
        <f t="shared" si="102"/>
        <v/>
      </c>
      <c r="GS41" s="277" t="str">
        <f t="shared" si="103"/>
        <v/>
      </c>
      <c r="GT41" s="277" t="str">
        <f t="shared" si="104"/>
        <v/>
      </c>
      <c r="GU41" s="277" t="str">
        <f>ZahlenInBereich(Tabelle1[[Empfehlung54]:[Werkzeug56]],ROW()-5)</f>
        <v/>
      </c>
      <c r="GV41" s="277" t="str">
        <f t="shared" si="105"/>
        <v/>
      </c>
      <c r="GW41" s="277" t="str">
        <f t="shared" si="106"/>
        <v/>
      </c>
      <c r="GX41" s="277" t="str">
        <f t="shared" si="107"/>
        <v/>
      </c>
      <c r="GY41" s="277" t="str">
        <f>ZahlenInBereich(Tabelle1[[Empfehlung58]:[Werkzeug60]],ROW()-5)</f>
        <v/>
      </c>
      <c r="GZ41" s="277" t="str">
        <f t="shared" si="108"/>
        <v/>
      </c>
      <c r="HA41" s="277" t="str">
        <f t="shared" si="109"/>
        <v/>
      </c>
      <c r="HB41" s="277" t="str">
        <f t="shared" si="110"/>
        <v/>
      </c>
      <c r="HC41" s="277" t="str">
        <f>ZahlenInBereich(Tabelle1[[Empfehlung62]:[Werkzeug64]],ROW()-5)</f>
        <v/>
      </c>
      <c r="HD41" s="277" t="str">
        <f t="shared" si="111"/>
        <v/>
      </c>
      <c r="HE41" s="277" t="str">
        <f t="shared" si="112"/>
        <v/>
      </c>
      <c r="HF41" s="277" t="str">
        <f t="shared" si="113"/>
        <v/>
      </c>
      <c r="HG41" s="277" t="str">
        <f>ZahlenInBereich(Tabelle1[[Empfehlung66]:[Werkzeug68]],ROW()-5)</f>
        <v/>
      </c>
      <c r="HH41" s="277" t="str">
        <f t="shared" si="114"/>
        <v/>
      </c>
      <c r="HI41" s="277" t="str">
        <f t="shared" si="115"/>
        <v/>
      </c>
      <c r="HJ41" s="277" t="str">
        <f t="shared" si="116"/>
        <v/>
      </c>
      <c r="HK41" s="277" t="str">
        <f>ZahlenInBereich(Tabelle1[[Empfehlung70]:[Werkzeug72]],ROW()-5)</f>
        <v/>
      </c>
      <c r="HL41" s="277" t="str">
        <f t="shared" si="117"/>
        <v/>
      </c>
      <c r="HM41" s="277" t="str">
        <f t="shared" si="118"/>
        <v/>
      </c>
      <c r="HN41" s="277" t="str">
        <f t="shared" si="119"/>
        <v/>
      </c>
      <c r="HO41" s="277" t="str">
        <f>ZahlenInBereich(Tabelle1[[Empfehlung74]:[Werkzeug76]],ROW()-5)</f>
        <v/>
      </c>
    </row>
    <row r="42" spans="2:223" ht="32" x14ac:dyDescent="0.2">
      <c r="B42" s="134">
        <f>'1.4 Analyse &amp; Synthese'!B43</f>
        <v>37</v>
      </c>
      <c r="C42" s="277" t="str">
        <f>IF(AND('1.4 Analyse &amp; Synthese'!Q43=1,'1.4 Analyse &amp; Synthese'!F43="Empfehlung"),'1.4 Analyse &amp; Synthese'!I43&amp;CHAR(13)&amp;"("&amp;'(Codierung)'!$C$2&amp;" - "&amp;'1.4 Analyse &amp; Synthese'!C43&amp;")","")</f>
        <v/>
      </c>
      <c r="D42" s="222" t="str">
        <f t="array" ref="D42">_xlfn.IFNA(INDEX($C$6:$C$66,MATCH(0,COUNTIF($D$4:D41,$C$6:$C$66),0),1),"")</f>
        <v/>
      </c>
      <c r="E42" s="277" t="str">
        <f>IF(AND('1.4 Analyse &amp; Synthese'!Q43=1,'1.4 Analyse &amp; Synthese'!F43="Methode"),'1.4 Analyse &amp; Synthese'!I43&amp;CHAR(13)&amp;"("&amp;'(Codierung)'!$C$3&amp;" - "&amp;'1.4 Analyse &amp; Synthese'!C43&amp;")","")</f>
        <v/>
      </c>
      <c r="F42" s="277" t="str">
        <f t="array" ref="F42">_xlfn.IFNA(INDEX($E$6:$E$66,MATCH(0,COUNTIF($F$4:F41,$E$6:$E$66),0),1),"")</f>
        <v/>
      </c>
      <c r="G42" s="277" t="str">
        <f>IF(AND('1.4 Analyse &amp; Synthese'!Q43=1,'1.4 Analyse &amp; Synthese'!F43="Werkzeug"),'1.4 Analyse &amp; Synthese'!I43&amp;CHAR(13)&amp;"("&amp;'(Codierung)'!$C$4&amp;" - "&amp;'1.4 Analyse &amp; Synthese'!C43&amp;")","")</f>
        <v/>
      </c>
      <c r="H42" s="277" t="str">
        <f t="array" ref="H42">_xlfn.IFNA(INDEX($G$6:$G$66,MATCH(0,COUNTIF($H$4:H41,$G$6:$G$66),0),1),"")</f>
        <v/>
      </c>
      <c r="J42" s="277" t="str">
        <f>IF(AND('1.4 Analyse &amp; Synthese'!R43=1,'1.4 Analyse &amp; Synthese'!F43="Empfehlung"),'1.4 Analyse &amp; Synthese'!I43&amp;CHAR(13)&amp;"("&amp;'(Codierung)'!$C$2&amp;" - "&amp;'1.4 Analyse &amp; Synthese'!C43&amp;")","")</f>
        <v/>
      </c>
      <c r="K42" s="277" t="str">
        <f t="array" ref="K42">_xlfn.IFNA(INDEX($J$6:$J$66,MATCH(0,COUNTIF($K$4:K41,$J$6:$J$66),0),1),"")</f>
        <v/>
      </c>
      <c r="L42" s="277" t="str">
        <f>IF(AND('1.4 Analyse &amp; Synthese'!R43=1,'1.4 Analyse &amp; Synthese'!F43="Methode"),'1.4 Analyse &amp; Synthese'!I43&amp;CHAR(13)&amp;"("&amp;'(Codierung)'!$C$3&amp;" - "&amp;'1.4 Analyse &amp; Synthese'!C43&amp;")","")</f>
        <v/>
      </c>
      <c r="M42" s="277" t="str">
        <f t="array" ref="M42">_xlfn.IFNA(INDEX($L$6:$L$66,MATCH(0,COUNTIF($M$4:M41,$L$6:$L$66),0),1),"")</f>
        <v/>
      </c>
      <c r="N42" s="277" t="str">
        <f>IF(AND('1.4 Analyse &amp; Synthese'!R43=1,'1.4 Analyse &amp; Synthese'!F43="Werkzeug"),'1.4 Analyse &amp; Synthese'!I43&amp;CHAR(13)&amp;"("&amp;'(Codierung)'!$C$4&amp;" - "&amp;'1.4 Analyse &amp; Synthese'!C43&amp;")","")</f>
        <v/>
      </c>
      <c r="O42" s="277" t="str">
        <f t="array" ref="O42">_xlfn.IFNA(INDEX($N$6:$N$66,MATCH(0,COUNTIF($O$4:O41,$N$6:$N$66),0),1),"")</f>
        <v/>
      </c>
      <c r="Q42" s="277" t="str">
        <f>IF(AND('1.4 Analyse &amp; Synthese'!S43=1,'1.4 Analyse &amp; Synthese'!F43="Empfehlung"),'1.4 Analyse &amp; Synthese'!I43&amp;CHAR(13)&amp;"("&amp;'(Codierung)'!$C$2&amp;" - "&amp;'1.4 Analyse &amp; Synthese'!C43&amp;")","")</f>
        <v/>
      </c>
      <c r="R42" s="277" t="str">
        <f t="array" ref="R42">_xlfn.IFNA(INDEX($Q$6:$Q$66,MATCH(0,COUNTIF($R$4:R41,$Q$6:$Q$66),0),1),"")</f>
        <v/>
      </c>
      <c r="S42" s="277" t="str">
        <f>IF(AND('1.4 Analyse &amp; Synthese'!S43=1,'1.4 Analyse &amp; Synthese'!F43="Methode"),'1.4 Analyse &amp; Synthese'!I43&amp;CHAR(13)&amp;"("&amp;'(Codierung)'!$C$3&amp;" - "&amp;'1.4 Analyse &amp; Synthese'!C43&amp;")","")</f>
        <v/>
      </c>
      <c r="T42" s="277" t="str">
        <f t="array" ref="T42">_xlfn.IFNA(INDEX($S$6:$S$66,MATCH(0,COUNTIF($T$4:T41,$S$6:$S$66),0),1),"")</f>
        <v/>
      </c>
      <c r="U42" s="277" t="str">
        <f>IF(AND('1.4 Analyse &amp; Synthese'!S43=1,'1.4 Analyse &amp; Synthese'!F43="Werkzeug"),'1.4 Analyse &amp; Synthese'!I43&amp;CHAR(13)&amp;"("&amp;'(Codierung)'!$C$4&amp;" - "&amp;'1.4 Analyse &amp; Synthese'!C43&amp;")","")</f>
        <v/>
      </c>
      <c r="V42" s="277" t="str">
        <f t="array" ref="V42">_xlfn.IFNA(INDEX($U$6:$U$66,MATCH(0,COUNTIF($V$4:V41,$U$6:$U$66),0),1),"")</f>
        <v/>
      </c>
      <c r="X42" s="277" t="str">
        <f>IF(AND('1.4 Analyse &amp; Synthese'!T43=1,'1.4 Analyse &amp; Synthese'!F43="Empfehlung"),'1.4 Analyse &amp; Synthese'!I43&amp;CHAR(13)&amp;"("&amp;'(Codierung)'!$C$2&amp;" - "&amp;'1.4 Analyse &amp; Synthese'!C43&amp;")","")</f>
        <v/>
      </c>
      <c r="Y42" s="277" t="str">
        <f t="array" ref="Y42">_xlfn.IFNA(INDEX($X$6:$X$66,MATCH(0,COUNTIF($Y$4:Y41,$X$6:$X$66),0),1),"")</f>
        <v/>
      </c>
      <c r="Z42" s="277" t="str">
        <f>IF(AND('1.4 Analyse &amp; Synthese'!T43=1,'1.4 Analyse &amp; Synthese'!F43="Methode"),'1.4 Analyse &amp; Synthese'!I43&amp;CHAR(13)&amp;"("&amp;'(Codierung)'!$C$3&amp;" - "&amp;'1.4 Analyse &amp; Synthese'!C43&amp;")","")</f>
        <v/>
      </c>
      <c r="AA42" s="277" t="str">
        <f t="array" ref="AA42">_xlfn.IFNA(INDEX($Z$6:$Z$66,MATCH(0,COUNTIF($AA$4:AA41,$Z$6:$Z$66),0),1),"")</f>
        <v/>
      </c>
      <c r="AB42" s="277" t="str">
        <f>IF(AND('1.4 Analyse &amp; Synthese'!T43=1,'1.4 Analyse &amp; Synthese'!F43="Werkzeug"),'1.4 Analyse &amp; Synthese'!I43&amp;CHAR(13)&amp;"("&amp;'(Codierung)'!$C$4&amp;" - "&amp;'1.4 Analyse &amp; Synthese'!C43&amp;")","")</f>
        <v/>
      </c>
      <c r="AC42" s="277" t="str">
        <f t="array" ref="AC42">_xlfn.IFNA(INDEX($AB$6:$AB$66,MATCH(0,COUNTIF($AC$4:AC41,$AB$6:$AB$66),0),1),"")</f>
        <v/>
      </c>
      <c r="AE42" s="277" t="str">
        <f>IF(AND('1.4 Analyse &amp; Synthese'!U43=1,'1.4 Analyse &amp; Synthese'!F43="Empfehlung"),'1.4 Analyse &amp; Synthese'!I43&amp;CHAR(13)&amp;"("&amp;'(Codierung)'!$C$2&amp;" - "&amp;'1.4 Analyse &amp; Synthese'!C43&amp;")","")</f>
        <v/>
      </c>
      <c r="AF42" s="277" t="str">
        <f t="array" ref="AF42">_xlfn.IFNA(INDEX($AE$6:$AE$66,MATCH(0,COUNTIF($AF$4:AF41,$AE$6:$AE$66),0),1),"")</f>
        <v/>
      </c>
      <c r="AG42" s="277" t="str">
        <f>IF(AND('1.4 Analyse &amp; Synthese'!U43=1,'1.4 Analyse &amp; Synthese'!F43="Methode"),'1.4 Analyse &amp; Synthese'!I43&amp;CHAR(13)&amp;"("&amp;'(Codierung)'!$C$3&amp;" - "&amp;'1.4 Analyse &amp; Synthese'!C43&amp;")","")</f>
        <v/>
      </c>
      <c r="AH42" s="277" t="str">
        <f t="array" ref="AH42">_xlfn.IFNA(INDEX($AG$6:$AG$66,MATCH(0,COUNTIF($AH$4:AH41,$AG$6:$AG$66),0),1),"")</f>
        <v/>
      </c>
      <c r="AI42" s="277" t="str">
        <f>IF(AND('1.4 Analyse &amp; Synthese'!U43=1,'1.4 Analyse &amp; Synthese'!F43="Werkzeug"),'1.4 Analyse &amp; Synthese'!I43&amp;CHAR(13)&amp;"("&amp;'(Codierung)'!$C$4&amp;" - "&amp;'1.4 Analyse &amp; Synthese'!C43&amp;")","")</f>
        <v/>
      </c>
      <c r="AJ42" s="277" t="str">
        <f t="array" ref="AJ42">_xlfn.IFNA(INDEX($AI$6:$AI$66,MATCH(0,COUNTIF($AJ$4:AJ41,$AI$6:$AI$66),0),1),"")</f>
        <v/>
      </c>
      <c r="AL42" s="277" t="str">
        <f>IF(AND('1.4 Analyse &amp; Synthese'!V43=1,'1.4 Analyse &amp; Synthese'!F43="Empfehlung"),'1.4 Analyse &amp; Synthese'!I43&amp;CHAR(13)&amp;"("&amp;'(Codierung)'!$C$2&amp;" - "&amp;'1.4 Analyse &amp; Synthese'!C43&amp;")","")</f>
        <v/>
      </c>
      <c r="AM42" s="277" t="str">
        <f t="array" ref="AM42">_xlfn.IFNA(INDEX($AL$6:$AL$66,MATCH(0,COUNTIF($AM$4:AM41,$AL$6:$AL$66),0),1),"")</f>
        <v/>
      </c>
      <c r="AN42" s="277" t="str">
        <f>IF(AND('1.4 Analyse &amp; Synthese'!V43=1,'1.4 Analyse &amp; Synthese'!F43="Methode"),'1.4 Analyse &amp; Synthese'!I43&amp;CHAR(13)&amp;"("&amp;'(Codierung)'!$C$3&amp;" - "&amp;'1.4 Analyse &amp; Synthese'!C43&amp;")","")</f>
        <v/>
      </c>
      <c r="AO42" s="277" t="str">
        <f t="array" ref="AO42">_xlfn.IFNA(INDEX($AN$6:$AN$66,MATCH(0,COUNTIF($AO$4:AO41,$AN$6:$AN$66),0),1),"")</f>
        <v/>
      </c>
      <c r="AP42" s="277" t="str">
        <f>IF(AND('1.4 Analyse &amp; Synthese'!V43=1,'1.4 Analyse &amp; Synthese'!F43="Werkzeug"),'1.4 Analyse &amp; Synthese'!I43&amp;CHAR(13)&amp;"("&amp;'(Codierung)'!$C$4&amp;" - "&amp;'1.4 Analyse &amp; Synthese'!C43&amp;")","")</f>
        <v/>
      </c>
      <c r="AQ42" s="277" t="str">
        <f t="array" ref="AQ42">_xlfn.IFNA(INDEX($AP$6:$AP$66,MATCH(0,COUNTIF($AQ$4:AQ41,$AP$6:$AP$66),0),1),"")</f>
        <v/>
      </c>
      <c r="AS42" s="277" t="str">
        <f>IF(AND('1.4 Analyse &amp; Synthese'!W43=1,'1.4 Analyse &amp; Synthese'!F43="Empfehlung"),'1.4 Analyse &amp; Synthese'!I43&amp;CHAR(13)&amp;"("&amp;'(Codierung)'!$C$2&amp;" - "&amp;'1.4 Analyse &amp; Synthese'!C43&amp;")","")</f>
        <v/>
      </c>
      <c r="AT42" s="277" t="str">
        <f t="array" ref="AT42">_xlfn.IFNA(INDEX($AS$6:$AS$66,MATCH(0,COUNTIF($AT$4:AT41,$AS$6:$AS$66),0),1),"")</f>
        <v/>
      </c>
      <c r="AU42" s="277" t="str">
        <f>IF(AND('1.4 Analyse &amp; Synthese'!W43=1,'1.4 Analyse &amp; Synthese'!F43="Methode"),'1.4 Analyse &amp; Synthese'!I43&amp;CHAR(13)&amp;"("&amp;'(Codierung)'!$C$3&amp;" - "&amp;'1.4 Analyse &amp; Synthese'!C43&amp;")","")</f>
        <v/>
      </c>
      <c r="AV42" s="277" t="str">
        <f t="array" ref="AV42">_xlfn.IFNA(INDEX($AU$6:$AU$66,MATCH(0,COUNTIF($AV$4:AV41,$AU$6:$AU$66),0),1),"")</f>
        <v/>
      </c>
      <c r="AW42" s="277" t="str">
        <f>IF(AND('1.4 Analyse &amp; Synthese'!W43=1,'1.4 Analyse &amp; Synthese'!F43="Werkzeug"),'1.4 Analyse &amp; Synthese'!I43&amp;CHAR(13)&amp;"("&amp;'(Codierung)'!$C$4&amp;" - "&amp;'1.4 Analyse &amp; Synthese'!C43&amp;")","")</f>
        <v/>
      </c>
      <c r="AX42" s="277" t="str">
        <f t="array" ref="AX42">_xlfn.IFNA(INDEX($AW$6:$AW$66,MATCH(0,COUNTIF($AX$4:AX41,$AW$6:$AW$66),0),1),"")</f>
        <v/>
      </c>
      <c r="AZ42" s="277" t="str">
        <f>IF(AND('1.4 Analyse &amp; Synthese'!X43=1,'1.4 Analyse &amp; Synthese'!F43="Empfehlung"),'1.4 Analyse &amp; Synthese'!I43&amp;CHAR(13)&amp;"("&amp;'(Codierung)'!$C$2&amp;" - "&amp;'1.4 Analyse &amp; Synthese'!C43&amp;")","")</f>
        <v/>
      </c>
      <c r="BA42" s="277" t="str">
        <f t="array" ref="BA42">_xlfn.IFNA(INDEX($AZ$6:$AZ$66,MATCH(0,COUNTIF($BA$4:BA41,$AZ$6:$AZ$66),0),1),"")</f>
        <v/>
      </c>
      <c r="BB42" s="277" t="str">
        <f>IF(AND('1.4 Analyse &amp; Synthese'!X43=1,'1.4 Analyse &amp; Synthese'!F43="Methode"),'1.4 Analyse &amp; Synthese'!I43&amp;CHAR(13)&amp;"("&amp;'(Codierung)'!$C$3&amp;" - "&amp;'1.4 Analyse &amp; Synthese'!C43&amp;")","")</f>
        <v/>
      </c>
      <c r="BC42" s="277" t="str">
        <f t="array" ref="BC42">_xlfn.IFNA(INDEX($BB$6:$BB$66,MATCH(0,COUNTIF($BC$4:BC41,$BB$6:$BB$66),0),1),"")</f>
        <v/>
      </c>
      <c r="BD42" s="277" t="str">
        <f>IF(AND('1.4 Analyse &amp; Synthese'!X43=1,'1.4 Analyse &amp; Synthese'!F43="Werkzeug"),'1.4 Analyse &amp; Synthese'!I43&amp;CHAR(13)&amp;"("&amp;'(Codierung)'!$C$4&amp;" - "&amp;'1.4 Analyse &amp; Synthese'!C43&amp;")","")</f>
        <v/>
      </c>
      <c r="BE42" s="277" t="str">
        <f t="array" ref="BE42">_xlfn.IFNA(INDEX($BD$6:$BD$66,MATCH(0,COUNTIF($BE$4:BE41,$BD$6:$BD$66),0),1),"")</f>
        <v/>
      </c>
      <c r="BG42" s="277" t="str">
        <f>IF(AND('1.4 Analyse &amp; Synthese'!Y43=1,'1.4 Analyse &amp; Synthese'!F43="Empfehlung"),'1.4 Analyse &amp; Synthese'!I43&amp;CHAR(13)&amp;"("&amp;'(Codierung)'!$C$2&amp;" - "&amp;'1.4 Analyse &amp; Synthese'!C43&amp;")","")</f>
        <v/>
      </c>
      <c r="BH42" s="277" t="str">
        <f t="array" ref="BH42">_xlfn.IFNA(INDEX($BG$6:$BG$66,MATCH(0,COUNTIF($BH$4:BH41,$BG$6:$BG$66),0),1),"")</f>
        <v/>
      </c>
      <c r="BI42" s="277" t="str">
        <f>IF(AND('1.4 Analyse &amp; Synthese'!Y43=1,'1.4 Analyse &amp; Synthese'!F43="Methode"),'1.4 Analyse &amp; Synthese'!I43&amp;CHAR(13)&amp;"("&amp;'(Codierung)'!$C$3&amp;" - "&amp;'1.4 Analyse &amp; Synthese'!C43&amp;")","")</f>
        <v/>
      </c>
      <c r="BJ42" s="277" t="str">
        <f t="array" ref="BJ42">_xlfn.IFNA(INDEX($BI$6:$BI$66,MATCH(0,COUNTIF($BJ$4:BJ41,$BI$6:$BI$66),0),1),"")</f>
        <v/>
      </c>
      <c r="BK42" s="277" t="str">
        <f>IF(AND('1.4 Analyse &amp; Synthese'!Y43=1,'1.4 Analyse &amp; Synthese'!F43="Werkzeug"),'1.4 Analyse &amp; Synthese'!I43&amp;CHAR(13)&amp;"("&amp;'(Codierung)'!$C$4&amp;" - "&amp;'1.4 Analyse &amp; Synthese'!C43&amp;")","")</f>
        <v/>
      </c>
      <c r="BL42" s="277" t="str">
        <f t="array" ref="BL42">_xlfn.IFNA(INDEX($BK$6:$BK$66,MATCH(0,COUNTIF($BL$4:BL41,$BK$6:$BK$66),0),1),"")</f>
        <v/>
      </c>
      <c r="BN42" s="277" t="str">
        <f>IF(AND('1.4 Analyse &amp; Synthese'!Z43=1,'1.4 Analyse &amp; Synthese'!F43="Empfehlung"),'1.4 Analyse &amp; Synthese'!I43&amp;CHAR(13)&amp;"("&amp;'(Codierung)'!$C$2&amp;" - "&amp;'1.4 Analyse &amp; Synthese'!C43&amp;")","")</f>
        <v/>
      </c>
      <c r="BO42" s="277" t="str">
        <f t="array" ref="BO42">_xlfn.IFNA(INDEX($BN$6:$BN$66,MATCH(0,COUNTIF($BO$4:BO41,$BN$6:$BN$66),0),1),"")</f>
        <v/>
      </c>
      <c r="BP42" s="277" t="str">
        <f>IF(AND('1.4 Analyse &amp; Synthese'!Z43=1,'1.4 Analyse &amp; Synthese'!F43="Methode"),'1.4 Analyse &amp; Synthese'!I43&amp;CHAR(13)&amp;"("&amp;'(Codierung)'!$C$3&amp;" - "&amp;'1.4 Analyse &amp; Synthese'!C43&amp;")","")</f>
        <v/>
      </c>
      <c r="BQ42" s="277" t="str">
        <f t="array" ref="BQ42">_xlfn.IFNA(INDEX($BP$6:$BP$66,MATCH(0,COUNTIF($BQ$4:BQ41,$BP$6:$BP$66),0),1),"")</f>
        <v/>
      </c>
      <c r="BR42" s="277" t="str">
        <f>IF(AND('1.4 Analyse &amp; Synthese'!Z43=1,'1.4 Analyse &amp; Synthese'!F43="Werkzeug"),'1.4 Analyse &amp; Synthese'!I43&amp;CHAR(13)&amp;"("&amp;'(Codierung)'!$C$4&amp;" - "&amp;'1.4 Analyse &amp; Synthese'!C43&amp;")","")</f>
        <v/>
      </c>
      <c r="BS42" s="277" t="str">
        <f t="array" ref="BS42">_xlfn.IFNA(INDEX($BR$6:$BR$66,MATCH(0,COUNTIF($BS$4:BS41,$BR$6:$BR$66),0),1),"")</f>
        <v/>
      </c>
      <c r="BU42" s="277" t="str">
        <f>IF(AND('1.4 Analyse &amp; Synthese'!AA43=1,'1.4 Analyse &amp; Synthese'!F43="Empfehlung"),'1.4 Analyse &amp; Synthese'!I43&amp;CHAR(13)&amp;"("&amp;'(Codierung)'!$C$2&amp;" - "&amp;'1.4 Analyse &amp; Synthese'!C43&amp;")","")</f>
        <v/>
      </c>
      <c r="BV42" s="277" t="str">
        <f t="array" ref="BV42">_xlfn.IFNA(INDEX($BU$6:$BU$66,MATCH(0,COUNTIF($BV$4:BV41,$BU$6:$BU$66),0),1),"")</f>
        <v/>
      </c>
      <c r="BW42" s="277" t="str">
        <f>IF(AND('1.4 Analyse &amp; Synthese'!AA43=1,'1.4 Analyse &amp; Synthese'!F43="Methode"),'1.4 Analyse &amp; Synthese'!I43&amp;CHAR(13)&amp;"("&amp;'(Codierung)'!$C$3&amp;" - "&amp;'1.4 Analyse &amp; Synthese'!C43&amp;")","")</f>
        <v/>
      </c>
      <c r="BX42" s="277" t="str">
        <f t="array" ref="BX42">_xlfn.IFNA(INDEX($BW$6:$BW$66,MATCH(0,COUNTIF($BX$4:BX41,$BW$6:$BW$66),0),1),"")</f>
        <v/>
      </c>
      <c r="BY42" s="277" t="str">
        <f>IF(AND('1.4 Analyse &amp; Synthese'!AA43=1,'1.4 Analyse &amp; Synthese'!F43="Werkzeug"),'1.4 Analyse &amp; Synthese'!I43&amp;CHAR(13)&amp;"("&amp;'(Codierung)'!$C$4&amp;" - "&amp;'1.4 Analyse &amp; Synthese'!C43&amp;")","")</f>
        <v/>
      </c>
      <c r="BZ42" s="277" t="str">
        <f t="array" ref="BZ42">_xlfn.IFNA(INDEX($BY$6:$BY$66,MATCH(0,COUNTIF($BZ$4:BZ41,$BY$6:$BY$66),0),1),"")</f>
        <v/>
      </c>
      <c r="CB42" s="277" t="str">
        <f>IF(AND('1.4 Analyse &amp; Synthese'!AB43=1,'1.4 Analyse &amp; Synthese'!F43="Empfehlung"),'1.4 Analyse &amp; Synthese'!I43&amp;CHAR(13)&amp;"("&amp;'(Codierung)'!$C$2&amp;" - "&amp;'1.4 Analyse &amp; Synthese'!C43&amp;")","")</f>
        <v/>
      </c>
      <c r="CC42" s="277" t="str">
        <f t="array" ref="CC42">_xlfn.IFNA(INDEX($CB$6:$CB$66,MATCH(0,COUNTIF($CC$4:CC41,$CB$6:$CB$66),0),1),"")</f>
        <v/>
      </c>
      <c r="CD42" s="277" t="str">
        <f>IF(AND('1.4 Analyse &amp; Synthese'!AB43=1,'1.4 Analyse &amp; Synthese'!F43="Methode"),'1.4 Analyse &amp; Synthese'!I43&amp;CHAR(13)&amp;"("&amp;'(Codierung)'!$C$3&amp;" - "&amp;'1.4 Analyse &amp; Synthese'!C43&amp;")","")</f>
        <v/>
      </c>
      <c r="CE42" s="277" t="str">
        <f t="array" ref="CE42">_xlfn.IFNA(INDEX($CD$6:$CD$66,MATCH(0,COUNTIF($CE$4:CE41,$CD$6:$CD$66),0),1),"")</f>
        <v/>
      </c>
      <c r="CF42" s="277" t="str">
        <f>IF(AND('1.4 Analyse &amp; Synthese'!AB43=1,'1.4 Analyse &amp; Synthese'!F43="Werkzeug"),'1.4 Analyse &amp; Synthese'!I43&amp;CHAR(13)&amp;"("&amp;'(Codierung)'!$C$4&amp;" - "&amp;'1.4 Analyse &amp; Synthese'!C43&amp;")","")</f>
        <v/>
      </c>
      <c r="CG42" s="277" t="str">
        <f t="array" ref="CG42">_xlfn.IFNA(INDEX($CF$6:$CF$66,MATCH(0,COUNTIF($CG$4:CG41,$CF$6:$CF$66),0),1),"")</f>
        <v/>
      </c>
      <c r="CI42" s="277" t="str">
        <f>IF(AND('1.4 Analyse &amp; Synthese'!AC43=1,'1.4 Analyse &amp; Synthese'!F43="Empfehlung"),'1.4 Analyse &amp; Synthese'!I43&amp;CHAR(13)&amp;"("&amp;'(Codierung)'!$C$2&amp;" - "&amp;'1.4 Analyse &amp; Synthese'!C43&amp;")","")</f>
        <v/>
      </c>
      <c r="CJ42" s="277" t="str">
        <f t="array" ref="CJ42">_xlfn.IFNA(INDEX($CI$6:$CI$66,MATCH(0,COUNTIF($CJ$4:CJ41,$CI$6:$CI$66),0),1),"")</f>
        <v/>
      </c>
      <c r="CK42" s="277" t="str">
        <f>IF(AND('1.4 Analyse &amp; Synthese'!AC43=1,'1.4 Analyse &amp; Synthese'!F43="Methode"),'1.4 Analyse &amp; Synthese'!I43&amp;CHAR(13)&amp;"("&amp;'(Codierung)'!$C$3&amp;" - "&amp;'1.4 Analyse &amp; Synthese'!C43&amp;")","")</f>
        <v/>
      </c>
      <c r="CL42" s="277" t="str">
        <f t="array" ref="CL42">_xlfn.IFNA(INDEX($CK$6:$CK$66,MATCH(0,COUNTIF($CL$4:CL41,$CK$6:$CK$66),0),1),"")</f>
        <v/>
      </c>
      <c r="CM42" s="277" t="str">
        <f>IF(AND('1.4 Analyse &amp; Synthese'!AC43=1,'1.4 Analyse &amp; Synthese'!F43="Werkzeug"),'1.4 Analyse &amp; Synthese'!I43&amp;CHAR(13)&amp;"("&amp;'(Codierung)'!$C$4&amp;" - "&amp;'1.4 Analyse &amp; Synthese'!C43&amp;")","")</f>
        <v/>
      </c>
      <c r="CN42" s="277" t="str">
        <f t="array" ref="CN42">_xlfn.IFNA(INDEX($CM$6:$CM$66,MATCH(0,COUNTIF($CN$4:CN41,$CM$6:$CM$66),0),1),"")</f>
        <v/>
      </c>
      <c r="CP42" s="277" t="str">
        <f>IF(AND('1.4 Analyse &amp; Synthese'!AD43=1,'1.4 Analyse &amp; Synthese'!F43="Empfehlung"),'1.4 Analyse &amp; Synthese'!I43&amp;CHAR(13)&amp;"("&amp;'(Codierung)'!$C$2&amp;" - "&amp;'1.4 Analyse &amp; Synthese'!C43&amp;")","")</f>
        <v/>
      </c>
      <c r="CQ42" s="277" t="str">
        <f t="array" ref="CQ42">_xlfn.IFNA(INDEX($CP$6:$CP$66,MATCH(0,COUNTIF($CQ$4:CQ41,$CP$6:$CP$66),0),1),"")</f>
        <v/>
      </c>
      <c r="CR42" s="277" t="str">
        <f>IF(AND('1.4 Analyse &amp; Synthese'!AD43=1,'1.4 Analyse &amp; Synthese'!F43="Methode"),'1.4 Analyse &amp; Synthese'!I43&amp;CHAR(13)&amp;"("&amp;'(Codierung)'!$C$3&amp;" - "&amp;'1.4 Analyse &amp; Synthese'!C43&amp;")","")</f>
        <v/>
      </c>
      <c r="CS42" s="277" t="str">
        <f t="array" ref="CS42">_xlfn.IFNA(INDEX($CR$6:$CR$66,MATCH(0,COUNTIF($CS$4:CS41,$CR$6:$CR$66),0),1),"")</f>
        <v/>
      </c>
      <c r="CT42" s="277" t="str">
        <f>IF(AND('1.4 Analyse &amp; Synthese'!AD43=1,'1.4 Analyse &amp; Synthese'!F43="Werkzeug"),'1.4 Analyse &amp; Synthese'!I43&amp;CHAR(13)&amp;"("&amp;'(Codierung)'!$C$4&amp;" - "&amp;'1.4 Analyse &amp; Synthese'!C43&amp;")","")</f>
        <v/>
      </c>
      <c r="CU42" s="277" t="str">
        <f t="array" ref="CU42">_xlfn.IFNA(INDEX($CT$6:$CT$66,MATCH(0,COUNTIF($CU$4:CU41,$CT$6:$CT$66),0),1),"")</f>
        <v/>
      </c>
      <c r="CW42" s="277" t="str">
        <f>IF(AND('1.4 Analyse &amp; Synthese'!AE43=1,'1.4 Analyse &amp; Synthese'!F43="Empfehlung"),'1.4 Analyse &amp; Synthese'!I43&amp;CHAR(13)&amp;"("&amp;'(Codierung)'!$C$2&amp;" - "&amp;'1.4 Analyse &amp; Synthese'!C43&amp;")","")</f>
        <v/>
      </c>
      <c r="CX42" s="277" t="str">
        <f t="array" ref="CX42">_xlfn.IFNA(INDEX($CW$6:$CW$66,MATCH(0,COUNTIF($CX$4:CX41,$CW$6:$CW$66),0),1),"")</f>
        <v/>
      </c>
      <c r="CY42" s="277" t="str">
        <f>IF(AND('1.4 Analyse &amp; Synthese'!AE43=1,'1.4 Analyse &amp; Synthese'!F43="Methode"),'1.4 Analyse &amp; Synthese'!I43&amp;CHAR(13)&amp;"("&amp;'(Codierung)'!$C$3&amp;" - "&amp;'1.4 Analyse &amp; Synthese'!C43&amp;")","")</f>
        <v/>
      </c>
      <c r="CZ42" s="277" t="str">
        <f t="array" ref="CZ42">_xlfn.IFNA(INDEX($CY$6:$CY$66,MATCH(0,COUNTIF($CZ$4:CZ41,$CY$6:$CY$66),0),1),"")</f>
        <v/>
      </c>
      <c r="DA42" s="277" t="str">
        <f>IF(AND('1.4 Analyse &amp; Synthese'!AE43=1,'1.4 Analyse &amp; Synthese'!F43="Werkzeug"),'1.4 Analyse &amp; Synthese'!I43&amp;CHAR(13)&amp;"("&amp;'(Codierung)'!$C$4&amp;" - "&amp;'1.4 Analyse &amp; Synthese'!C43&amp;")","")</f>
        <v/>
      </c>
      <c r="DB42" s="277" t="str">
        <f t="array" ref="DB42">_xlfn.IFNA(INDEX($DA$6:$DA$66,MATCH(0,COUNTIF($DB$4:DB41,$DA$6:$DA$66),0),1),"")</f>
        <v/>
      </c>
      <c r="DD42" s="277" t="str">
        <f>IF(AND('1.4 Analyse &amp; Synthese'!AF43=1,'1.4 Analyse &amp; Synthese'!F43="Empfehlung"),'1.4 Analyse &amp; Synthese'!I43&amp;CHAR(13)&amp;"("&amp;'(Codierung)'!$C$2&amp;" - "&amp;'1.4 Analyse &amp; Synthese'!C43&amp;")","")</f>
        <v/>
      </c>
      <c r="DE42" s="277" t="str">
        <f t="array" ref="DE42">_xlfn.IFNA(INDEX($DD$6:$DD$66,MATCH(0,COUNTIF($DE$4:DE41,$DD$6:$DD$66),0),1),"")</f>
        <v/>
      </c>
      <c r="DF42" s="277" t="str">
        <f>IF(AND('1.4 Analyse &amp; Synthese'!AF43=1,'1.4 Analyse &amp; Synthese'!F43="Methode"),'1.4 Analyse &amp; Synthese'!I43&amp;CHAR(13)&amp;"("&amp;'(Codierung)'!$C$3&amp;" - "&amp;'1.4 Analyse &amp; Synthese'!C43&amp;")","")</f>
        <v/>
      </c>
      <c r="DG42" s="277" t="str">
        <f t="array" ref="DG42">_xlfn.IFNA(INDEX($DF$6:$DF$66,MATCH(0,COUNTIF($DG$4:DG41,$DF$6:$DF$66),0),1),"")</f>
        <v/>
      </c>
      <c r="DH42" s="277" t="str">
        <f>IF(AND('1.4 Analyse &amp; Synthese'!AF43=1,'1.4 Analyse &amp; Synthese'!F43="Werkzeug"),'1.4 Analyse &amp; Synthese'!I43&amp;CHAR(13)&amp;"("&amp;'(Codierung)'!$C$4&amp;" - "&amp;'1.4 Analyse &amp; Synthese'!C43&amp;")","")</f>
        <v>Datenintegration_x000D_(Werkzeug - Vernik)</v>
      </c>
      <c r="DI42" s="277" t="str">
        <f t="array" ref="DI42">_xlfn.IFNA(INDEX($DH$6:$DH$66,MATCH(0,COUNTIF($DI$4:DI41,$DH$6:$DH$66),0),1),"")</f>
        <v/>
      </c>
      <c r="DK42" s="277" t="str">
        <f>IF(AND('1.4 Analyse &amp; Synthese'!AG43=1,'1.4 Analyse &amp; Synthese'!F43="Empfehlung"),'1.4 Analyse &amp; Synthese'!I43&amp;CHAR(13)&amp;"("&amp;'(Codierung)'!$C$2&amp;" - "&amp;'1.4 Analyse &amp; Synthese'!C43&amp;")","")</f>
        <v/>
      </c>
      <c r="DL42" s="277" t="str">
        <f t="array" ref="DL42">_xlfn.IFNA(INDEX($DK$6:$DK$66,MATCH(0,COUNTIF($DL$4:DL41,$DK$6:$DK$66),0),1),"")</f>
        <v/>
      </c>
      <c r="DM42" s="277" t="str">
        <f>IF(AND('1.4 Analyse &amp; Synthese'!AG43=1,'1.4 Analyse &amp; Synthese'!F43="Methode"),'1.4 Analyse &amp; Synthese'!I43&amp;CHAR(13)&amp;"("&amp;'(Codierung)'!$C$3&amp;" - "&amp;'1.4 Analyse &amp; Synthese'!C43&amp;")","")</f>
        <v/>
      </c>
      <c r="DN42" s="277" t="str">
        <f t="array" ref="DN42">_xlfn.IFNA(INDEX($DM$6:$DM$66,MATCH(0,COUNTIF($DN$4:DN41,$DM$6:$DM$66),0),1),"")</f>
        <v/>
      </c>
      <c r="DO42" s="277" t="str">
        <f>IF(AND('1.4 Analyse &amp; Synthese'!AG43=1,'1.4 Analyse &amp; Synthese'!F43="Werkzeug"),'1.4 Analyse &amp; Synthese'!I43&amp;CHAR(13)&amp;"("&amp;'(Codierung)'!$C$4&amp;" - "&amp;'1.4 Analyse &amp; Synthese'!C43&amp;")","")</f>
        <v>Datenintegration_x000D_(Werkzeug - Vernik)</v>
      </c>
      <c r="DP42" s="277" t="str">
        <f t="array" ref="DP42">_xlfn.IFNA(INDEX($DO$6:$DO$66,MATCH(0,COUNTIF($DP$4:DP41,$DO$6:$DO$66),0),1),"")</f>
        <v/>
      </c>
      <c r="DR42" s="277" t="str">
        <f>IF(AND('1.4 Analyse &amp; Synthese'!AH43=1,'1.4 Analyse &amp; Synthese'!F43="Empfehlung"),'1.4 Analyse &amp; Synthese'!I43&amp;CHAR(13)&amp;"("&amp;'(Codierung)'!$C$2&amp;" - "&amp;'1.4 Analyse &amp; Synthese'!C43&amp;")","")</f>
        <v/>
      </c>
      <c r="DS42" s="277" t="str">
        <f t="array" ref="DS42">_xlfn.IFNA(INDEX($DR$6:$DR$66,MATCH(0,COUNTIF($DS$4:DS41,$DR$6:$DR$66),0),1),"")</f>
        <v/>
      </c>
      <c r="DT42" s="277" t="str">
        <f>IF(AND('1.4 Analyse &amp; Synthese'!AH43=1,'1.4 Analyse &amp; Synthese'!F43="Methode"),'1.4 Analyse &amp; Synthese'!I43&amp;CHAR(13)&amp;"("&amp;'(Codierung)'!$C$3&amp;" - "&amp;'1.4 Analyse &amp; Synthese'!C43&amp;")","")</f>
        <v/>
      </c>
      <c r="DU42" s="277" t="str">
        <f t="array" ref="DU42">_xlfn.IFNA(INDEX($DT$6:$DT$66,MATCH(0,COUNTIF($DU$4:DU41,$DT$6:$DT$66),0),1),"")</f>
        <v/>
      </c>
      <c r="DV42" s="277" t="str">
        <f>IF(AND('1.4 Analyse &amp; Synthese'!AH43=1,'1.4 Analyse &amp; Synthese'!F43="Werkzeug"),'1.4 Analyse &amp; Synthese'!I43&amp;CHAR(13)&amp;"("&amp;'(Codierung)'!$C$4&amp;" - "&amp;'1.4 Analyse &amp; Synthese'!C43&amp;")","")</f>
        <v/>
      </c>
      <c r="DW42" s="277" t="str">
        <f t="array" ref="DW42">_xlfn.IFNA(INDEX($DV$6:$DV$66,MATCH(0,COUNTIF($DW$4:DW41,$DV$6:$DV$66),0),1),"")</f>
        <v/>
      </c>
      <c r="DY42" s="277" t="str">
        <f>IF(AND('1.4 Analyse &amp; Synthese'!AI43=1,'1.4 Analyse &amp; Synthese'!F43="Empfehlung"),'1.4 Analyse &amp; Synthese'!I43&amp;CHAR(13)&amp;"("&amp;'(Codierung)'!$C$2&amp;" - "&amp;'1.4 Analyse &amp; Synthese'!C43&amp;")","")</f>
        <v/>
      </c>
      <c r="DZ42" s="277" t="str">
        <f t="array" ref="DZ42">_xlfn.IFNA(INDEX($DY$6:$DY$66,MATCH(0,COUNTIF($DZ$4:DZ41,$DY$6:$DY$66),0),1),"")</f>
        <v/>
      </c>
      <c r="EA42" s="277" t="str">
        <f>IF(AND('1.4 Analyse &amp; Synthese'!AI43=1,'1.4 Analyse &amp; Synthese'!F43="Methode"),'1.4 Analyse &amp; Synthese'!I43&amp;CHAR(13)&amp;"("&amp;'(Codierung)'!$C$3&amp;" - "&amp;'1.4 Analyse &amp; Synthese'!C43&amp;")","")</f>
        <v/>
      </c>
      <c r="EB42" s="277" t="str">
        <f t="array" ref="EB42">_xlfn.IFNA(INDEX($EA$6:$EA$66,MATCH(0,COUNTIF($EB$4:EB41,$EA$6:$EA$66),0),1),"")</f>
        <v/>
      </c>
      <c r="EC42" s="277" t="str">
        <f>IF(AND('1.4 Analyse &amp; Synthese'!AI43=1,'1.4 Analyse &amp; Synthese'!F43="Werkzeug"),'1.4 Analyse &amp; Synthese'!I43&amp;CHAR(13)&amp;"("&amp;'(Codierung)'!$C$4&amp;" - "&amp;'1.4 Analyse &amp; Synthese'!C43&amp;")","")</f>
        <v>Datenintegration_x000D_(Werkzeug - Vernik)</v>
      </c>
      <c r="ED42" s="277" t="str">
        <f t="array" ref="ED42">_xlfn.IFNA(INDEX($EC$6:$EC$66,MATCH(0,COUNTIF($ED$4:ED41,$EC$6:$EC$66),0),1),"")</f>
        <v/>
      </c>
      <c r="EF42" s="277" t="str">
        <f>IF(AND('1.4 Analyse &amp; Synthese'!AJ43=1,'1.4 Analyse &amp; Synthese'!F43="Empfehlung"),'1.4 Analyse &amp; Synthese'!I43&amp;CHAR(13)&amp;"("&amp;'(Codierung)'!$C$2&amp;" - "&amp;'1.4 Analyse &amp; Synthese'!C43&amp;")","")</f>
        <v/>
      </c>
      <c r="EG42" s="277" t="str">
        <f t="array" ref="EG42">_xlfn.IFNA(INDEX($EF$6:$EF$66,MATCH(0,COUNTIF($EG$4:EG41,$EF$6:$EF$66),0),1),"")</f>
        <v/>
      </c>
      <c r="EH42" s="277" t="str">
        <f>IF(AND('1.4 Analyse &amp; Synthese'!AJ43=1,'1.4 Analyse &amp; Synthese'!F43="Methode"),'1.4 Analyse &amp; Synthese'!I43&amp;CHAR(13)&amp;"("&amp;'(Codierung)'!$C$3&amp;" - "&amp;'1.4 Analyse &amp; Synthese'!C43&amp;")","")</f>
        <v/>
      </c>
      <c r="EI42" s="277" t="str">
        <f t="array" ref="EI42">_xlfn.IFNA(INDEX($EH$6:$EH$66,MATCH(0,COUNTIF($EI$4:EI41,$EH$6:$EH$66),0),1),"")</f>
        <v/>
      </c>
      <c r="EJ42" s="277" t="str">
        <f>IF(AND('1.4 Analyse &amp; Synthese'!AJ43=1,'1.4 Analyse &amp; Synthese'!F43="Werkzeug"),'1.4 Analyse &amp; Synthese'!I43&amp;CHAR(13)&amp;"("&amp;'(Codierung)'!$C$4&amp;" - "&amp;'1.4 Analyse &amp; Synthese'!C43&amp;")","")</f>
        <v>Datenintegration_x000D_(Werkzeug - Vernik)</v>
      </c>
      <c r="EK42" s="277" t="str">
        <f t="array" ref="EK42">_xlfn.IFNA(INDEX($EJ$6:$EJ$66,MATCH(0,COUNTIF($EK$4:EK41,$EJ$6:$EJ$66),0),1),"")</f>
        <v/>
      </c>
      <c r="EN42" s="222" t="str">
        <f t="shared" si="60"/>
        <v/>
      </c>
      <c r="EO42" s="277" t="str">
        <f t="shared" si="61"/>
        <v/>
      </c>
      <c r="EP42" s="277" t="str">
        <f t="shared" si="62"/>
        <v/>
      </c>
      <c r="EQ42" s="277" t="str">
        <f>ZahlenInBereich(Tabelle1[[Empfehlung]:[Werkzeug]],ROW()-5)</f>
        <v/>
      </c>
      <c r="ER42" s="277" t="str">
        <f t="shared" si="63"/>
        <v/>
      </c>
      <c r="ES42" s="277" t="str">
        <f t="shared" si="64"/>
        <v/>
      </c>
      <c r="ET42" s="277" t="str">
        <f t="shared" si="65"/>
        <v/>
      </c>
      <c r="EU42" s="277" t="str">
        <f>ZahlenInBereich(Tabelle1[[Empfehlung2]:[Werkzeug4]],ROW()-5)</f>
        <v/>
      </c>
      <c r="EV42" s="277" t="str">
        <f t="shared" si="66"/>
        <v/>
      </c>
      <c r="EW42" s="277" t="str">
        <f t="shared" si="67"/>
        <v/>
      </c>
      <c r="EX42" s="277" t="str">
        <f t="shared" si="68"/>
        <v/>
      </c>
      <c r="EY42" s="277" t="str">
        <f>ZahlenInBereich(Tabelle1[[Empfehlung6]:[Werkzeug8]],ROW()-5)</f>
        <v/>
      </c>
      <c r="EZ42" s="277" t="str">
        <f t="shared" si="69"/>
        <v/>
      </c>
      <c r="FA42" s="277" t="str">
        <f t="shared" si="70"/>
        <v/>
      </c>
      <c r="FB42" s="277" t="str">
        <f t="shared" si="71"/>
        <v/>
      </c>
      <c r="FC42" s="277" t="str">
        <f>ZahlenInBereich(Tabelle1[[Empfehlung10]:[Werkzeug12]],ROW()-5)</f>
        <v/>
      </c>
      <c r="FD42" s="277" t="str">
        <f t="shared" si="72"/>
        <v/>
      </c>
      <c r="FE42" s="277" t="str">
        <f t="shared" si="73"/>
        <v/>
      </c>
      <c r="FF42" s="277" t="str">
        <f t="shared" si="74"/>
        <v/>
      </c>
      <c r="FG42" s="277" t="str">
        <f>ZahlenInBereich(Tabelle1[[Empfehlung14]:[Werkzeug16]],ROW()-5)</f>
        <v/>
      </c>
      <c r="FH42" s="277" t="str">
        <f t="shared" si="75"/>
        <v/>
      </c>
      <c r="FI42" s="277" t="str">
        <f t="shared" si="76"/>
        <v/>
      </c>
      <c r="FJ42" s="277" t="str">
        <f t="shared" si="77"/>
        <v/>
      </c>
      <c r="FK42" s="277" t="str">
        <f>ZahlenInBereich(Tabelle1[[Empfehlung18]:[Werkzeug20]],ROW()-5)</f>
        <v/>
      </c>
      <c r="FL42" s="277" t="str">
        <f t="shared" si="78"/>
        <v/>
      </c>
      <c r="FM42" s="277" t="str">
        <f t="shared" si="79"/>
        <v/>
      </c>
      <c r="FN42" s="277" t="str">
        <f t="shared" si="80"/>
        <v/>
      </c>
      <c r="FO42" s="277" t="str">
        <f>ZahlenInBereich(Tabelle1[[Empfehlung22]:[Werkzeug24]],ROW()-5)</f>
        <v/>
      </c>
      <c r="FP42" s="277" t="str">
        <f t="shared" si="81"/>
        <v/>
      </c>
      <c r="FQ42" s="277" t="str">
        <f t="shared" si="82"/>
        <v/>
      </c>
      <c r="FR42" s="277" t="str">
        <f t="shared" si="83"/>
        <v/>
      </c>
      <c r="FS42" s="277" t="str">
        <f>ZahlenInBereich(Tabelle1[[Empfehlung26]:[Werkzeug28]],ROW()-5)</f>
        <v/>
      </c>
      <c r="FT42" s="277" t="str">
        <f t="shared" si="84"/>
        <v/>
      </c>
      <c r="FU42" s="277" t="str">
        <f t="shared" si="85"/>
        <v/>
      </c>
      <c r="FV42" s="277" t="str">
        <f t="shared" si="86"/>
        <v/>
      </c>
      <c r="FW42" s="277" t="str">
        <f>ZahlenInBereich(Tabelle1[[Empfehlung30]:[Werkzeug32]],ROW()-5)</f>
        <v/>
      </c>
      <c r="FX42" s="277" t="str">
        <f t="shared" si="87"/>
        <v/>
      </c>
      <c r="FY42" s="277" t="str">
        <f t="shared" si="88"/>
        <v/>
      </c>
      <c r="FZ42" s="277" t="str">
        <f t="shared" si="89"/>
        <v/>
      </c>
      <c r="GA42" s="277" t="str">
        <f>ZahlenInBereich(Tabelle1[[Empfehlung34]:[Werkzeug36]],ROW()-5)</f>
        <v/>
      </c>
      <c r="GB42" s="277" t="str">
        <f t="shared" si="90"/>
        <v/>
      </c>
      <c r="GC42" s="277" t="str">
        <f t="shared" si="91"/>
        <v/>
      </c>
      <c r="GD42" s="277" t="str">
        <f t="shared" si="92"/>
        <v/>
      </c>
      <c r="GE42" s="277" t="str">
        <f>ZahlenInBereich(Tabelle1[[Empfehlung38]:[Werkzeug40]],ROW()-5)</f>
        <v/>
      </c>
      <c r="GF42" s="277" t="str">
        <f t="shared" si="93"/>
        <v/>
      </c>
      <c r="GG42" s="277" t="str">
        <f t="shared" si="94"/>
        <v/>
      </c>
      <c r="GH42" s="277" t="str">
        <f t="shared" si="95"/>
        <v/>
      </c>
      <c r="GI42" s="277" t="str">
        <f>ZahlenInBereich(Tabelle1[[Empfehlung42]:[Werkzeug44]],ROW()-5)</f>
        <v/>
      </c>
      <c r="GJ42" s="277" t="str">
        <f t="shared" si="96"/>
        <v/>
      </c>
      <c r="GK42" s="277" t="str">
        <f t="shared" si="97"/>
        <v/>
      </c>
      <c r="GL42" s="277" t="str">
        <f t="shared" si="98"/>
        <v/>
      </c>
      <c r="GM42" s="277" t="str">
        <f>ZahlenInBereich(Tabelle1[[Empfehlung46]:[Werkzeug48]],ROW()-5)</f>
        <v/>
      </c>
      <c r="GN42" s="277" t="str">
        <f t="shared" si="99"/>
        <v/>
      </c>
      <c r="GO42" s="277" t="str">
        <f t="shared" si="100"/>
        <v/>
      </c>
      <c r="GP42" s="277" t="str">
        <f t="shared" si="101"/>
        <v/>
      </c>
      <c r="GQ42" s="277" t="str">
        <f>ZahlenInBereich(Tabelle1[[Empfehlung50]:[Werkzeug52]],ROW()-5)</f>
        <v/>
      </c>
      <c r="GR42" s="277" t="str">
        <f t="shared" si="102"/>
        <v/>
      </c>
      <c r="GS42" s="277" t="str">
        <f t="shared" si="103"/>
        <v/>
      </c>
      <c r="GT42" s="277" t="str">
        <f t="shared" si="104"/>
        <v/>
      </c>
      <c r="GU42" s="277" t="str">
        <f>ZahlenInBereich(Tabelle1[[Empfehlung54]:[Werkzeug56]],ROW()-5)</f>
        <v/>
      </c>
      <c r="GV42" s="277" t="str">
        <f t="shared" si="105"/>
        <v/>
      </c>
      <c r="GW42" s="277" t="str">
        <f t="shared" si="106"/>
        <v/>
      </c>
      <c r="GX42" s="277" t="str">
        <f t="shared" si="107"/>
        <v/>
      </c>
      <c r="GY42" s="277" t="str">
        <f>ZahlenInBereich(Tabelle1[[Empfehlung58]:[Werkzeug60]],ROW()-5)</f>
        <v/>
      </c>
      <c r="GZ42" s="277" t="str">
        <f t="shared" si="108"/>
        <v/>
      </c>
      <c r="HA42" s="277" t="str">
        <f t="shared" si="109"/>
        <v/>
      </c>
      <c r="HB42" s="277" t="str">
        <f t="shared" si="110"/>
        <v/>
      </c>
      <c r="HC42" s="277" t="str">
        <f>ZahlenInBereich(Tabelle1[[Empfehlung62]:[Werkzeug64]],ROW()-5)</f>
        <v/>
      </c>
      <c r="HD42" s="277" t="str">
        <f t="shared" si="111"/>
        <v/>
      </c>
      <c r="HE42" s="277" t="str">
        <f t="shared" si="112"/>
        <v/>
      </c>
      <c r="HF42" s="277" t="str">
        <f t="shared" si="113"/>
        <v/>
      </c>
      <c r="HG42" s="277" t="str">
        <f>ZahlenInBereich(Tabelle1[[Empfehlung66]:[Werkzeug68]],ROW()-5)</f>
        <v/>
      </c>
      <c r="HH42" s="277" t="str">
        <f t="shared" si="114"/>
        <v/>
      </c>
      <c r="HI42" s="277" t="str">
        <f t="shared" si="115"/>
        <v/>
      </c>
      <c r="HJ42" s="277" t="str">
        <f t="shared" si="116"/>
        <v/>
      </c>
      <c r="HK42" s="277" t="str">
        <f>ZahlenInBereich(Tabelle1[[Empfehlung70]:[Werkzeug72]],ROW()-5)</f>
        <v/>
      </c>
      <c r="HL42" s="277" t="str">
        <f t="shared" si="117"/>
        <v/>
      </c>
      <c r="HM42" s="277" t="str">
        <f t="shared" si="118"/>
        <v/>
      </c>
      <c r="HN42" s="277" t="str">
        <f t="shared" si="119"/>
        <v/>
      </c>
      <c r="HO42" s="277" t="str">
        <f>ZahlenInBereich(Tabelle1[[Empfehlung74]:[Werkzeug76]],ROW()-5)</f>
        <v/>
      </c>
    </row>
    <row r="43" spans="2:223" s="136" customFormat="1" ht="32" x14ac:dyDescent="0.2">
      <c r="B43" s="135">
        <f>'1.4 Analyse &amp; Synthese'!B44</f>
        <v>38</v>
      </c>
      <c r="C43" s="277" t="str">
        <f>IF(AND('1.4 Analyse &amp; Synthese'!Q44=1,'1.4 Analyse &amp; Synthese'!F44="Empfehlung"),'1.4 Analyse &amp; Synthese'!I44&amp;CHAR(13)&amp;"("&amp;'(Codierung)'!$C$2&amp;" - "&amp;'1.4 Analyse &amp; Synthese'!C44&amp;")","")</f>
        <v/>
      </c>
      <c r="D43" s="385" t="str">
        <f t="array" ref="D43">_xlfn.IFNA(INDEX($C$6:$C$66,MATCH(0,COUNTIF($D$4:D42,$C$6:$C$66),0),1),"")</f>
        <v/>
      </c>
      <c r="E43" s="277" t="str">
        <f>IF(AND('1.4 Analyse &amp; Synthese'!Q44=1,'1.4 Analyse &amp; Synthese'!F44="Methode"),'1.4 Analyse &amp; Synthese'!I44&amp;CHAR(13)&amp;"("&amp;'(Codierung)'!$C$3&amp;" - "&amp;'1.4 Analyse &amp; Synthese'!C44&amp;")","")</f>
        <v/>
      </c>
      <c r="F43" s="386" t="str">
        <f t="array" ref="F43">_xlfn.IFNA(INDEX($E$6:$E$66,MATCH(0,COUNTIF($F$4:F42,$E$6:$E$66),0),1),"")</f>
        <v/>
      </c>
      <c r="G43" s="277" t="str">
        <f>IF(AND('1.4 Analyse &amp; Synthese'!Q44=1,'1.4 Analyse &amp; Synthese'!F44="Werkzeug"),'1.4 Analyse &amp; Synthese'!I44&amp;CHAR(13)&amp;"("&amp;'(Codierung)'!$C$4&amp;" - "&amp;'1.4 Analyse &amp; Synthese'!C44&amp;")","")</f>
        <v/>
      </c>
      <c r="H43" s="386" t="str">
        <f t="array" ref="H43">_xlfn.IFNA(INDEX($G$6:$G$66,MATCH(0,COUNTIF($H$4:H42,$G$6:$G$66),0),1),"")</f>
        <v/>
      </c>
      <c r="I43" s="386"/>
      <c r="J43" s="277" t="str">
        <f>IF(AND('1.4 Analyse &amp; Synthese'!R44=1,'1.4 Analyse &amp; Synthese'!F44="Empfehlung"),'1.4 Analyse &amp; Synthese'!I44&amp;CHAR(13)&amp;"("&amp;'(Codierung)'!$C$2&amp;" - "&amp;'1.4 Analyse &amp; Synthese'!C44&amp;")","")</f>
        <v/>
      </c>
      <c r="K43" s="386" t="str">
        <f t="array" ref="K43">_xlfn.IFNA(INDEX($J$6:$J$66,MATCH(0,COUNTIF($K$4:K42,$J$6:$J$66),0),1),"")</f>
        <v/>
      </c>
      <c r="L43" s="277" t="str">
        <f>IF(AND('1.4 Analyse &amp; Synthese'!R44=1,'1.4 Analyse &amp; Synthese'!F44="Methode"),'1.4 Analyse &amp; Synthese'!I44&amp;CHAR(13)&amp;"("&amp;'(Codierung)'!$C$3&amp;" - "&amp;'1.4 Analyse &amp; Synthese'!C44&amp;")","")</f>
        <v/>
      </c>
      <c r="M43" s="386" t="str">
        <f t="array" ref="M43">_xlfn.IFNA(INDEX($L$6:$L$66,MATCH(0,COUNTIF($M$4:M42,$L$6:$L$66),0),1),"")</f>
        <v/>
      </c>
      <c r="N43" s="277" t="str">
        <f>IF(AND('1.4 Analyse &amp; Synthese'!R44=1,'1.4 Analyse &amp; Synthese'!F44="Werkzeug"),'1.4 Analyse &amp; Synthese'!I44&amp;CHAR(13)&amp;"("&amp;'(Codierung)'!$C$4&amp;" - "&amp;'1.4 Analyse &amp; Synthese'!C44&amp;")","")</f>
        <v>Atificial Intelligence_x000D_(Werkzeug - Vukovic )</v>
      </c>
      <c r="O43" s="386" t="str">
        <f t="array" ref="O43">_xlfn.IFNA(INDEX($N$6:$N$66,MATCH(0,COUNTIF($O$4:O42,$N$6:$N$66),0),1),"")</f>
        <v/>
      </c>
      <c r="P43" s="386"/>
      <c r="Q43" s="277" t="str">
        <f>IF(AND('1.4 Analyse &amp; Synthese'!S44=1,'1.4 Analyse &amp; Synthese'!F44="Empfehlung"),'1.4 Analyse &amp; Synthese'!I44&amp;CHAR(13)&amp;"("&amp;'(Codierung)'!$C$2&amp;" - "&amp;'1.4 Analyse &amp; Synthese'!C44&amp;")","")</f>
        <v/>
      </c>
      <c r="R43" s="386" t="str">
        <f t="array" ref="R43">_xlfn.IFNA(INDEX($Q$6:$Q$66,MATCH(0,COUNTIF($R$4:R42,$Q$6:$Q$66),0),1),"")</f>
        <v/>
      </c>
      <c r="S43" s="277" t="str">
        <f>IF(AND('1.4 Analyse &amp; Synthese'!S44=1,'1.4 Analyse &amp; Synthese'!F44="Methode"),'1.4 Analyse &amp; Synthese'!I44&amp;CHAR(13)&amp;"("&amp;'(Codierung)'!$C$3&amp;" - "&amp;'1.4 Analyse &amp; Synthese'!C44&amp;")","")</f>
        <v/>
      </c>
      <c r="T43" s="386" t="str">
        <f t="array" ref="T43">_xlfn.IFNA(INDEX($S$6:$S$66,MATCH(0,COUNTIF($T$4:T42,$S$6:$S$66),0),1),"")</f>
        <v/>
      </c>
      <c r="U43" s="277" t="str">
        <f>IF(AND('1.4 Analyse &amp; Synthese'!S44=1,'1.4 Analyse &amp; Synthese'!F44="Werkzeug"),'1.4 Analyse &amp; Synthese'!I44&amp;CHAR(13)&amp;"("&amp;'(Codierung)'!$C$4&amp;" - "&amp;'1.4 Analyse &amp; Synthese'!C44&amp;")","")</f>
        <v/>
      </c>
      <c r="V43" s="386" t="str">
        <f t="array" ref="V43">_xlfn.IFNA(INDEX($U$6:$U$66,MATCH(0,COUNTIF($V$4:V42,$U$6:$U$66),0),1),"")</f>
        <v/>
      </c>
      <c r="W43" s="386"/>
      <c r="X43" s="277" t="str">
        <f>IF(AND('1.4 Analyse &amp; Synthese'!T44=1,'1.4 Analyse &amp; Synthese'!F44="Empfehlung"),'1.4 Analyse &amp; Synthese'!I44&amp;CHAR(13)&amp;"("&amp;'(Codierung)'!$C$2&amp;" - "&amp;'1.4 Analyse &amp; Synthese'!C44&amp;")","")</f>
        <v/>
      </c>
      <c r="Y43" s="386" t="str">
        <f t="array" ref="Y43">_xlfn.IFNA(INDEX($X$6:$X$66,MATCH(0,COUNTIF($Y$4:Y42,$X$6:$X$66),0),1),"")</f>
        <v/>
      </c>
      <c r="Z43" s="277" t="str">
        <f>IF(AND('1.4 Analyse &amp; Synthese'!T44=1,'1.4 Analyse &amp; Synthese'!F44="Methode"),'1.4 Analyse &amp; Synthese'!I44&amp;CHAR(13)&amp;"("&amp;'(Codierung)'!$C$3&amp;" - "&amp;'1.4 Analyse &amp; Synthese'!C44&amp;")","")</f>
        <v/>
      </c>
      <c r="AA43" s="386" t="str">
        <f t="array" ref="AA43">_xlfn.IFNA(INDEX($Z$6:$Z$66,MATCH(0,COUNTIF($AA$4:AA42,$Z$6:$Z$66),0),1),"")</f>
        <v/>
      </c>
      <c r="AB43" s="277" t="str">
        <f>IF(AND('1.4 Analyse &amp; Synthese'!T44=1,'1.4 Analyse &amp; Synthese'!F44="Werkzeug"),'1.4 Analyse &amp; Synthese'!I44&amp;CHAR(13)&amp;"("&amp;'(Codierung)'!$C$4&amp;" - "&amp;'1.4 Analyse &amp; Synthese'!C44&amp;")","")</f>
        <v/>
      </c>
      <c r="AC43" s="386" t="str">
        <f t="array" ref="AC43">_xlfn.IFNA(INDEX($AB$6:$AB$66,MATCH(0,COUNTIF($AC$4:AC42,$AB$6:$AB$66),0),1),"")</f>
        <v/>
      </c>
      <c r="AD43" s="386"/>
      <c r="AE43" s="277" t="str">
        <f>IF(AND('1.4 Analyse &amp; Synthese'!U44=1,'1.4 Analyse &amp; Synthese'!F44="Empfehlung"),'1.4 Analyse &amp; Synthese'!I44&amp;CHAR(13)&amp;"("&amp;'(Codierung)'!$C$2&amp;" - "&amp;'1.4 Analyse &amp; Synthese'!C44&amp;")","")</f>
        <v/>
      </c>
      <c r="AF43" s="386" t="str">
        <f t="array" ref="AF43">_xlfn.IFNA(INDEX($AE$6:$AE$66,MATCH(0,COUNTIF($AF$4:AF42,$AE$6:$AE$66),0),1),"")</f>
        <v/>
      </c>
      <c r="AG43" s="277" t="str">
        <f>IF(AND('1.4 Analyse &amp; Synthese'!U44=1,'1.4 Analyse &amp; Synthese'!F44="Methode"),'1.4 Analyse &amp; Synthese'!I44&amp;CHAR(13)&amp;"("&amp;'(Codierung)'!$C$3&amp;" - "&amp;'1.4 Analyse &amp; Synthese'!C44&amp;")","")</f>
        <v/>
      </c>
      <c r="AH43" s="386" t="str">
        <f t="array" ref="AH43">_xlfn.IFNA(INDEX($AG$6:$AG$66,MATCH(0,COUNTIF($AH$4:AH42,$AG$6:$AG$66),0),1),"")</f>
        <v/>
      </c>
      <c r="AI43" s="277" t="str">
        <f>IF(AND('1.4 Analyse &amp; Synthese'!U44=1,'1.4 Analyse &amp; Synthese'!F44="Werkzeug"),'1.4 Analyse &amp; Synthese'!I44&amp;CHAR(13)&amp;"("&amp;'(Codierung)'!$C$4&amp;" - "&amp;'1.4 Analyse &amp; Synthese'!C44&amp;")","")</f>
        <v/>
      </c>
      <c r="AJ43" s="386" t="str">
        <f t="array" ref="AJ43">_xlfn.IFNA(INDEX($AI$6:$AI$66,MATCH(0,COUNTIF($AJ$4:AJ42,$AI$6:$AI$66),0),1),"")</f>
        <v/>
      </c>
      <c r="AK43" s="386"/>
      <c r="AL43" s="277" t="str">
        <f>IF(AND('1.4 Analyse &amp; Synthese'!V44=1,'1.4 Analyse &amp; Synthese'!F44="Empfehlung"),'1.4 Analyse &amp; Synthese'!I44&amp;CHAR(13)&amp;"("&amp;'(Codierung)'!$C$2&amp;" - "&amp;'1.4 Analyse &amp; Synthese'!C44&amp;")","")</f>
        <v/>
      </c>
      <c r="AM43" s="386" t="str">
        <f t="array" ref="AM43">_xlfn.IFNA(INDEX($AL$6:$AL$66,MATCH(0,COUNTIF($AM$4:AM42,$AL$6:$AL$66),0),1),"")</f>
        <v/>
      </c>
      <c r="AN43" s="277" t="str">
        <f>IF(AND('1.4 Analyse &amp; Synthese'!V44=1,'1.4 Analyse &amp; Synthese'!F44="Methode"),'1.4 Analyse &amp; Synthese'!I44&amp;CHAR(13)&amp;"("&amp;'(Codierung)'!$C$3&amp;" - "&amp;'1.4 Analyse &amp; Synthese'!C44&amp;")","")</f>
        <v/>
      </c>
      <c r="AO43" s="386" t="str">
        <f t="array" ref="AO43">_xlfn.IFNA(INDEX($AN$6:$AN$66,MATCH(0,COUNTIF($AO$4:AO42,$AN$6:$AN$66),0),1),"")</f>
        <v/>
      </c>
      <c r="AP43" s="277" t="str">
        <f>IF(AND('1.4 Analyse &amp; Synthese'!V44=1,'1.4 Analyse &amp; Synthese'!F44="Werkzeug"),'1.4 Analyse &amp; Synthese'!I44&amp;CHAR(13)&amp;"("&amp;'(Codierung)'!$C$4&amp;" - "&amp;'1.4 Analyse &amp; Synthese'!C44&amp;")","")</f>
        <v/>
      </c>
      <c r="AQ43" s="386" t="str">
        <f t="array" ref="AQ43">_xlfn.IFNA(INDEX($AP$6:$AP$66,MATCH(0,COUNTIF($AQ$4:AQ42,$AP$6:$AP$66),0),1),"")</f>
        <v/>
      </c>
      <c r="AR43" s="386"/>
      <c r="AS43" s="277" t="str">
        <f>IF(AND('1.4 Analyse &amp; Synthese'!W44=1,'1.4 Analyse &amp; Synthese'!F44="Empfehlung"),'1.4 Analyse &amp; Synthese'!I44&amp;CHAR(13)&amp;"("&amp;'(Codierung)'!$C$2&amp;" - "&amp;'1.4 Analyse &amp; Synthese'!C44&amp;")","")</f>
        <v/>
      </c>
      <c r="AT43" s="386" t="str">
        <f t="array" ref="AT43">_xlfn.IFNA(INDEX($AS$6:$AS$66,MATCH(0,COUNTIF($AT$4:AT42,$AS$6:$AS$66),0),1),"")</f>
        <v/>
      </c>
      <c r="AU43" s="277" t="str">
        <f>IF(AND('1.4 Analyse &amp; Synthese'!W44=1,'1.4 Analyse &amp; Synthese'!F44="Methode"),'1.4 Analyse &amp; Synthese'!I44&amp;CHAR(13)&amp;"("&amp;'(Codierung)'!$C$3&amp;" - "&amp;'1.4 Analyse &amp; Synthese'!C44&amp;")","")</f>
        <v/>
      </c>
      <c r="AV43" s="386" t="str">
        <f t="array" ref="AV43">_xlfn.IFNA(INDEX($AU$6:$AU$66,MATCH(0,COUNTIF($AV$4:AV42,$AU$6:$AU$66),0),1),"")</f>
        <v/>
      </c>
      <c r="AW43" s="277" t="str">
        <f>IF(AND('1.4 Analyse &amp; Synthese'!W44=1,'1.4 Analyse &amp; Synthese'!F44="Werkzeug"),'1.4 Analyse &amp; Synthese'!I44&amp;CHAR(13)&amp;"("&amp;'(Codierung)'!$C$4&amp;" - "&amp;'1.4 Analyse &amp; Synthese'!C44&amp;")","")</f>
        <v/>
      </c>
      <c r="AX43" s="386" t="str">
        <f t="array" ref="AX43">_xlfn.IFNA(INDEX($AW$6:$AW$66,MATCH(0,COUNTIF($AX$4:AX42,$AW$6:$AW$66),0),1),"")</f>
        <v/>
      </c>
      <c r="AY43" s="386"/>
      <c r="AZ43" s="277" t="str">
        <f>IF(AND('1.4 Analyse &amp; Synthese'!X44=1,'1.4 Analyse &amp; Synthese'!F44="Empfehlung"),'1.4 Analyse &amp; Synthese'!I44&amp;CHAR(13)&amp;"("&amp;'(Codierung)'!$C$2&amp;" - "&amp;'1.4 Analyse &amp; Synthese'!C44&amp;")","")</f>
        <v/>
      </c>
      <c r="BA43" s="386" t="str">
        <f t="array" ref="BA43">_xlfn.IFNA(INDEX($AZ$6:$AZ$66,MATCH(0,COUNTIF($BA$4:BA42,$AZ$6:$AZ$66),0),1),"")</f>
        <v/>
      </c>
      <c r="BB43" s="277" t="str">
        <f>IF(AND('1.4 Analyse &amp; Synthese'!X44=1,'1.4 Analyse &amp; Synthese'!F44="Methode"),'1.4 Analyse &amp; Synthese'!I44&amp;CHAR(13)&amp;"("&amp;'(Codierung)'!$C$3&amp;" - "&amp;'1.4 Analyse &amp; Synthese'!C44&amp;")","")</f>
        <v/>
      </c>
      <c r="BC43" s="386" t="str">
        <f t="array" ref="BC43">_xlfn.IFNA(INDEX($BB$6:$BB$66,MATCH(0,COUNTIF($BC$4:BC42,$BB$6:$BB$66),0),1),"")</f>
        <v/>
      </c>
      <c r="BD43" s="277" t="str">
        <f>IF(AND('1.4 Analyse &amp; Synthese'!X44=1,'1.4 Analyse &amp; Synthese'!F44="Werkzeug"),'1.4 Analyse &amp; Synthese'!I44&amp;CHAR(13)&amp;"("&amp;'(Codierung)'!$C$4&amp;" - "&amp;'1.4 Analyse &amp; Synthese'!C44&amp;")","")</f>
        <v/>
      </c>
      <c r="BE43" s="386" t="str">
        <f t="array" ref="BE43">_xlfn.IFNA(INDEX($BD$6:$BD$66,MATCH(0,COUNTIF($BE$4:BE42,$BD$6:$BD$66),0),1),"")</f>
        <v/>
      </c>
      <c r="BF43" s="386"/>
      <c r="BG43" s="277" t="str">
        <f>IF(AND('1.4 Analyse &amp; Synthese'!Y44=1,'1.4 Analyse &amp; Synthese'!F44="Empfehlung"),'1.4 Analyse &amp; Synthese'!I44&amp;CHAR(13)&amp;"("&amp;'(Codierung)'!$C$2&amp;" - "&amp;'1.4 Analyse &amp; Synthese'!C44&amp;")","")</f>
        <v/>
      </c>
      <c r="BH43" s="386" t="str">
        <f t="array" ref="BH43">_xlfn.IFNA(INDEX($BG$6:$BG$66,MATCH(0,COUNTIF($BH$4:BH42,$BG$6:$BG$66),0),1),"")</f>
        <v/>
      </c>
      <c r="BI43" s="277" t="str">
        <f>IF(AND('1.4 Analyse &amp; Synthese'!Y44=1,'1.4 Analyse &amp; Synthese'!F44="Methode"),'1.4 Analyse &amp; Synthese'!I44&amp;CHAR(13)&amp;"("&amp;'(Codierung)'!$C$3&amp;" - "&amp;'1.4 Analyse &amp; Synthese'!C44&amp;")","")</f>
        <v/>
      </c>
      <c r="BJ43" s="386" t="str">
        <f t="array" ref="BJ43">_xlfn.IFNA(INDEX($BI$6:$BI$66,MATCH(0,COUNTIF($BJ$4:BJ42,$BI$6:$BI$66),0),1),"")</f>
        <v/>
      </c>
      <c r="BK43" s="277" t="str">
        <f>IF(AND('1.4 Analyse &amp; Synthese'!Y44=1,'1.4 Analyse &amp; Synthese'!F44="Werkzeug"),'1.4 Analyse &amp; Synthese'!I44&amp;CHAR(13)&amp;"("&amp;'(Codierung)'!$C$4&amp;" - "&amp;'1.4 Analyse &amp; Synthese'!C44&amp;")","")</f>
        <v/>
      </c>
      <c r="BL43" s="386" t="str">
        <f t="array" ref="BL43">_xlfn.IFNA(INDEX($BK$6:$BK$66,MATCH(0,COUNTIF($BL$4:BL42,$BK$6:$BK$66),0),1),"")</f>
        <v/>
      </c>
      <c r="BM43" s="386"/>
      <c r="BN43" s="277" t="str">
        <f>IF(AND('1.4 Analyse &amp; Synthese'!Z44=1,'1.4 Analyse &amp; Synthese'!F44="Empfehlung"),'1.4 Analyse &amp; Synthese'!I44&amp;CHAR(13)&amp;"("&amp;'(Codierung)'!$C$2&amp;" - "&amp;'1.4 Analyse &amp; Synthese'!C44&amp;")","")</f>
        <v/>
      </c>
      <c r="BO43" s="386" t="str">
        <f t="array" ref="BO43">_xlfn.IFNA(INDEX($BN$6:$BN$66,MATCH(0,COUNTIF($BO$4:BO42,$BN$6:$BN$66),0),1),"")</f>
        <v/>
      </c>
      <c r="BP43" s="277" t="str">
        <f>IF(AND('1.4 Analyse &amp; Synthese'!Z44=1,'1.4 Analyse &amp; Synthese'!F44="Methode"),'1.4 Analyse &amp; Synthese'!I44&amp;CHAR(13)&amp;"("&amp;'(Codierung)'!$C$3&amp;" - "&amp;'1.4 Analyse &amp; Synthese'!C44&amp;")","")</f>
        <v/>
      </c>
      <c r="BQ43" s="386" t="str">
        <f t="array" ref="BQ43">_xlfn.IFNA(INDEX($BP$6:$BP$66,MATCH(0,COUNTIF($BQ$4:BQ42,$BP$6:$BP$66),0),1),"")</f>
        <v/>
      </c>
      <c r="BR43" s="277" t="str">
        <f>IF(AND('1.4 Analyse &amp; Synthese'!Z44=1,'1.4 Analyse &amp; Synthese'!F44="Werkzeug"),'1.4 Analyse &amp; Synthese'!I44&amp;CHAR(13)&amp;"("&amp;'(Codierung)'!$C$4&amp;" - "&amp;'1.4 Analyse &amp; Synthese'!C44&amp;")","")</f>
        <v/>
      </c>
      <c r="BS43" s="386" t="str">
        <f t="array" ref="BS43">_xlfn.IFNA(INDEX($BR$6:$BR$66,MATCH(0,COUNTIF($BS$4:BS42,$BR$6:$BR$66),0),1),"")</f>
        <v/>
      </c>
      <c r="BT43" s="386"/>
      <c r="BU43" s="277" t="str">
        <f>IF(AND('1.4 Analyse &amp; Synthese'!AA44=1,'1.4 Analyse &amp; Synthese'!F44="Empfehlung"),'1.4 Analyse &amp; Synthese'!I44&amp;CHAR(13)&amp;"("&amp;'(Codierung)'!$C$2&amp;" - "&amp;'1.4 Analyse &amp; Synthese'!C44&amp;")","")</f>
        <v/>
      </c>
      <c r="BV43" s="386" t="str">
        <f t="array" ref="BV43">_xlfn.IFNA(INDEX($BU$6:$BU$66,MATCH(0,COUNTIF($BV$4:BV42,$BU$6:$BU$66),0),1),"")</f>
        <v/>
      </c>
      <c r="BW43" s="277" t="str">
        <f>IF(AND('1.4 Analyse &amp; Synthese'!AA44=1,'1.4 Analyse &amp; Synthese'!F44="Methode"),'1.4 Analyse &amp; Synthese'!I44&amp;CHAR(13)&amp;"("&amp;'(Codierung)'!$C$3&amp;" - "&amp;'1.4 Analyse &amp; Synthese'!C44&amp;")","")</f>
        <v/>
      </c>
      <c r="BX43" s="386" t="str">
        <f t="array" ref="BX43">_xlfn.IFNA(INDEX($BW$6:$BW$66,MATCH(0,COUNTIF($BX$4:BX42,$BW$6:$BW$66),0),1),"")</f>
        <v/>
      </c>
      <c r="BY43" s="277" t="str">
        <f>IF(AND('1.4 Analyse &amp; Synthese'!AA44=1,'1.4 Analyse &amp; Synthese'!F44="Werkzeug"),'1.4 Analyse &amp; Synthese'!I44&amp;CHAR(13)&amp;"("&amp;'(Codierung)'!$C$4&amp;" - "&amp;'1.4 Analyse &amp; Synthese'!C44&amp;")","")</f>
        <v/>
      </c>
      <c r="BZ43" s="386" t="str">
        <f t="array" ref="BZ43">_xlfn.IFNA(INDEX($BY$6:$BY$66,MATCH(0,COUNTIF($BZ$4:BZ42,$BY$6:$BY$66),0),1),"")</f>
        <v/>
      </c>
      <c r="CA43" s="386"/>
      <c r="CB43" s="277" t="str">
        <f>IF(AND('1.4 Analyse &amp; Synthese'!AB44=1,'1.4 Analyse &amp; Synthese'!F44="Empfehlung"),'1.4 Analyse &amp; Synthese'!I44&amp;CHAR(13)&amp;"("&amp;'(Codierung)'!$C$2&amp;" - "&amp;'1.4 Analyse &amp; Synthese'!C44&amp;")","")</f>
        <v/>
      </c>
      <c r="CC43" s="386" t="str">
        <f t="array" ref="CC43">_xlfn.IFNA(INDEX($CB$6:$CB$66,MATCH(0,COUNTIF($CC$4:CC42,$CB$6:$CB$66),0),1),"")</f>
        <v/>
      </c>
      <c r="CD43" s="277" t="str">
        <f>IF(AND('1.4 Analyse &amp; Synthese'!AB44=1,'1.4 Analyse &amp; Synthese'!F44="Methode"),'1.4 Analyse &amp; Synthese'!I44&amp;CHAR(13)&amp;"("&amp;'(Codierung)'!$C$3&amp;" - "&amp;'1.4 Analyse &amp; Synthese'!C44&amp;")","")</f>
        <v/>
      </c>
      <c r="CE43" s="386" t="str">
        <f t="array" ref="CE43">_xlfn.IFNA(INDEX($CD$6:$CD$66,MATCH(0,COUNTIF($CE$4:CE42,$CD$6:$CD$66),0),1),"")</f>
        <v/>
      </c>
      <c r="CF43" s="277" t="str">
        <f>IF(AND('1.4 Analyse &amp; Synthese'!AB44=1,'1.4 Analyse &amp; Synthese'!F44="Werkzeug"),'1.4 Analyse &amp; Synthese'!I44&amp;CHAR(13)&amp;"("&amp;'(Codierung)'!$C$4&amp;" - "&amp;'1.4 Analyse &amp; Synthese'!C44&amp;")","")</f>
        <v/>
      </c>
      <c r="CG43" s="386" t="str">
        <f t="array" ref="CG43">_xlfn.IFNA(INDEX($CF$6:$CF$66,MATCH(0,COUNTIF($CG$4:CG42,$CF$6:$CF$66),0),1),"")</f>
        <v/>
      </c>
      <c r="CH43" s="386"/>
      <c r="CI43" s="277" t="str">
        <f>IF(AND('1.4 Analyse &amp; Synthese'!AC44=1,'1.4 Analyse &amp; Synthese'!F44="Empfehlung"),'1.4 Analyse &amp; Synthese'!I44&amp;CHAR(13)&amp;"("&amp;'(Codierung)'!$C$2&amp;" - "&amp;'1.4 Analyse &amp; Synthese'!C44&amp;")","")</f>
        <v/>
      </c>
      <c r="CJ43" s="386" t="str">
        <f t="array" ref="CJ43">_xlfn.IFNA(INDEX($CI$6:$CI$66,MATCH(0,COUNTIF($CJ$4:CJ42,$CI$6:$CI$66),0),1),"")</f>
        <v/>
      </c>
      <c r="CK43" s="277" t="str">
        <f>IF(AND('1.4 Analyse &amp; Synthese'!AC44=1,'1.4 Analyse &amp; Synthese'!F44="Methode"),'1.4 Analyse &amp; Synthese'!I44&amp;CHAR(13)&amp;"("&amp;'(Codierung)'!$C$3&amp;" - "&amp;'1.4 Analyse &amp; Synthese'!C44&amp;")","")</f>
        <v/>
      </c>
      <c r="CL43" s="386" t="str">
        <f t="array" ref="CL43">_xlfn.IFNA(INDEX($CK$6:$CK$66,MATCH(0,COUNTIF($CL$4:CL42,$CK$6:$CK$66),0),1),"")</f>
        <v/>
      </c>
      <c r="CM43" s="277" t="str">
        <f>IF(AND('1.4 Analyse &amp; Synthese'!AC44=1,'1.4 Analyse &amp; Synthese'!F44="Werkzeug"),'1.4 Analyse &amp; Synthese'!I44&amp;CHAR(13)&amp;"("&amp;'(Codierung)'!$C$4&amp;" - "&amp;'1.4 Analyse &amp; Synthese'!C44&amp;")","")</f>
        <v/>
      </c>
      <c r="CN43" s="386" t="str">
        <f t="array" ref="CN43">_xlfn.IFNA(INDEX($CM$6:$CM$66,MATCH(0,COUNTIF($CN$4:CN42,$CM$6:$CM$66),0),1),"")</f>
        <v/>
      </c>
      <c r="CO43" s="386"/>
      <c r="CP43" s="277" t="str">
        <f>IF(AND('1.4 Analyse &amp; Synthese'!AD44=1,'1.4 Analyse &amp; Synthese'!F44="Empfehlung"),'1.4 Analyse &amp; Synthese'!I44&amp;CHAR(13)&amp;"("&amp;'(Codierung)'!$C$2&amp;" - "&amp;'1.4 Analyse &amp; Synthese'!C44&amp;")","")</f>
        <v/>
      </c>
      <c r="CQ43" s="386" t="str">
        <f t="array" ref="CQ43">_xlfn.IFNA(INDEX($CP$6:$CP$66,MATCH(0,COUNTIF($CQ$4:CQ42,$CP$6:$CP$66),0),1),"")</f>
        <v/>
      </c>
      <c r="CR43" s="277" t="str">
        <f>IF(AND('1.4 Analyse &amp; Synthese'!AD44=1,'1.4 Analyse &amp; Synthese'!F44="Methode"),'1.4 Analyse &amp; Synthese'!I44&amp;CHAR(13)&amp;"("&amp;'(Codierung)'!$C$3&amp;" - "&amp;'1.4 Analyse &amp; Synthese'!C44&amp;")","")</f>
        <v/>
      </c>
      <c r="CS43" s="386" t="str">
        <f t="array" ref="CS43">_xlfn.IFNA(INDEX($CR$6:$CR$66,MATCH(0,COUNTIF($CS$4:CS42,$CR$6:$CR$66),0),1),"")</f>
        <v/>
      </c>
      <c r="CT43" s="277" t="str">
        <f>IF(AND('1.4 Analyse &amp; Synthese'!AD44=1,'1.4 Analyse &amp; Synthese'!F44="Werkzeug"),'1.4 Analyse &amp; Synthese'!I44&amp;CHAR(13)&amp;"("&amp;'(Codierung)'!$C$4&amp;" - "&amp;'1.4 Analyse &amp; Synthese'!C44&amp;")","")</f>
        <v/>
      </c>
      <c r="CU43" s="386" t="str">
        <f t="array" ref="CU43">_xlfn.IFNA(INDEX($CT$6:$CT$66,MATCH(0,COUNTIF($CU$4:CU42,$CT$6:$CT$66),0),1),"")</f>
        <v/>
      </c>
      <c r="CV43" s="386"/>
      <c r="CW43" s="277" t="str">
        <f>IF(AND('1.4 Analyse &amp; Synthese'!AE44=1,'1.4 Analyse &amp; Synthese'!F44="Empfehlung"),'1.4 Analyse &amp; Synthese'!I44&amp;CHAR(13)&amp;"("&amp;'(Codierung)'!$C$2&amp;" - "&amp;'1.4 Analyse &amp; Synthese'!C44&amp;")","")</f>
        <v/>
      </c>
      <c r="CX43" s="386" t="str">
        <f t="array" ref="CX43">_xlfn.IFNA(INDEX($CW$6:$CW$66,MATCH(0,COUNTIF($CX$4:CX42,$CW$6:$CW$66),0),1),"")</f>
        <v/>
      </c>
      <c r="CY43" s="277" t="str">
        <f>IF(AND('1.4 Analyse &amp; Synthese'!AE44=1,'1.4 Analyse &amp; Synthese'!F44="Methode"),'1.4 Analyse &amp; Synthese'!I44&amp;CHAR(13)&amp;"("&amp;'(Codierung)'!$C$3&amp;" - "&amp;'1.4 Analyse &amp; Synthese'!C44&amp;")","")</f>
        <v/>
      </c>
      <c r="CZ43" s="386" t="str">
        <f t="array" ref="CZ43">_xlfn.IFNA(INDEX($CY$6:$CY$66,MATCH(0,COUNTIF($CZ$4:CZ42,$CY$6:$CY$66),0),1),"")</f>
        <v/>
      </c>
      <c r="DA43" s="277" t="str">
        <f>IF(AND('1.4 Analyse &amp; Synthese'!AE44=1,'1.4 Analyse &amp; Synthese'!F44="Werkzeug"),'1.4 Analyse &amp; Synthese'!I44&amp;CHAR(13)&amp;"("&amp;'(Codierung)'!$C$4&amp;" - "&amp;'1.4 Analyse &amp; Synthese'!C44&amp;")","")</f>
        <v>Atificial Intelligence_x000D_(Werkzeug - Vukovic )</v>
      </c>
      <c r="DB43" s="386" t="str">
        <f t="array" ref="DB43">_xlfn.IFNA(INDEX($DA$6:$DA$66,MATCH(0,COUNTIF($DB$4:DB42,$DA$6:$DA$66),0),1),"")</f>
        <v/>
      </c>
      <c r="DC43" s="386"/>
      <c r="DD43" s="277" t="str">
        <f>IF(AND('1.4 Analyse &amp; Synthese'!AF44=1,'1.4 Analyse &amp; Synthese'!F44="Empfehlung"),'1.4 Analyse &amp; Synthese'!I44&amp;CHAR(13)&amp;"("&amp;'(Codierung)'!$C$2&amp;" - "&amp;'1.4 Analyse &amp; Synthese'!C44&amp;")","")</f>
        <v/>
      </c>
      <c r="DE43" s="386" t="str">
        <f t="array" ref="DE43">_xlfn.IFNA(INDEX($DD$6:$DD$66,MATCH(0,COUNTIF($DE$4:DE42,$DD$6:$DD$66),0),1),"")</f>
        <v/>
      </c>
      <c r="DF43" s="277" t="str">
        <f>IF(AND('1.4 Analyse &amp; Synthese'!AF44=1,'1.4 Analyse &amp; Synthese'!F44="Methode"),'1.4 Analyse &amp; Synthese'!I44&amp;CHAR(13)&amp;"("&amp;'(Codierung)'!$C$3&amp;" - "&amp;'1.4 Analyse &amp; Synthese'!C44&amp;")","")</f>
        <v/>
      </c>
      <c r="DG43" s="386" t="str">
        <f t="array" ref="DG43">_xlfn.IFNA(INDEX($DF$6:$DF$66,MATCH(0,COUNTIF($DG$4:DG42,$DF$6:$DF$66),0),1),"")</f>
        <v/>
      </c>
      <c r="DH43" s="277" t="str">
        <f>IF(AND('1.4 Analyse &amp; Synthese'!AF44=1,'1.4 Analyse &amp; Synthese'!F44="Werkzeug"),'1.4 Analyse &amp; Synthese'!I44&amp;CHAR(13)&amp;"("&amp;'(Codierung)'!$C$4&amp;" - "&amp;'1.4 Analyse &amp; Synthese'!C44&amp;")","")</f>
        <v/>
      </c>
      <c r="DI43" s="386" t="str">
        <f t="array" ref="DI43">_xlfn.IFNA(INDEX($DH$6:$DH$66,MATCH(0,COUNTIF($DI$4:DI42,$DH$6:$DH$66),0),1),"")</f>
        <v/>
      </c>
      <c r="DJ43" s="386"/>
      <c r="DK43" s="277" t="str">
        <f>IF(AND('1.4 Analyse &amp; Synthese'!AG44=1,'1.4 Analyse &amp; Synthese'!F44="Empfehlung"),'1.4 Analyse &amp; Synthese'!I44&amp;CHAR(13)&amp;"("&amp;'(Codierung)'!$C$2&amp;" - "&amp;'1.4 Analyse &amp; Synthese'!C44&amp;")","")</f>
        <v/>
      </c>
      <c r="DL43" s="386" t="str">
        <f t="array" ref="DL43">_xlfn.IFNA(INDEX($DK$6:$DK$66,MATCH(0,COUNTIF($DL$4:DL42,$DK$6:$DK$66),0),1),"")</f>
        <v/>
      </c>
      <c r="DM43" s="277" t="str">
        <f>IF(AND('1.4 Analyse &amp; Synthese'!AG44=1,'1.4 Analyse &amp; Synthese'!F44="Methode"),'1.4 Analyse &amp; Synthese'!I44&amp;CHAR(13)&amp;"("&amp;'(Codierung)'!$C$3&amp;" - "&amp;'1.4 Analyse &amp; Synthese'!C44&amp;")","")</f>
        <v/>
      </c>
      <c r="DN43" s="386" t="str">
        <f t="array" ref="DN43">_xlfn.IFNA(INDEX($DM$6:$DM$66,MATCH(0,COUNTIF($DN$4:DN42,$DM$6:$DM$66),0),1),"")</f>
        <v/>
      </c>
      <c r="DO43" s="277" t="str">
        <f>IF(AND('1.4 Analyse &amp; Synthese'!AG44=1,'1.4 Analyse &amp; Synthese'!F44="Werkzeug"),'1.4 Analyse &amp; Synthese'!I44&amp;CHAR(13)&amp;"("&amp;'(Codierung)'!$C$4&amp;" - "&amp;'1.4 Analyse &amp; Synthese'!C44&amp;")","")</f>
        <v/>
      </c>
      <c r="DP43" s="386" t="str">
        <f t="array" ref="DP43">_xlfn.IFNA(INDEX($DO$6:$DO$66,MATCH(0,COUNTIF($DP$4:DP42,$DO$6:$DO$66),0),1),"")</f>
        <v/>
      </c>
      <c r="DQ43" s="386"/>
      <c r="DR43" s="277" t="str">
        <f>IF(AND('1.4 Analyse &amp; Synthese'!AH44=1,'1.4 Analyse &amp; Synthese'!F44="Empfehlung"),'1.4 Analyse &amp; Synthese'!I44&amp;CHAR(13)&amp;"("&amp;'(Codierung)'!$C$2&amp;" - "&amp;'1.4 Analyse &amp; Synthese'!C44&amp;")","")</f>
        <v/>
      </c>
      <c r="DS43" s="386" t="str">
        <f t="array" ref="DS43">_xlfn.IFNA(INDEX($DR$6:$DR$66,MATCH(0,COUNTIF($DS$4:DS42,$DR$6:$DR$66),0),1),"")</f>
        <v/>
      </c>
      <c r="DT43" s="277" t="str">
        <f>IF(AND('1.4 Analyse &amp; Synthese'!AH44=1,'1.4 Analyse &amp; Synthese'!F44="Methode"),'1.4 Analyse &amp; Synthese'!I44&amp;CHAR(13)&amp;"("&amp;'(Codierung)'!$C$3&amp;" - "&amp;'1.4 Analyse &amp; Synthese'!C44&amp;")","")</f>
        <v/>
      </c>
      <c r="DU43" s="386" t="str">
        <f t="array" ref="DU43">_xlfn.IFNA(INDEX($DT$6:$DT$66,MATCH(0,COUNTIF($DU$4:DU42,$DT$6:$DT$66),0),1),"")</f>
        <v/>
      </c>
      <c r="DV43" s="277" t="str">
        <f>IF(AND('1.4 Analyse &amp; Synthese'!AH44=1,'1.4 Analyse &amp; Synthese'!F44="Werkzeug"),'1.4 Analyse &amp; Synthese'!I44&amp;CHAR(13)&amp;"("&amp;'(Codierung)'!$C$4&amp;" - "&amp;'1.4 Analyse &amp; Synthese'!C44&amp;")","")</f>
        <v/>
      </c>
      <c r="DW43" s="386" t="str">
        <f t="array" ref="DW43">_xlfn.IFNA(INDEX($DV$6:$DV$66,MATCH(0,COUNTIF($DW$4:DW42,$DV$6:$DV$66),0),1),"")</f>
        <v/>
      </c>
      <c r="DX43" s="386"/>
      <c r="DY43" s="277" t="str">
        <f>IF(AND('1.4 Analyse &amp; Synthese'!AI44=1,'1.4 Analyse &amp; Synthese'!F44="Empfehlung"),'1.4 Analyse &amp; Synthese'!I44&amp;CHAR(13)&amp;"("&amp;'(Codierung)'!$C$2&amp;" - "&amp;'1.4 Analyse &amp; Synthese'!C44&amp;")","")</f>
        <v/>
      </c>
      <c r="DZ43" s="386" t="str">
        <f t="array" ref="DZ43">_xlfn.IFNA(INDEX($DY$6:$DY$66,MATCH(0,COUNTIF($DZ$4:DZ42,$DY$6:$DY$66),0),1),"")</f>
        <v/>
      </c>
      <c r="EA43" s="277" t="str">
        <f>IF(AND('1.4 Analyse &amp; Synthese'!AI44=1,'1.4 Analyse &amp; Synthese'!F44="Methode"),'1.4 Analyse &amp; Synthese'!I44&amp;CHAR(13)&amp;"("&amp;'(Codierung)'!$C$3&amp;" - "&amp;'1.4 Analyse &amp; Synthese'!C44&amp;")","")</f>
        <v/>
      </c>
      <c r="EB43" s="386" t="str">
        <f t="array" ref="EB43">_xlfn.IFNA(INDEX($EA$6:$EA$66,MATCH(0,COUNTIF($EB$4:EB42,$EA$6:$EA$66),0),1),"")</f>
        <v/>
      </c>
      <c r="EC43" s="277" t="str">
        <f>IF(AND('1.4 Analyse &amp; Synthese'!AI44=1,'1.4 Analyse &amp; Synthese'!F44="Werkzeug"),'1.4 Analyse &amp; Synthese'!I44&amp;CHAR(13)&amp;"("&amp;'(Codierung)'!$C$4&amp;" - "&amp;'1.4 Analyse &amp; Synthese'!C44&amp;")","")</f>
        <v/>
      </c>
      <c r="ED43" s="386" t="str">
        <f t="array" ref="ED43">_xlfn.IFNA(INDEX($EC$6:$EC$66,MATCH(0,COUNTIF($ED$4:ED42,$EC$6:$EC$66),0),1),"")</f>
        <v/>
      </c>
      <c r="EE43" s="386"/>
      <c r="EF43" s="277" t="str">
        <f>IF(AND('1.4 Analyse &amp; Synthese'!AJ44=1,'1.4 Analyse &amp; Synthese'!F44="Empfehlung"),'1.4 Analyse &amp; Synthese'!I44&amp;CHAR(13)&amp;"("&amp;'(Codierung)'!$C$2&amp;" - "&amp;'1.4 Analyse &amp; Synthese'!C44&amp;")","")</f>
        <v/>
      </c>
      <c r="EG43" s="386" t="str">
        <f t="array" ref="EG43">_xlfn.IFNA(INDEX($EF$6:$EF$66,MATCH(0,COUNTIF($EG$4:EG42,$EF$6:$EF$66),0),1),"")</f>
        <v/>
      </c>
      <c r="EH43" s="277" t="str">
        <f>IF(AND('1.4 Analyse &amp; Synthese'!AJ44=1,'1.4 Analyse &amp; Synthese'!F44="Methode"),'1.4 Analyse &amp; Synthese'!I44&amp;CHAR(13)&amp;"("&amp;'(Codierung)'!$C$3&amp;" - "&amp;'1.4 Analyse &amp; Synthese'!C44&amp;")","")</f>
        <v/>
      </c>
      <c r="EI43" s="386" t="str">
        <f t="array" ref="EI43">_xlfn.IFNA(INDEX($EH$6:$EH$66,MATCH(0,COUNTIF($EI$4:EI42,$EH$6:$EH$66),0),1),"")</f>
        <v/>
      </c>
      <c r="EJ43" s="277" t="str">
        <f>IF(AND('1.4 Analyse &amp; Synthese'!AJ44=1,'1.4 Analyse &amp; Synthese'!F44="Werkzeug"),'1.4 Analyse &amp; Synthese'!I44&amp;CHAR(13)&amp;"("&amp;'(Codierung)'!$C$4&amp;" - "&amp;'1.4 Analyse &amp; Synthese'!C44&amp;")","")</f>
        <v/>
      </c>
      <c r="EK43" s="386" t="str">
        <f t="array" ref="EK43">_xlfn.IFNA(INDEX($EJ$6:$EJ$66,MATCH(0,COUNTIF($EK$4:EK42,$EJ$6:$EJ$66),0),1),"")</f>
        <v/>
      </c>
      <c r="EL43" s="386"/>
      <c r="EM43" s="386"/>
      <c r="EN43" s="385" t="str">
        <f t="shared" si="60"/>
        <v/>
      </c>
      <c r="EO43" s="386" t="str">
        <f t="shared" si="61"/>
        <v/>
      </c>
      <c r="EP43" s="386" t="str">
        <f t="shared" si="62"/>
        <v/>
      </c>
      <c r="EQ43" s="386" t="str">
        <f>ZahlenInBereich(Tabelle1[[Empfehlung]:[Werkzeug]],ROW()-5)</f>
        <v/>
      </c>
      <c r="ER43" s="386" t="str">
        <f t="shared" si="63"/>
        <v/>
      </c>
      <c r="ES43" s="386" t="str">
        <f t="shared" si="64"/>
        <v/>
      </c>
      <c r="ET43" s="386" t="str">
        <f t="shared" si="65"/>
        <v/>
      </c>
      <c r="EU43" s="386" t="str">
        <f>ZahlenInBereich(Tabelle1[[Empfehlung2]:[Werkzeug4]],ROW()-5)</f>
        <v/>
      </c>
      <c r="EV43" s="386" t="str">
        <f t="shared" si="66"/>
        <v/>
      </c>
      <c r="EW43" s="386" t="str">
        <f t="shared" si="67"/>
        <v/>
      </c>
      <c r="EX43" s="386" t="str">
        <f t="shared" si="68"/>
        <v/>
      </c>
      <c r="EY43" s="386" t="str">
        <f>ZahlenInBereich(Tabelle1[[Empfehlung6]:[Werkzeug8]],ROW()-5)</f>
        <v/>
      </c>
      <c r="EZ43" s="386" t="str">
        <f t="shared" si="69"/>
        <v/>
      </c>
      <c r="FA43" s="386" t="str">
        <f t="shared" si="70"/>
        <v/>
      </c>
      <c r="FB43" s="386" t="str">
        <f t="shared" si="71"/>
        <v/>
      </c>
      <c r="FC43" s="386" t="str">
        <f>ZahlenInBereich(Tabelle1[[Empfehlung10]:[Werkzeug12]],ROW()-5)</f>
        <v/>
      </c>
      <c r="FD43" s="386" t="str">
        <f t="shared" si="72"/>
        <v/>
      </c>
      <c r="FE43" s="386" t="str">
        <f t="shared" si="73"/>
        <v/>
      </c>
      <c r="FF43" s="386" t="str">
        <f t="shared" si="74"/>
        <v/>
      </c>
      <c r="FG43" s="386" t="str">
        <f>ZahlenInBereich(Tabelle1[[Empfehlung14]:[Werkzeug16]],ROW()-5)</f>
        <v/>
      </c>
      <c r="FH43" s="386" t="str">
        <f t="shared" si="75"/>
        <v/>
      </c>
      <c r="FI43" s="386" t="str">
        <f t="shared" si="76"/>
        <v/>
      </c>
      <c r="FJ43" s="386" t="str">
        <f t="shared" si="77"/>
        <v/>
      </c>
      <c r="FK43" s="386" t="str">
        <f>ZahlenInBereich(Tabelle1[[Empfehlung18]:[Werkzeug20]],ROW()-5)</f>
        <v/>
      </c>
      <c r="FL43" s="386" t="str">
        <f t="shared" si="78"/>
        <v/>
      </c>
      <c r="FM43" s="386" t="str">
        <f t="shared" si="79"/>
        <v/>
      </c>
      <c r="FN43" s="386" t="str">
        <f t="shared" si="80"/>
        <v/>
      </c>
      <c r="FO43" s="386" t="str">
        <f>ZahlenInBereich(Tabelle1[[Empfehlung22]:[Werkzeug24]],ROW()-5)</f>
        <v/>
      </c>
      <c r="FP43" s="386" t="str">
        <f t="shared" si="81"/>
        <v/>
      </c>
      <c r="FQ43" s="386" t="str">
        <f t="shared" si="82"/>
        <v/>
      </c>
      <c r="FR43" s="386" t="str">
        <f t="shared" si="83"/>
        <v/>
      </c>
      <c r="FS43" s="386" t="str">
        <f>ZahlenInBereich(Tabelle1[[Empfehlung26]:[Werkzeug28]],ROW()-5)</f>
        <v/>
      </c>
      <c r="FT43" s="386" t="str">
        <f t="shared" si="84"/>
        <v/>
      </c>
      <c r="FU43" s="386" t="str">
        <f t="shared" si="85"/>
        <v/>
      </c>
      <c r="FV43" s="386" t="str">
        <f t="shared" si="86"/>
        <v/>
      </c>
      <c r="FW43" s="386" t="str">
        <f>ZahlenInBereich(Tabelle1[[Empfehlung30]:[Werkzeug32]],ROW()-5)</f>
        <v/>
      </c>
      <c r="FX43" s="386" t="str">
        <f t="shared" si="87"/>
        <v/>
      </c>
      <c r="FY43" s="386" t="str">
        <f t="shared" si="88"/>
        <v/>
      </c>
      <c r="FZ43" s="386" t="str">
        <f t="shared" si="89"/>
        <v/>
      </c>
      <c r="GA43" s="386" t="str">
        <f>ZahlenInBereich(Tabelle1[[Empfehlung34]:[Werkzeug36]],ROW()-5)</f>
        <v/>
      </c>
      <c r="GB43" s="386" t="str">
        <f t="shared" si="90"/>
        <v/>
      </c>
      <c r="GC43" s="386" t="str">
        <f t="shared" si="91"/>
        <v/>
      </c>
      <c r="GD43" s="386" t="str">
        <f t="shared" si="92"/>
        <v/>
      </c>
      <c r="GE43" s="386" t="str">
        <f>ZahlenInBereich(Tabelle1[[Empfehlung38]:[Werkzeug40]],ROW()-5)</f>
        <v/>
      </c>
      <c r="GF43" s="386" t="str">
        <f t="shared" si="93"/>
        <v/>
      </c>
      <c r="GG43" s="386" t="str">
        <f t="shared" si="94"/>
        <v/>
      </c>
      <c r="GH43" s="386" t="str">
        <f t="shared" si="95"/>
        <v/>
      </c>
      <c r="GI43" s="386" t="str">
        <f>ZahlenInBereich(Tabelle1[[Empfehlung42]:[Werkzeug44]],ROW()-5)</f>
        <v/>
      </c>
      <c r="GJ43" s="386" t="str">
        <f t="shared" si="96"/>
        <v/>
      </c>
      <c r="GK43" s="386" t="str">
        <f t="shared" si="97"/>
        <v/>
      </c>
      <c r="GL43" s="386" t="str">
        <f t="shared" si="98"/>
        <v/>
      </c>
      <c r="GM43" s="386" t="str">
        <f>ZahlenInBereich(Tabelle1[[Empfehlung46]:[Werkzeug48]],ROW()-5)</f>
        <v/>
      </c>
      <c r="GN43" s="386" t="str">
        <f t="shared" si="99"/>
        <v/>
      </c>
      <c r="GO43" s="386" t="str">
        <f t="shared" si="100"/>
        <v/>
      </c>
      <c r="GP43" s="386" t="str">
        <f t="shared" si="101"/>
        <v/>
      </c>
      <c r="GQ43" s="386" t="str">
        <f>ZahlenInBereich(Tabelle1[[Empfehlung50]:[Werkzeug52]],ROW()-5)</f>
        <v/>
      </c>
      <c r="GR43" s="386" t="str">
        <f t="shared" si="102"/>
        <v/>
      </c>
      <c r="GS43" s="386" t="str">
        <f t="shared" si="103"/>
        <v/>
      </c>
      <c r="GT43" s="386" t="str">
        <f t="shared" si="104"/>
        <v/>
      </c>
      <c r="GU43" s="386" t="str">
        <f>ZahlenInBereich(Tabelle1[[Empfehlung54]:[Werkzeug56]],ROW()-5)</f>
        <v/>
      </c>
      <c r="GV43" s="386" t="str">
        <f t="shared" si="105"/>
        <v/>
      </c>
      <c r="GW43" s="386" t="str">
        <f t="shared" si="106"/>
        <v/>
      </c>
      <c r="GX43" s="386" t="str">
        <f t="shared" si="107"/>
        <v/>
      </c>
      <c r="GY43" s="386" t="str">
        <f>ZahlenInBereich(Tabelle1[[Empfehlung58]:[Werkzeug60]],ROW()-5)</f>
        <v/>
      </c>
      <c r="GZ43" s="386" t="str">
        <f t="shared" si="108"/>
        <v/>
      </c>
      <c r="HA43" s="386" t="str">
        <f t="shared" si="109"/>
        <v/>
      </c>
      <c r="HB43" s="386" t="str">
        <f t="shared" si="110"/>
        <v/>
      </c>
      <c r="HC43" s="386" t="str">
        <f>ZahlenInBereich(Tabelle1[[Empfehlung62]:[Werkzeug64]],ROW()-5)</f>
        <v/>
      </c>
      <c r="HD43" s="386" t="str">
        <f t="shared" si="111"/>
        <v/>
      </c>
      <c r="HE43" s="386" t="str">
        <f t="shared" si="112"/>
        <v/>
      </c>
      <c r="HF43" s="386" t="str">
        <f t="shared" si="113"/>
        <v/>
      </c>
      <c r="HG43" s="386" t="str">
        <f>ZahlenInBereich(Tabelle1[[Empfehlung66]:[Werkzeug68]],ROW()-5)</f>
        <v/>
      </c>
      <c r="HH43" s="386" t="str">
        <f t="shared" si="114"/>
        <v/>
      </c>
      <c r="HI43" s="386" t="str">
        <f t="shared" si="115"/>
        <v/>
      </c>
      <c r="HJ43" s="386" t="str">
        <f t="shared" si="116"/>
        <v/>
      </c>
      <c r="HK43" s="386" t="str">
        <f>ZahlenInBereich(Tabelle1[[Empfehlung70]:[Werkzeug72]],ROW()-5)</f>
        <v/>
      </c>
      <c r="HL43" s="386" t="str">
        <f t="shared" si="117"/>
        <v/>
      </c>
      <c r="HM43" s="386" t="str">
        <f t="shared" si="118"/>
        <v/>
      </c>
      <c r="HN43" s="386" t="str">
        <f t="shared" si="119"/>
        <v/>
      </c>
      <c r="HO43" s="386" t="str">
        <f>ZahlenInBereich(Tabelle1[[Empfehlung74]:[Werkzeug76]],ROW()-5)</f>
        <v/>
      </c>
    </row>
    <row r="44" spans="2:223" ht="32" x14ac:dyDescent="0.2">
      <c r="B44" s="135">
        <f>'1.4 Analyse &amp; Synthese'!B45</f>
        <v>39</v>
      </c>
      <c r="C44" s="277" t="str">
        <f>IF(AND('1.4 Analyse &amp; Synthese'!Q45=1,'1.4 Analyse &amp; Synthese'!F45="Empfehlung"),'1.4 Analyse &amp; Synthese'!I45&amp;CHAR(13)&amp;"("&amp;'(Codierung)'!$C$2&amp;" - "&amp;'1.4 Analyse &amp; Synthese'!C45&amp;")","")</f>
        <v/>
      </c>
      <c r="D44" s="222" t="str">
        <f t="array" ref="D44">_xlfn.IFNA(INDEX($C$6:$C$66,MATCH(0,COUNTIF($D$4:D43,$C$6:$C$66),0),1),"")</f>
        <v/>
      </c>
      <c r="E44" s="277" t="str">
        <f>IF(AND('1.4 Analyse &amp; Synthese'!Q45=1,'1.4 Analyse &amp; Synthese'!F45="Methode"),'1.4 Analyse &amp; Synthese'!I45&amp;CHAR(13)&amp;"("&amp;'(Codierung)'!$C$3&amp;" - "&amp;'1.4 Analyse &amp; Synthese'!C45&amp;")","")</f>
        <v/>
      </c>
      <c r="F44" s="387" t="str">
        <f t="array" ref="F44">_xlfn.IFNA(INDEX($E$6:$E$66,MATCH(0,COUNTIF($F$4:F43,$E$6:$E$66),0),1),"")</f>
        <v/>
      </c>
      <c r="G44" s="277" t="str">
        <f>IF(AND('1.4 Analyse &amp; Synthese'!Q45=1,'1.4 Analyse &amp; Synthese'!F45="Werkzeug"),'1.4 Analyse &amp; Synthese'!I45&amp;CHAR(13)&amp;"("&amp;'(Codierung)'!$C$4&amp;" - "&amp;'1.4 Analyse &amp; Synthese'!C45&amp;")","")</f>
        <v/>
      </c>
      <c r="H44" s="387" t="str">
        <f t="array" ref="H44">_xlfn.IFNA(INDEX($G$6:$G$66,MATCH(0,COUNTIF($H$4:H43,$G$6:$G$66),0),1),"")</f>
        <v/>
      </c>
      <c r="J44" s="277" t="str">
        <f>IF(AND('1.4 Analyse &amp; Synthese'!R45=1,'1.4 Analyse &amp; Synthese'!F45="Empfehlung"),'1.4 Analyse &amp; Synthese'!I45&amp;CHAR(13)&amp;"("&amp;'(Codierung)'!$C$2&amp;" - "&amp;'1.4 Analyse &amp; Synthese'!C45&amp;")","")</f>
        <v/>
      </c>
      <c r="K44" s="387" t="str">
        <f t="array" ref="K44">_xlfn.IFNA(INDEX($J$6:$J$66,MATCH(0,COUNTIF($K$4:K43,$J$6:$J$66),0),1),"")</f>
        <v/>
      </c>
      <c r="L44" s="277" t="str">
        <f>IF(AND('1.4 Analyse &amp; Synthese'!R45=1,'1.4 Analyse &amp; Synthese'!F45="Methode"),'1.4 Analyse &amp; Synthese'!I45&amp;CHAR(13)&amp;"("&amp;'(Codierung)'!$C$3&amp;" - "&amp;'1.4 Analyse &amp; Synthese'!C45&amp;")","")</f>
        <v/>
      </c>
      <c r="M44" s="387" t="str">
        <f t="array" ref="M44">_xlfn.IFNA(INDEX($L$6:$L$66,MATCH(0,COUNTIF($M$4:M43,$L$6:$L$66),0),1),"")</f>
        <v/>
      </c>
      <c r="N44" s="277" t="str">
        <f>IF(AND('1.4 Analyse &amp; Synthese'!R45=1,'1.4 Analyse &amp; Synthese'!F45="Werkzeug"),'1.4 Analyse &amp; Synthese'!I45&amp;CHAR(13)&amp;"("&amp;'(Codierung)'!$C$4&amp;" - "&amp;'1.4 Analyse &amp; Synthese'!C45&amp;")","")</f>
        <v>Collaboration SaaS_x000D_(Werkzeug - Xia)</v>
      </c>
      <c r="O44" s="387" t="str">
        <f t="array" ref="O44">_xlfn.IFNA(INDEX($N$6:$N$66,MATCH(0,COUNTIF($O$4:O43,$N$6:$N$66),0),1),"")</f>
        <v/>
      </c>
      <c r="Q44" s="277" t="str">
        <f>IF(AND('1.4 Analyse &amp; Synthese'!S45=1,'1.4 Analyse &amp; Synthese'!F45="Empfehlung"),'1.4 Analyse &amp; Synthese'!I45&amp;CHAR(13)&amp;"("&amp;'(Codierung)'!$C$2&amp;" - "&amp;'1.4 Analyse &amp; Synthese'!C45&amp;")","")</f>
        <v/>
      </c>
      <c r="R44" s="387" t="str">
        <f t="array" ref="R44">_xlfn.IFNA(INDEX($Q$6:$Q$66,MATCH(0,COUNTIF($R$4:R43,$Q$6:$Q$66),0),1),"")</f>
        <v/>
      </c>
      <c r="S44" s="277" t="str">
        <f>IF(AND('1.4 Analyse &amp; Synthese'!S45=1,'1.4 Analyse &amp; Synthese'!F45="Methode"),'1.4 Analyse &amp; Synthese'!I45&amp;CHAR(13)&amp;"("&amp;'(Codierung)'!$C$3&amp;" - "&amp;'1.4 Analyse &amp; Synthese'!C45&amp;")","")</f>
        <v/>
      </c>
      <c r="T44" s="387" t="str">
        <f t="array" ref="T44">_xlfn.IFNA(INDEX($S$6:$S$66,MATCH(0,COUNTIF($T$4:T43,$S$6:$S$66),0),1),"")</f>
        <v/>
      </c>
      <c r="U44" s="277" t="str">
        <f>IF(AND('1.4 Analyse &amp; Synthese'!S45=1,'1.4 Analyse &amp; Synthese'!F45="Werkzeug"),'1.4 Analyse &amp; Synthese'!I45&amp;CHAR(13)&amp;"("&amp;'(Codierung)'!$C$4&amp;" - "&amp;'1.4 Analyse &amp; Synthese'!C45&amp;")","")</f>
        <v/>
      </c>
      <c r="V44" s="387" t="str">
        <f t="array" ref="V44">_xlfn.IFNA(INDEX($U$6:$U$66,MATCH(0,COUNTIF($V$4:V43,$U$6:$U$66),0),1),"")</f>
        <v/>
      </c>
      <c r="X44" s="277" t="str">
        <f>IF(AND('1.4 Analyse &amp; Synthese'!T45=1,'1.4 Analyse &amp; Synthese'!F45="Empfehlung"),'1.4 Analyse &amp; Synthese'!I45&amp;CHAR(13)&amp;"("&amp;'(Codierung)'!$C$2&amp;" - "&amp;'1.4 Analyse &amp; Synthese'!C45&amp;")","")</f>
        <v/>
      </c>
      <c r="Y44" s="387" t="str">
        <f t="array" ref="Y44">_xlfn.IFNA(INDEX($X$6:$X$66,MATCH(0,COUNTIF($Y$4:Y43,$X$6:$X$66),0),1),"")</f>
        <v/>
      </c>
      <c r="Z44" s="277" t="str">
        <f>IF(AND('1.4 Analyse &amp; Synthese'!T45=1,'1.4 Analyse &amp; Synthese'!F45="Methode"),'1.4 Analyse &amp; Synthese'!I45&amp;CHAR(13)&amp;"("&amp;'(Codierung)'!$C$3&amp;" - "&amp;'1.4 Analyse &amp; Synthese'!C45&amp;")","")</f>
        <v/>
      </c>
      <c r="AA44" s="387" t="str">
        <f t="array" ref="AA44">_xlfn.IFNA(INDEX($Z$6:$Z$66,MATCH(0,COUNTIF($AA$4:AA43,$Z$6:$Z$66),0),1),"")</f>
        <v/>
      </c>
      <c r="AB44" s="277" t="str">
        <f>IF(AND('1.4 Analyse &amp; Synthese'!T45=1,'1.4 Analyse &amp; Synthese'!F45="Werkzeug"),'1.4 Analyse &amp; Synthese'!I45&amp;CHAR(13)&amp;"("&amp;'(Codierung)'!$C$4&amp;" - "&amp;'1.4 Analyse &amp; Synthese'!C45&amp;")","")</f>
        <v/>
      </c>
      <c r="AC44" s="387" t="str">
        <f t="array" ref="AC44">_xlfn.IFNA(INDEX($AB$6:$AB$66,MATCH(0,COUNTIF($AC$4:AC43,$AB$6:$AB$66),0),1),"")</f>
        <v/>
      </c>
      <c r="AE44" s="277" t="str">
        <f>IF(AND('1.4 Analyse &amp; Synthese'!U45=1,'1.4 Analyse &amp; Synthese'!F45="Empfehlung"),'1.4 Analyse &amp; Synthese'!I45&amp;CHAR(13)&amp;"("&amp;'(Codierung)'!$C$2&amp;" - "&amp;'1.4 Analyse &amp; Synthese'!C45&amp;")","")</f>
        <v/>
      </c>
      <c r="AF44" s="387" t="str">
        <f t="array" ref="AF44">_xlfn.IFNA(INDEX($AE$6:$AE$66,MATCH(0,COUNTIF($AF$4:AF43,$AE$6:$AE$66),0),1),"")</f>
        <v/>
      </c>
      <c r="AG44" s="277" t="str">
        <f>IF(AND('1.4 Analyse &amp; Synthese'!U45=1,'1.4 Analyse &amp; Synthese'!F45="Methode"),'1.4 Analyse &amp; Synthese'!I45&amp;CHAR(13)&amp;"("&amp;'(Codierung)'!$C$3&amp;" - "&amp;'1.4 Analyse &amp; Synthese'!C45&amp;")","")</f>
        <v/>
      </c>
      <c r="AH44" s="387" t="str">
        <f t="array" ref="AH44">_xlfn.IFNA(INDEX($AG$6:$AG$66,MATCH(0,COUNTIF($AH$4:AH43,$AG$6:$AG$66),0),1),"")</f>
        <v/>
      </c>
      <c r="AI44" s="277" t="str">
        <f>IF(AND('1.4 Analyse &amp; Synthese'!U45=1,'1.4 Analyse &amp; Synthese'!F45="Werkzeug"),'1.4 Analyse &amp; Synthese'!I45&amp;CHAR(13)&amp;"("&amp;'(Codierung)'!$C$4&amp;" - "&amp;'1.4 Analyse &amp; Synthese'!C45&amp;")","")</f>
        <v/>
      </c>
      <c r="AJ44" s="387" t="str">
        <f t="array" ref="AJ44">_xlfn.IFNA(INDEX($AI$6:$AI$66,MATCH(0,COUNTIF($AJ$4:AJ43,$AI$6:$AI$66),0),1),"")</f>
        <v/>
      </c>
      <c r="AL44" s="277" t="str">
        <f>IF(AND('1.4 Analyse &amp; Synthese'!V45=1,'1.4 Analyse &amp; Synthese'!F45="Empfehlung"),'1.4 Analyse &amp; Synthese'!I45&amp;CHAR(13)&amp;"("&amp;'(Codierung)'!$C$2&amp;" - "&amp;'1.4 Analyse &amp; Synthese'!C45&amp;")","")</f>
        <v/>
      </c>
      <c r="AM44" s="387" t="str">
        <f t="array" ref="AM44">_xlfn.IFNA(INDEX($AL$6:$AL$66,MATCH(0,COUNTIF($AM$4:AM43,$AL$6:$AL$66),0),1),"")</f>
        <v/>
      </c>
      <c r="AN44" s="277" t="str">
        <f>IF(AND('1.4 Analyse &amp; Synthese'!V45=1,'1.4 Analyse &amp; Synthese'!F45="Methode"),'1.4 Analyse &amp; Synthese'!I45&amp;CHAR(13)&amp;"("&amp;'(Codierung)'!$C$3&amp;" - "&amp;'1.4 Analyse &amp; Synthese'!C45&amp;")","")</f>
        <v/>
      </c>
      <c r="AO44" s="387" t="str">
        <f t="array" ref="AO44">_xlfn.IFNA(INDEX($AN$6:$AN$66,MATCH(0,COUNTIF($AO$4:AO43,$AN$6:$AN$66),0),1),"")</f>
        <v/>
      </c>
      <c r="AP44" s="277" t="str">
        <f>IF(AND('1.4 Analyse &amp; Synthese'!V45=1,'1.4 Analyse &amp; Synthese'!F45="Werkzeug"),'1.4 Analyse &amp; Synthese'!I45&amp;CHAR(13)&amp;"("&amp;'(Codierung)'!$C$4&amp;" - "&amp;'1.4 Analyse &amp; Synthese'!C45&amp;")","")</f>
        <v/>
      </c>
      <c r="AQ44" s="387" t="str">
        <f t="array" ref="AQ44">_xlfn.IFNA(INDEX($AP$6:$AP$66,MATCH(0,COUNTIF($AQ$4:AQ43,$AP$6:$AP$66),0),1),"")</f>
        <v/>
      </c>
      <c r="AS44" s="277" t="str">
        <f>IF(AND('1.4 Analyse &amp; Synthese'!W45=1,'1.4 Analyse &amp; Synthese'!F45="Empfehlung"),'1.4 Analyse &amp; Synthese'!I45&amp;CHAR(13)&amp;"("&amp;'(Codierung)'!$C$2&amp;" - "&amp;'1.4 Analyse &amp; Synthese'!C45&amp;")","")</f>
        <v/>
      </c>
      <c r="AT44" s="387" t="str">
        <f t="array" ref="AT44">_xlfn.IFNA(INDEX($AS$6:$AS$66,MATCH(0,COUNTIF($AT$4:AT43,$AS$6:$AS$66),0),1),"")</f>
        <v/>
      </c>
      <c r="AU44" s="277" t="str">
        <f>IF(AND('1.4 Analyse &amp; Synthese'!W45=1,'1.4 Analyse &amp; Synthese'!F45="Methode"),'1.4 Analyse &amp; Synthese'!I45&amp;CHAR(13)&amp;"("&amp;'(Codierung)'!$C$3&amp;" - "&amp;'1.4 Analyse &amp; Synthese'!C45&amp;")","")</f>
        <v/>
      </c>
      <c r="AV44" s="387" t="str">
        <f t="array" ref="AV44">_xlfn.IFNA(INDEX($AU$6:$AU$66,MATCH(0,COUNTIF($AV$4:AV43,$AU$6:$AU$66),0),1),"")</f>
        <v/>
      </c>
      <c r="AW44" s="277" t="str">
        <f>IF(AND('1.4 Analyse &amp; Synthese'!W45=1,'1.4 Analyse &amp; Synthese'!F45="Werkzeug"),'1.4 Analyse &amp; Synthese'!I45&amp;CHAR(13)&amp;"("&amp;'(Codierung)'!$C$4&amp;" - "&amp;'1.4 Analyse &amp; Synthese'!C45&amp;")","")</f>
        <v/>
      </c>
      <c r="AX44" s="387" t="str">
        <f t="array" ref="AX44">_xlfn.IFNA(INDEX($AW$6:$AW$66,MATCH(0,COUNTIF($AX$4:AX43,$AW$6:$AW$66),0),1),"")</f>
        <v/>
      </c>
      <c r="AZ44" s="277" t="str">
        <f>IF(AND('1.4 Analyse &amp; Synthese'!X45=1,'1.4 Analyse &amp; Synthese'!F45="Empfehlung"),'1.4 Analyse &amp; Synthese'!I45&amp;CHAR(13)&amp;"("&amp;'(Codierung)'!$C$2&amp;" - "&amp;'1.4 Analyse &amp; Synthese'!C45&amp;")","")</f>
        <v/>
      </c>
      <c r="BA44" s="387" t="str">
        <f t="array" ref="BA44">_xlfn.IFNA(INDEX($AZ$6:$AZ$66,MATCH(0,COUNTIF($BA$4:BA43,$AZ$6:$AZ$66),0),1),"")</f>
        <v/>
      </c>
      <c r="BB44" s="277" t="str">
        <f>IF(AND('1.4 Analyse &amp; Synthese'!X45=1,'1.4 Analyse &amp; Synthese'!F45="Methode"),'1.4 Analyse &amp; Synthese'!I45&amp;CHAR(13)&amp;"("&amp;'(Codierung)'!$C$3&amp;" - "&amp;'1.4 Analyse &amp; Synthese'!C45&amp;")","")</f>
        <v/>
      </c>
      <c r="BC44" s="387" t="str">
        <f t="array" ref="BC44">_xlfn.IFNA(INDEX($BB$6:$BB$66,MATCH(0,COUNTIF($BC$4:BC43,$BB$6:$BB$66),0),1),"")</f>
        <v/>
      </c>
      <c r="BD44" s="277" t="str">
        <f>IF(AND('1.4 Analyse &amp; Synthese'!X45=1,'1.4 Analyse &amp; Synthese'!F45="Werkzeug"),'1.4 Analyse &amp; Synthese'!I45&amp;CHAR(13)&amp;"("&amp;'(Codierung)'!$C$4&amp;" - "&amp;'1.4 Analyse &amp; Synthese'!C45&amp;")","")</f>
        <v/>
      </c>
      <c r="BE44" s="387" t="str">
        <f t="array" ref="BE44">_xlfn.IFNA(INDEX($BD$6:$BD$66,MATCH(0,COUNTIF($BE$4:BE43,$BD$6:$BD$66),0),1),"")</f>
        <v/>
      </c>
      <c r="BG44" s="277" t="str">
        <f>IF(AND('1.4 Analyse &amp; Synthese'!Y45=1,'1.4 Analyse &amp; Synthese'!F45="Empfehlung"),'1.4 Analyse &amp; Synthese'!I45&amp;CHAR(13)&amp;"("&amp;'(Codierung)'!$C$2&amp;" - "&amp;'1.4 Analyse &amp; Synthese'!C45&amp;")","")</f>
        <v/>
      </c>
      <c r="BH44" s="387" t="str">
        <f t="array" ref="BH44">_xlfn.IFNA(INDEX($BG$6:$BG$66,MATCH(0,COUNTIF($BH$4:BH43,$BG$6:$BG$66),0),1),"")</f>
        <v/>
      </c>
      <c r="BI44" s="277" t="str">
        <f>IF(AND('1.4 Analyse &amp; Synthese'!Y45=1,'1.4 Analyse &amp; Synthese'!F45="Methode"),'1.4 Analyse &amp; Synthese'!I45&amp;CHAR(13)&amp;"("&amp;'(Codierung)'!$C$3&amp;" - "&amp;'1.4 Analyse &amp; Synthese'!C45&amp;")","")</f>
        <v/>
      </c>
      <c r="BJ44" s="387" t="str">
        <f t="array" ref="BJ44">_xlfn.IFNA(INDEX($BI$6:$BI$66,MATCH(0,COUNTIF($BJ$4:BJ43,$BI$6:$BI$66),0),1),"")</f>
        <v/>
      </c>
      <c r="BK44" s="277" t="str">
        <f>IF(AND('1.4 Analyse &amp; Synthese'!Y45=1,'1.4 Analyse &amp; Synthese'!F45="Werkzeug"),'1.4 Analyse &amp; Synthese'!I45&amp;CHAR(13)&amp;"("&amp;'(Codierung)'!$C$4&amp;" - "&amp;'1.4 Analyse &amp; Synthese'!C45&amp;")","")</f>
        <v/>
      </c>
      <c r="BL44" s="387" t="str">
        <f t="array" ref="BL44">_xlfn.IFNA(INDEX($BK$6:$BK$66,MATCH(0,COUNTIF($BL$4:BL43,$BK$6:$BK$66),0),1),"")</f>
        <v/>
      </c>
      <c r="BN44" s="277" t="str">
        <f>IF(AND('1.4 Analyse &amp; Synthese'!Z45=1,'1.4 Analyse &amp; Synthese'!F45="Empfehlung"),'1.4 Analyse &amp; Synthese'!I45&amp;CHAR(13)&amp;"("&amp;'(Codierung)'!$C$2&amp;" - "&amp;'1.4 Analyse &amp; Synthese'!C45&amp;")","")</f>
        <v/>
      </c>
      <c r="BO44" s="387" t="str">
        <f t="array" ref="BO44">_xlfn.IFNA(INDEX($BN$6:$BN$66,MATCH(0,COUNTIF($BO$4:BO43,$BN$6:$BN$66),0),1),"")</f>
        <v/>
      </c>
      <c r="BP44" s="277" t="str">
        <f>IF(AND('1.4 Analyse &amp; Synthese'!Z45=1,'1.4 Analyse &amp; Synthese'!F45="Methode"),'1.4 Analyse &amp; Synthese'!I45&amp;CHAR(13)&amp;"("&amp;'(Codierung)'!$C$3&amp;" - "&amp;'1.4 Analyse &amp; Synthese'!C45&amp;")","")</f>
        <v/>
      </c>
      <c r="BQ44" s="387" t="str">
        <f t="array" ref="BQ44">_xlfn.IFNA(INDEX($BP$6:$BP$66,MATCH(0,COUNTIF($BQ$4:BQ43,$BP$6:$BP$66),0),1),"")</f>
        <v/>
      </c>
      <c r="BR44" s="277" t="str">
        <f>IF(AND('1.4 Analyse &amp; Synthese'!Z45=1,'1.4 Analyse &amp; Synthese'!F45="Werkzeug"),'1.4 Analyse &amp; Synthese'!I45&amp;CHAR(13)&amp;"("&amp;'(Codierung)'!$C$4&amp;" - "&amp;'1.4 Analyse &amp; Synthese'!C45&amp;")","")</f>
        <v/>
      </c>
      <c r="BS44" s="387" t="str">
        <f t="array" ref="BS44">_xlfn.IFNA(INDEX($BR$6:$BR$66,MATCH(0,COUNTIF($BS$4:BS43,$BR$6:$BR$66),0),1),"")</f>
        <v/>
      </c>
      <c r="BU44" s="277" t="str">
        <f>IF(AND('1.4 Analyse &amp; Synthese'!AA45=1,'1.4 Analyse &amp; Synthese'!F45="Empfehlung"),'1.4 Analyse &amp; Synthese'!I45&amp;CHAR(13)&amp;"("&amp;'(Codierung)'!$C$2&amp;" - "&amp;'1.4 Analyse &amp; Synthese'!C45&amp;")","")</f>
        <v/>
      </c>
      <c r="BV44" s="387" t="str">
        <f t="array" ref="BV44">_xlfn.IFNA(INDEX($BU$6:$BU$66,MATCH(0,COUNTIF($BV$4:BV43,$BU$6:$BU$66),0),1),"")</f>
        <v/>
      </c>
      <c r="BW44" s="277" t="str">
        <f>IF(AND('1.4 Analyse &amp; Synthese'!AA45=1,'1.4 Analyse &amp; Synthese'!F45="Methode"),'1.4 Analyse &amp; Synthese'!I45&amp;CHAR(13)&amp;"("&amp;'(Codierung)'!$C$3&amp;" - "&amp;'1.4 Analyse &amp; Synthese'!C45&amp;")","")</f>
        <v/>
      </c>
      <c r="BX44" s="387" t="str">
        <f t="array" ref="BX44">_xlfn.IFNA(INDEX($BW$6:$BW$66,MATCH(0,COUNTIF($BX$4:BX43,$BW$6:$BW$66),0),1),"")</f>
        <v/>
      </c>
      <c r="BY44" s="277" t="str">
        <f>IF(AND('1.4 Analyse &amp; Synthese'!AA45=1,'1.4 Analyse &amp; Synthese'!F45="Werkzeug"),'1.4 Analyse &amp; Synthese'!I45&amp;CHAR(13)&amp;"("&amp;'(Codierung)'!$C$4&amp;" - "&amp;'1.4 Analyse &amp; Synthese'!C45&amp;")","")</f>
        <v/>
      </c>
      <c r="BZ44" s="387" t="str">
        <f t="array" ref="BZ44">_xlfn.IFNA(INDEX($BY$6:$BY$66,MATCH(0,COUNTIF($BZ$4:BZ43,$BY$6:$BY$66),0),1),"")</f>
        <v/>
      </c>
      <c r="CB44" s="277" t="str">
        <f>IF(AND('1.4 Analyse &amp; Synthese'!AB45=1,'1.4 Analyse &amp; Synthese'!F45="Empfehlung"),'1.4 Analyse &amp; Synthese'!I45&amp;CHAR(13)&amp;"("&amp;'(Codierung)'!$C$2&amp;" - "&amp;'1.4 Analyse &amp; Synthese'!C45&amp;")","")</f>
        <v/>
      </c>
      <c r="CC44" s="387" t="str">
        <f t="array" ref="CC44">_xlfn.IFNA(INDEX($CB$6:$CB$66,MATCH(0,COUNTIF($CC$4:CC43,$CB$6:$CB$66),0),1),"")</f>
        <v/>
      </c>
      <c r="CD44" s="277" t="str">
        <f>IF(AND('1.4 Analyse &amp; Synthese'!AB45=1,'1.4 Analyse &amp; Synthese'!F45="Methode"),'1.4 Analyse &amp; Synthese'!I45&amp;CHAR(13)&amp;"("&amp;'(Codierung)'!$C$3&amp;" - "&amp;'1.4 Analyse &amp; Synthese'!C45&amp;")","")</f>
        <v/>
      </c>
      <c r="CE44" s="387" t="str">
        <f t="array" ref="CE44">_xlfn.IFNA(INDEX($CD$6:$CD$66,MATCH(0,COUNTIF($CE$4:CE43,$CD$6:$CD$66),0),1),"")</f>
        <v/>
      </c>
      <c r="CF44" s="277" t="str">
        <f>IF(AND('1.4 Analyse &amp; Synthese'!AB45=1,'1.4 Analyse &amp; Synthese'!F45="Werkzeug"),'1.4 Analyse &amp; Synthese'!I45&amp;CHAR(13)&amp;"("&amp;'(Codierung)'!$C$4&amp;" - "&amp;'1.4 Analyse &amp; Synthese'!C45&amp;")","")</f>
        <v/>
      </c>
      <c r="CG44" s="387" t="str">
        <f t="array" ref="CG44">_xlfn.IFNA(INDEX($CF$6:$CF$66,MATCH(0,COUNTIF($CG$4:CG43,$CF$6:$CF$66),0),1),"")</f>
        <v/>
      </c>
      <c r="CI44" s="277" t="str">
        <f>IF(AND('1.4 Analyse &amp; Synthese'!AC45=1,'1.4 Analyse &amp; Synthese'!F45="Empfehlung"),'1.4 Analyse &amp; Synthese'!I45&amp;CHAR(13)&amp;"("&amp;'(Codierung)'!$C$2&amp;" - "&amp;'1.4 Analyse &amp; Synthese'!C45&amp;")","")</f>
        <v/>
      </c>
      <c r="CJ44" s="387" t="str">
        <f t="array" ref="CJ44">_xlfn.IFNA(INDEX($CI$6:$CI$66,MATCH(0,COUNTIF($CJ$4:CJ43,$CI$6:$CI$66),0),1),"")</f>
        <v/>
      </c>
      <c r="CK44" s="277" t="str">
        <f>IF(AND('1.4 Analyse &amp; Synthese'!AC45=1,'1.4 Analyse &amp; Synthese'!F45="Methode"),'1.4 Analyse &amp; Synthese'!I45&amp;CHAR(13)&amp;"("&amp;'(Codierung)'!$C$3&amp;" - "&amp;'1.4 Analyse &amp; Synthese'!C45&amp;")","")</f>
        <v/>
      </c>
      <c r="CL44" s="387" t="str">
        <f t="array" ref="CL44">_xlfn.IFNA(INDEX($CK$6:$CK$66,MATCH(0,COUNTIF($CL$4:CL43,$CK$6:$CK$66),0),1),"")</f>
        <v/>
      </c>
      <c r="CM44" s="277" t="str">
        <f>IF(AND('1.4 Analyse &amp; Synthese'!AC45=1,'1.4 Analyse &amp; Synthese'!F45="Werkzeug"),'1.4 Analyse &amp; Synthese'!I45&amp;CHAR(13)&amp;"("&amp;'(Codierung)'!$C$4&amp;" - "&amp;'1.4 Analyse &amp; Synthese'!C45&amp;")","")</f>
        <v/>
      </c>
      <c r="CN44" s="387" t="str">
        <f t="array" ref="CN44">_xlfn.IFNA(INDEX($CM$6:$CM$66,MATCH(0,COUNTIF($CN$4:CN43,$CM$6:$CM$66),0),1),"")</f>
        <v/>
      </c>
      <c r="CP44" s="277" t="str">
        <f>IF(AND('1.4 Analyse &amp; Synthese'!AD45=1,'1.4 Analyse &amp; Synthese'!F45="Empfehlung"),'1.4 Analyse &amp; Synthese'!I45&amp;CHAR(13)&amp;"("&amp;'(Codierung)'!$C$2&amp;" - "&amp;'1.4 Analyse &amp; Synthese'!C45&amp;")","")</f>
        <v/>
      </c>
      <c r="CQ44" s="387" t="str">
        <f t="array" ref="CQ44">_xlfn.IFNA(INDEX($CP$6:$CP$66,MATCH(0,COUNTIF($CQ$4:CQ43,$CP$6:$CP$66),0),1),"")</f>
        <v/>
      </c>
      <c r="CR44" s="277" t="str">
        <f>IF(AND('1.4 Analyse &amp; Synthese'!AD45=1,'1.4 Analyse &amp; Synthese'!F45="Methode"),'1.4 Analyse &amp; Synthese'!I45&amp;CHAR(13)&amp;"("&amp;'(Codierung)'!$C$3&amp;" - "&amp;'1.4 Analyse &amp; Synthese'!C45&amp;")","")</f>
        <v/>
      </c>
      <c r="CS44" s="387" t="str">
        <f t="array" ref="CS44">_xlfn.IFNA(INDEX($CR$6:$CR$66,MATCH(0,COUNTIF($CS$4:CS43,$CR$6:$CR$66),0),1),"")</f>
        <v/>
      </c>
      <c r="CT44" s="277" t="str">
        <f>IF(AND('1.4 Analyse &amp; Synthese'!AD45=1,'1.4 Analyse &amp; Synthese'!F45="Werkzeug"),'1.4 Analyse &amp; Synthese'!I45&amp;CHAR(13)&amp;"("&amp;'(Codierung)'!$C$4&amp;" - "&amp;'1.4 Analyse &amp; Synthese'!C45&amp;")","")</f>
        <v>Collaboration SaaS_x000D_(Werkzeug - Xia)</v>
      </c>
      <c r="CU44" s="387" t="str">
        <f t="array" ref="CU44">_xlfn.IFNA(INDEX($CT$6:$CT$66,MATCH(0,COUNTIF($CU$4:CU43,$CT$6:$CT$66),0),1),"")</f>
        <v/>
      </c>
      <c r="CW44" s="277" t="str">
        <f>IF(AND('1.4 Analyse &amp; Synthese'!AE45=1,'1.4 Analyse &amp; Synthese'!F45="Empfehlung"),'1.4 Analyse &amp; Synthese'!I45&amp;CHAR(13)&amp;"("&amp;'(Codierung)'!$C$2&amp;" - "&amp;'1.4 Analyse &amp; Synthese'!C45&amp;")","")</f>
        <v/>
      </c>
      <c r="CX44" s="387" t="str">
        <f t="array" ref="CX44">_xlfn.IFNA(INDEX($CW$6:$CW$66,MATCH(0,COUNTIF($CX$4:CX43,$CW$6:$CW$66),0),1),"")</f>
        <v/>
      </c>
      <c r="CY44" s="277" t="str">
        <f>IF(AND('1.4 Analyse &amp; Synthese'!AE45=1,'1.4 Analyse &amp; Synthese'!F45="Methode"),'1.4 Analyse &amp; Synthese'!I45&amp;CHAR(13)&amp;"("&amp;'(Codierung)'!$C$3&amp;" - "&amp;'1.4 Analyse &amp; Synthese'!C45&amp;")","")</f>
        <v/>
      </c>
      <c r="CZ44" s="387" t="str">
        <f t="array" ref="CZ44">_xlfn.IFNA(INDEX($CY$6:$CY$66,MATCH(0,COUNTIF($CZ$4:CZ43,$CY$6:$CY$66),0),1),"")</f>
        <v/>
      </c>
      <c r="DA44" s="277" t="str">
        <f>IF(AND('1.4 Analyse &amp; Synthese'!AE45=1,'1.4 Analyse &amp; Synthese'!F45="Werkzeug"),'1.4 Analyse &amp; Synthese'!I45&amp;CHAR(13)&amp;"("&amp;'(Codierung)'!$C$4&amp;" - "&amp;'1.4 Analyse &amp; Synthese'!C45&amp;")","")</f>
        <v/>
      </c>
      <c r="DB44" s="387" t="str">
        <f t="array" ref="DB44">_xlfn.IFNA(INDEX($DA$6:$DA$66,MATCH(0,COUNTIF($DB$4:DB43,$DA$6:$DA$66),0),1),"")</f>
        <v/>
      </c>
      <c r="DD44" s="277" t="str">
        <f>IF(AND('1.4 Analyse &amp; Synthese'!AF45=1,'1.4 Analyse &amp; Synthese'!F45="Empfehlung"),'1.4 Analyse &amp; Synthese'!I45&amp;CHAR(13)&amp;"("&amp;'(Codierung)'!$C$2&amp;" - "&amp;'1.4 Analyse &amp; Synthese'!C45&amp;")","")</f>
        <v/>
      </c>
      <c r="DE44" s="387" t="str">
        <f t="array" ref="DE44">_xlfn.IFNA(INDEX($DD$6:$DD$66,MATCH(0,COUNTIF($DE$4:DE43,$DD$6:$DD$66),0),1),"")</f>
        <v/>
      </c>
      <c r="DF44" s="277" t="str">
        <f>IF(AND('1.4 Analyse &amp; Synthese'!AF45=1,'1.4 Analyse &amp; Synthese'!F45="Methode"),'1.4 Analyse &amp; Synthese'!I45&amp;CHAR(13)&amp;"("&amp;'(Codierung)'!$C$3&amp;" - "&amp;'1.4 Analyse &amp; Synthese'!C45&amp;")","")</f>
        <v/>
      </c>
      <c r="DG44" s="387" t="str">
        <f t="array" ref="DG44">_xlfn.IFNA(INDEX($DF$6:$DF$66,MATCH(0,COUNTIF($DG$4:DG43,$DF$6:$DF$66),0),1),"")</f>
        <v/>
      </c>
      <c r="DH44" s="277" t="str">
        <f>IF(AND('1.4 Analyse &amp; Synthese'!AF45=1,'1.4 Analyse &amp; Synthese'!F45="Werkzeug"),'1.4 Analyse &amp; Synthese'!I45&amp;CHAR(13)&amp;"("&amp;'(Codierung)'!$C$4&amp;" - "&amp;'1.4 Analyse &amp; Synthese'!C45&amp;")","")</f>
        <v>Collaboration SaaS_x000D_(Werkzeug - Xia)</v>
      </c>
      <c r="DI44" s="387" t="str">
        <f t="array" ref="DI44">_xlfn.IFNA(INDEX($DH$6:$DH$66,MATCH(0,COUNTIF($DI$4:DI43,$DH$6:$DH$66),0),1),"")</f>
        <v/>
      </c>
      <c r="DK44" s="277" t="str">
        <f>IF(AND('1.4 Analyse &amp; Synthese'!AG45=1,'1.4 Analyse &amp; Synthese'!F45="Empfehlung"),'1.4 Analyse &amp; Synthese'!I45&amp;CHAR(13)&amp;"("&amp;'(Codierung)'!$C$2&amp;" - "&amp;'1.4 Analyse &amp; Synthese'!C45&amp;")","")</f>
        <v/>
      </c>
      <c r="DL44" s="387" t="str">
        <f t="array" ref="DL44">_xlfn.IFNA(INDEX($DK$6:$DK$66,MATCH(0,COUNTIF($DL$4:DL43,$DK$6:$DK$66),0),1),"")</f>
        <v/>
      </c>
      <c r="DM44" s="277" t="str">
        <f>IF(AND('1.4 Analyse &amp; Synthese'!AG45=1,'1.4 Analyse &amp; Synthese'!F45="Methode"),'1.4 Analyse &amp; Synthese'!I45&amp;CHAR(13)&amp;"("&amp;'(Codierung)'!$C$3&amp;" - "&amp;'1.4 Analyse &amp; Synthese'!C45&amp;")","")</f>
        <v/>
      </c>
      <c r="DN44" s="387" t="str">
        <f t="array" ref="DN44">_xlfn.IFNA(INDEX($DM$6:$DM$66,MATCH(0,COUNTIF($DN$4:DN43,$DM$6:$DM$66),0),1),"")</f>
        <v/>
      </c>
      <c r="DO44" s="277" t="str">
        <f>IF(AND('1.4 Analyse &amp; Synthese'!AG45=1,'1.4 Analyse &amp; Synthese'!F45="Werkzeug"),'1.4 Analyse &amp; Synthese'!I45&amp;CHAR(13)&amp;"("&amp;'(Codierung)'!$C$4&amp;" - "&amp;'1.4 Analyse &amp; Synthese'!C45&amp;")","")</f>
        <v/>
      </c>
      <c r="DP44" s="387" t="str">
        <f t="array" ref="DP44">_xlfn.IFNA(INDEX($DO$6:$DO$66,MATCH(0,COUNTIF($DP$4:DP43,$DO$6:$DO$66),0),1),"")</f>
        <v/>
      </c>
      <c r="DR44" s="277" t="str">
        <f>IF(AND('1.4 Analyse &amp; Synthese'!AH45=1,'1.4 Analyse &amp; Synthese'!F45="Empfehlung"),'1.4 Analyse &amp; Synthese'!I45&amp;CHAR(13)&amp;"("&amp;'(Codierung)'!$C$2&amp;" - "&amp;'1.4 Analyse &amp; Synthese'!C45&amp;")","")</f>
        <v/>
      </c>
      <c r="DS44" s="387" t="str">
        <f t="array" ref="DS44">_xlfn.IFNA(INDEX($DR$6:$DR$66,MATCH(0,COUNTIF($DS$4:DS43,$DR$6:$DR$66),0),1),"")</f>
        <v/>
      </c>
      <c r="DT44" s="277" t="str">
        <f>IF(AND('1.4 Analyse &amp; Synthese'!AH45=1,'1.4 Analyse &amp; Synthese'!F45="Methode"),'1.4 Analyse &amp; Synthese'!I45&amp;CHAR(13)&amp;"("&amp;'(Codierung)'!$C$3&amp;" - "&amp;'1.4 Analyse &amp; Synthese'!C45&amp;")","")</f>
        <v/>
      </c>
      <c r="DU44" s="387" t="str">
        <f t="array" ref="DU44">_xlfn.IFNA(INDEX($DT$6:$DT$66,MATCH(0,COUNTIF($DU$4:DU43,$DT$6:$DT$66),0),1),"")</f>
        <v/>
      </c>
      <c r="DV44" s="277" t="str">
        <f>IF(AND('1.4 Analyse &amp; Synthese'!AH45=1,'1.4 Analyse &amp; Synthese'!F45="Werkzeug"),'1.4 Analyse &amp; Synthese'!I45&amp;CHAR(13)&amp;"("&amp;'(Codierung)'!$C$4&amp;" - "&amp;'1.4 Analyse &amp; Synthese'!C45&amp;")","")</f>
        <v/>
      </c>
      <c r="DW44" s="387" t="str">
        <f t="array" ref="DW44">_xlfn.IFNA(INDEX($DV$6:$DV$66,MATCH(0,COUNTIF($DW$4:DW43,$DV$6:$DV$66),0),1),"")</f>
        <v/>
      </c>
      <c r="DY44" s="277" t="str">
        <f>IF(AND('1.4 Analyse &amp; Synthese'!AI45=1,'1.4 Analyse &amp; Synthese'!F45="Empfehlung"),'1.4 Analyse &amp; Synthese'!I45&amp;CHAR(13)&amp;"("&amp;'(Codierung)'!$C$2&amp;" - "&amp;'1.4 Analyse &amp; Synthese'!C45&amp;")","")</f>
        <v/>
      </c>
      <c r="DZ44" s="387" t="str">
        <f t="array" ref="DZ44">_xlfn.IFNA(INDEX($DY$6:$DY$66,MATCH(0,COUNTIF($DZ$4:DZ43,$DY$6:$DY$66),0),1),"")</f>
        <v/>
      </c>
      <c r="EA44" s="277" t="str">
        <f>IF(AND('1.4 Analyse &amp; Synthese'!AI45=1,'1.4 Analyse &amp; Synthese'!F45="Methode"),'1.4 Analyse &amp; Synthese'!I45&amp;CHAR(13)&amp;"("&amp;'(Codierung)'!$C$3&amp;" - "&amp;'1.4 Analyse &amp; Synthese'!C45&amp;")","")</f>
        <v/>
      </c>
      <c r="EB44" s="387" t="str">
        <f t="array" ref="EB44">_xlfn.IFNA(INDEX($EA$6:$EA$66,MATCH(0,COUNTIF($EB$4:EB43,$EA$6:$EA$66),0),1),"")</f>
        <v/>
      </c>
      <c r="EC44" s="277" t="str">
        <f>IF(AND('1.4 Analyse &amp; Synthese'!AI45=1,'1.4 Analyse &amp; Synthese'!F45="Werkzeug"),'1.4 Analyse &amp; Synthese'!I45&amp;CHAR(13)&amp;"("&amp;'(Codierung)'!$C$4&amp;" - "&amp;'1.4 Analyse &amp; Synthese'!C45&amp;")","")</f>
        <v/>
      </c>
      <c r="ED44" s="277" t="str">
        <f t="array" ref="ED44">_xlfn.IFNA(INDEX($EC$6:$EC$66,MATCH(0,COUNTIF($ED$4:ED43,$EC$6:$EC$66),0),1),"")</f>
        <v/>
      </c>
      <c r="EF44" s="277" t="str">
        <f>IF(AND('1.4 Analyse &amp; Synthese'!AJ45=1,'1.4 Analyse &amp; Synthese'!F45="Empfehlung"),'1.4 Analyse &amp; Synthese'!I45&amp;CHAR(13)&amp;"("&amp;'(Codierung)'!$C$2&amp;" - "&amp;'1.4 Analyse &amp; Synthese'!C45&amp;")","")</f>
        <v/>
      </c>
      <c r="EG44" s="277" t="str">
        <f t="array" ref="EG44">_xlfn.IFNA(INDEX($EF$6:$EF$66,MATCH(0,COUNTIF($EG$4:EG43,$EF$6:$EF$66),0),1),"")</f>
        <v/>
      </c>
      <c r="EH44" s="277" t="str">
        <f>IF(AND('1.4 Analyse &amp; Synthese'!AJ45=1,'1.4 Analyse &amp; Synthese'!F45="Methode"),'1.4 Analyse &amp; Synthese'!I45&amp;CHAR(13)&amp;"("&amp;'(Codierung)'!$C$3&amp;" - "&amp;'1.4 Analyse &amp; Synthese'!C45&amp;")","")</f>
        <v/>
      </c>
      <c r="EI44" s="387" t="str">
        <f t="array" ref="EI44">_xlfn.IFNA(INDEX($EH$6:$EH$66,MATCH(0,COUNTIF($EI$4:EI43,$EH$6:$EH$66),0),1),"")</f>
        <v/>
      </c>
      <c r="EJ44" s="277" t="str">
        <f>IF(AND('1.4 Analyse &amp; Synthese'!AJ45=1,'1.4 Analyse &amp; Synthese'!F45="Werkzeug"),'1.4 Analyse &amp; Synthese'!I45&amp;CHAR(13)&amp;"("&amp;'(Codierung)'!$C$4&amp;" - "&amp;'1.4 Analyse &amp; Synthese'!C45&amp;")","")</f>
        <v>Collaboration SaaS_x000D_(Werkzeug - Xia)</v>
      </c>
      <c r="EK44" s="387" t="str">
        <f t="array" ref="EK44">_xlfn.IFNA(INDEX($EJ$6:$EJ$66,MATCH(0,COUNTIF($EK$4:EK43,$EJ$6:$EJ$66),0),1),"")</f>
        <v/>
      </c>
      <c r="EN44" s="222" t="str">
        <f t="shared" si="60"/>
        <v/>
      </c>
      <c r="EO44" s="277" t="str">
        <f t="shared" si="61"/>
        <v/>
      </c>
      <c r="EP44" s="277" t="str">
        <f t="shared" si="62"/>
        <v/>
      </c>
      <c r="EQ44" s="277" t="str">
        <f>ZahlenInBereich(Tabelle1[[Empfehlung]:[Werkzeug]],ROW()-5)</f>
        <v/>
      </c>
      <c r="ER44" s="277" t="str">
        <f t="shared" si="63"/>
        <v/>
      </c>
      <c r="ES44" s="277" t="str">
        <f t="shared" si="64"/>
        <v/>
      </c>
      <c r="ET44" s="277" t="str">
        <f t="shared" si="65"/>
        <v/>
      </c>
      <c r="EU44" s="277" t="str">
        <f>ZahlenInBereich(Tabelle1[[Empfehlung2]:[Werkzeug4]],ROW()-5)</f>
        <v/>
      </c>
      <c r="EV44" s="277" t="str">
        <f t="shared" si="66"/>
        <v/>
      </c>
      <c r="EW44" s="277" t="str">
        <f t="shared" si="67"/>
        <v/>
      </c>
      <c r="EX44" s="277" t="str">
        <f t="shared" si="68"/>
        <v/>
      </c>
      <c r="EY44" s="277" t="str">
        <f>ZahlenInBereich(Tabelle1[[Empfehlung6]:[Werkzeug8]],ROW()-5)</f>
        <v/>
      </c>
      <c r="EZ44" s="277" t="str">
        <f t="shared" si="69"/>
        <v/>
      </c>
      <c r="FA44" s="277" t="str">
        <f t="shared" si="70"/>
        <v/>
      </c>
      <c r="FB44" s="277" t="str">
        <f t="shared" si="71"/>
        <v/>
      </c>
      <c r="FC44" s="277" t="str">
        <f>ZahlenInBereich(Tabelle1[[Empfehlung10]:[Werkzeug12]],ROW()-5)</f>
        <v/>
      </c>
      <c r="FD44" s="277" t="str">
        <f t="shared" si="72"/>
        <v/>
      </c>
      <c r="FE44" s="277" t="str">
        <f t="shared" si="73"/>
        <v/>
      </c>
      <c r="FF44" s="277" t="str">
        <f t="shared" si="74"/>
        <v/>
      </c>
      <c r="FG44" s="277" t="str">
        <f>ZahlenInBereich(Tabelle1[[Empfehlung14]:[Werkzeug16]],ROW()-5)</f>
        <v/>
      </c>
      <c r="FH44" s="277" t="str">
        <f t="shared" si="75"/>
        <v/>
      </c>
      <c r="FI44" s="277" t="str">
        <f t="shared" si="76"/>
        <v/>
      </c>
      <c r="FJ44" s="277" t="str">
        <f t="shared" si="77"/>
        <v/>
      </c>
      <c r="FK44" s="277" t="str">
        <f>ZahlenInBereich(Tabelle1[[Empfehlung18]:[Werkzeug20]],ROW()-5)</f>
        <v/>
      </c>
      <c r="FL44" s="277" t="str">
        <f t="shared" si="78"/>
        <v/>
      </c>
      <c r="FM44" s="277" t="str">
        <f t="shared" si="79"/>
        <v/>
      </c>
      <c r="FN44" s="277" t="str">
        <f t="shared" si="80"/>
        <v/>
      </c>
      <c r="FO44" s="277" t="str">
        <f>ZahlenInBereich(Tabelle1[[Empfehlung22]:[Werkzeug24]],ROW()-5)</f>
        <v/>
      </c>
      <c r="FP44" s="277" t="str">
        <f t="shared" si="81"/>
        <v/>
      </c>
      <c r="FQ44" s="277" t="str">
        <f t="shared" si="82"/>
        <v/>
      </c>
      <c r="FR44" s="277" t="str">
        <f t="shared" si="83"/>
        <v/>
      </c>
      <c r="FS44" s="277" t="str">
        <f>ZahlenInBereich(Tabelle1[[Empfehlung26]:[Werkzeug28]],ROW()-5)</f>
        <v/>
      </c>
      <c r="FT44" s="277" t="str">
        <f t="shared" si="84"/>
        <v/>
      </c>
      <c r="FU44" s="277" t="str">
        <f t="shared" si="85"/>
        <v/>
      </c>
      <c r="FV44" s="277" t="str">
        <f t="shared" si="86"/>
        <v/>
      </c>
      <c r="FW44" s="277" t="str">
        <f>ZahlenInBereich(Tabelle1[[Empfehlung30]:[Werkzeug32]],ROW()-5)</f>
        <v/>
      </c>
      <c r="FX44" s="277" t="str">
        <f t="shared" si="87"/>
        <v/>
      </c>
      <c r="FY44" s="277" t="str">
        <f t="shared" si="88"/>
        <v/>
      </c>
      <c r="FZ44" s="277" t="str">
        <f t="shared" si="89"/>
        <v/>
      </c>
      <c r="GA44" s="277" t="str">
        <f>ZahlenInBereich(Tabelle1[[Empfehlung34]:[Werkzeug36]],ROW()-5)</f>
        <v/>
      </c>
      <c r="GB44" s="277" t="str">
        <f t="shared" si="90"/>
        <v/>
      </c>
      <c r="GC44" s="277" t="str">
        <f t="shared" si="91"/>
        <v/>
      </c>
      <c r="GD44" s="277" t="str">
        <f t="shared" si="92"/>
        <v/>
      </c>
      <c r="GE44" s="277" t="str">
        <f>ZahlenInBereich(Tabelle1[[Empfehlung38]:[Werkzeug40]],ROW()-5)</f>
        <v/>
      </c>
      <c r="GF44" s="277" t="str">
        <f t="shared" si="93"/>
        <v/>
      </c>
      <c r="GG44" s="277" t="str">
        <f t="shared" si="94"/>
        <v/>
      </c>
      <c r="GH44" s="277" t="str">
        <f t="shared" si="95"/>
        <v/>
      </c>
      <c r="GI44" s="277" t="str">
        <f>ZahlenInBereich(Tabelle1[[Empfehlung42]:[Werkzeug44]],ROW()-5)</f>
        <v/>
      </c>
      <c r="GJ44" s="277" t="str">
        <f t="shared" si="96"/>
        <v/>
      </c>
      <c r="GK44" s="277" t="str">
        <f t="shared" si="97"/>
        <v/>
      </c>
      <c r="GL44" s="277" t="str">
        <f t="shared" si="98"/>
        <v/>
      </c>
      <c r="GM44" s="277" t="str">
        <f>ZahlenInBereich(Tabelle1[[Empfehlung46]:[Werkzeug48]],ROW()-5)</f>
        <v/>
      </c>
      <c r="GN44" s="277" t="str">
        <f t="shared" si="99"/>
        <v/>
      </c>
      <c r="GO44" s="277" t="str">
        <f t="shared" si="100"/>
        <v/>
      </c>
      <c r="GP44" s="277" t="str">
        <f t="shared" si="101"/>
        <v/>
      </c>
      <c r="GQ44" s="277" t="str">
        <f>ZahlenInBereich(Tabelle1[[Empfehlung50]:[Werkzeug52]],ROW()-5)</f>
        <v/>
      </c>
      <c r="GR44" s="277" t="str">
        <f t="shared" si="102"/>
        <v/>
      </c>
      <c r="GS44" s="277" t="str">
        <f t="shared" si="103"/>
        <v/>
      </c>
      <c r="GT44" s="277" t="str">
        <f t="shared" si="104"/>
        <v/>
      </c>
      <c r="GU44" s="277" t="str">
        <f>ZahlenInBereich(Tabelle1[[Empfehlung54]:[Werkzeug56]],ROW()-5)</f>
        <v/>
      </c>
      <c r="GV44" s="277" t="str">
        <f t="shared" si="105"/>
        <v/>
      </c>
      <c r="GW44" s="277" t="str">
        <f t="shared" si="106"/>
        <v/>
      </c>
      <c r="GX44" s="277" t="str">
        <f t="shared" si="107"/>
        <v/>
      </c>
      <c r="GY44" s="277" t="str">
        <f>ZahlenInBereich(Tabelle1[[Empfehlung58]:[Werkzeug60]],ROW()-5)</f>
        <v/>
      </c>
      <c r="GZ44" s="277" t="str">
        <f t="shared" si="108"/>
        <v/>
      </c>
      <c r="HA44" s="277" t="str">
        <f t="shared" si="109"/>
        <v/>
      </c>
      <c r="HB44" s="277" t="str">
        <f t="shared" si="110"/>
        <v/>
      </c>
      <c r="HC44" s="277" t="str">
        <f>ZahlenInBereich(Tabelle1[[Empfehlung62]:[Werkzeug64]],ROW()-5)</f>
        <v/>
      </c>
      <c r="HD44" s="277" t="str">
        <f t="shared" si="111"/>
        <v/>
      </c>
      <c r="HE44" s="277" t="str">
        <f t="shared" si="112"/>
        <v/>
      </c>
      <c r="HF44" s="277" t="str">
        <f t="shared" si="113"/>
        <v/>
      </c>
      <c r="HG44" s="277" t="str">
        <f>ZahlenInBereich(Tabelle1[[Empfehlung66]:[Werkzeug68]],ROW()-5)</f>
        <v/>
      </c>
      <c r="HH44" s="277" t="str">
        <f t="shared" si="114"/>
        <v/>
      </c>
      <c r="HI44" s="277" t="str">
        <f t="shared" si="115"/>
        <v/>
      </c>
      <c r="HJ44" s="277" t="str">
        <f t="shared" si="116"/>
        <v/>
      </c>
      <c r="HK44" s="277" t="str">
        <f>ZahlenInBereich(Tabelle1[[Empfehlung70]:[Werkzeug72]],ROW()-5)</f>
        <v/>
      </c>
      <c r="HL44" s="277" t="str">
        <f t="shared" si="117"/>
        <v/>
      </c>
      <c r="HM44" s="277" t="str">
        <f t="shared" si="118"/>
        <v/>
      </c>
      <c r="HN44" s="277" t="str">
        <f t="shared" si="119"/>
        <v/>
      </c>
      <c r="HO44" s="277" t="str">
        <f>ZahlenInBereich(Tabelle1[[Empfehlung74]:[Werkzeug76]],ROW()-5)</f>
        <v/>
      </c>
    </row>
    <row r="45" spans="2:223" ht="48" x14ac:dyDescent="0.2">
      <c r="B45" s="135">
        <f>'1.4 Analyse &amp; Synthese'!B46</f>
        <v>40</v>
      </c>
      <c r="C45" s="277" t="str">
        <f>IF(AND('1.4 Analyse &amp; Synthese'!Q46=1,'1.4 Analyse &amp; Synthese'!F46="Empfehlung"),'1.4 Analyse &amp; Synthese'!I46&amp;CHAR(13)&amp;"("&amp;'(Codierung)'!$C$2&amp;" - "&amp;'1.4 Analyse &amp; Synthese'!C46&amp;")","")</f>
        <v/>
      </c>
      <c r="D45" s="222" t="str">
        <f t="array" ref="D45">_xlfn.IFNA(INDEX($C$6:$C$66,MATCH(0,COUNTIF($D$4:D44,$C$6:$C$66),0),1),"")</f>
        <v/>
      </c>
      <c r="E45" s="277" t="str">
        <f>IF(AND('1.4 Analyse &amp; Synthese'!Q46=1,'1.4 Analyse &amp; Synthese'!F46="Methode"),'1.4 Analyse &amp; Synthese'!I46&amp;CHAR(13)&amp;"("&amp;'(Codierung)'!$C$3&amp;" - "&amp;'1.4 Analyse &amp; Synthese'!C46&amp;")","")</f>
        <v/>
      </c>
      <c r="F45" s="387" t="str">
        <f t="array" ref="F45">_xlfn.IFNA(INDEX($E$6:$E$66,MATCH(0,COUNTIF($F$4:F44,$E$6:$E$66),0),1),"")</f>
        <v/>
      </c>
      <c r="G45" s="277" t="str">
        <f>IF(AND('1.4 Analyse &amp; Synthese'!Q46=1,'1.4 Analyse &amp; Synthese'!F46="Werkzeug"),'1.4 Analyse &amp; Synthese'!I46&amp;CHAR(13)&amp;"("&amp;'(Codierung)'!$C$4&amp;" - "&amp;'1.4 Analyse &amp; Synthese'!C46&amp;")","")</f>
        <v/>
      </c>
      <c r="H45" s="387" t="str">
        <f t="array" ref="H45">_xlfn.IFNA(INDEX($G$6:$G$66,MATCH(0,COUNTIF($H$4:H44,$G$6:$G$66),0),1),"")</f>
        <v/>
      </c>
      <c r="J45" s="277" t="str">
        <f>IF(AND('1.4 Analyse &amp; Synthese'!R46=1,'1.4 Analyse &amp; Synthese'!F46="Empfehlung"),'1.4 Analyse &amp; Synthese'!I46&amp;CHAR(13)&amp;"("&amp;'(Codierung)'!$C$2&amp;" - "&amp;'1.4 Analyse &amp; Synthese'!C46&amp;")","")</f>
        <v/>
      </c>
      <c r="K45" s="387" t="str">
        <f t="array" ref="K45">_xlfn.IFNA(INDEX($J$6:$J$66,MATCH(0,COUNTIF($K$4:K44,$J$6:$J$66),0),1),"")</f>
        <v/>
      </c>
      <c r="L45" s="277" t="str">
        <f>IF(AND('1.4 Analyse &amp; Synthese'!R46=1,'1.4 Analyse &amp; Synthese'!F46="Methode"),'1.4 Analyse &amp; Synthese'!I46&amp;CHAR(13)&amp;"("&amp;'(Codierung)'!$C$3&amp;" - "&amp;'1.4 Analyse &amp; Synthese'!C46&amp;")","")</f>
        <v/>
      </c>
      <c r="M45" s="387" t="str">
        <f t="array" ref="M45">_xlfn.IFNA(INDEX($L$6:$L$66,MATCH(0,COUNTIF($M$4:M44,$L$6:$L$66),0),1),"")</f>
        <v/>
      </c>
      <c r="N45" s="277" t="str">
        <f>IF(AND('1.4 Analyse &amp; Synthese'!R46=1,'1.4 Analyse &amp; Synthese'!F46="Werkzeug"),'1.4 Analyse &amp; Synthese'!I46&amp;CHAR(13)&amp;"("&amp;'(Codierung)'!$C$4&amp;" - "&amp;'1.4 Analyse &amp; Synthese'!C46&amp;")","")</f>
        <v/>
      </c>
      <c r="O45" s="387" t="str">
        <f t="array" ref="O45">_xlfn.IFNA(INDEX($N$6:$N$66,MATCH(0,COUNTIF($O$4:O44,$N$6:$N$66),0),1),"")</f>
        <v/>
      </c>
      <c r="Q45" s="277" t="str">
        <f>IF(AND('1.4 Analyse &amp; Synthese'!S46=1,'1.4 Analyse &amp; Synthese'!F46="Empfehlung"),'1.4 Analyse &amp; Synthese'!I46&amp;CHAR(13)&amp;"("&amp;'(Codierung)'!$C$2&amp;" - "&amp;'1.4 Analyse &amp; Synthese'!C46&amp;")","")</f>
        <v/>
      </c>
      <c r="R45" s="387" t="str">
        <f t="array" ref="R45">_xlfn.IFNA(INDEX($Q$6:$Q$66,MATCH(0,COUNTIF($R$4:R44,$Q$6:$Q$66),0),1),"")</f>
        <v/>
      </c>
      <c r="S45" s="277" t="str">
        <f>IF(AND('1.4 Analyse &amp; Synthese'!S46=1,'1.4 Analyse &amp; Synthese'!F46="Methode"),'1.4 Analyse &amp; Synthese'!I46&amp;CHAR(13)&amp;"("&amp;'(Codierung)'!$C$3&amp;" - "&amp;'1.4 Analyse &amp; Synthese'!C46&amp;")","")</f>
        <v/>
      </c>
      <c r="T45" s="387" t="str">
        <f t="array" ref="T45">_xlfn.IFNA(INDEX($S$6:$S$66,MATCH(0,COUNTIF($T$4:T44,$S$6:$S$66),0),1),"")</f>
        <v/>
      </c>
      <c r="U45" s="277" t="str">
        <f>IF(AND('1.4 Analyse &amp; Synthese'!S46=1,'1.4 Analyse &amp; Synthese'!F46="Werkzeug"),'1.4 Analyse &amp; Synthese'!I46&amp;CHAR(13)&amp;"("&amp;'(Codierung)'!$C$4&amp;" - "&amp;'1.4 Analyse &amp; Synthese'!C46&amp;")","")</f>
        <v/>
      </c>
      <c r="V45" s="387" t="str">
        <f t="array" ref="V45">_xlfn.IFNA(INDEX($U$6:$U$66,MATCH(0,COUNTIF($V$4:V44,$U$6:$U$66),0),1),"")</f>
        <v/>
      </c>
      <c r="X45" s="277" t="str">
        <f>IF(AND('1.4 Analyse &amp; Synthese'!T46=1,'1.4 Analyse &amp; Synthese'!F46="Empfehlung"),'1.4 Analyse &amp; Synthese'!I46&amp;CHAR(13)&amp;"("&amp;'(Codierung)'!$C$2&amp;" - "&amp;'1.4 Analyse &amp; Synthese'!C46&amp;")","")</f>
        <v/>
      </c>
      <c r="Y45" s="387" t="str">
        <f t="array" ref="Y45">_xlfn.IFNA(INDEX($X$6:$X$66,MATCH(0,COUNTIF($Y$4:Y44,$X$6:$X$66),0),1),"")</f>
        <v/>
      </c>
      <c r="Z45" s="277" t="str">
        <f>IF(AND('1.4 Analyse &amp; Synthese'!T46=1,'1.4 Analyse &amp; Synthese'!F46="Methode"),'1.4 Analyse &amp; Synthese'!I46&amp;CHAR(13)&amp;"("&amp;'(Codierung)'!$C$3&amp;" - "&amp;'1.4 Analyse &amp; Synthese'!C46&amp;")","")</f>
        <v/>
      </c>
      <c r="AA45" s="387" t="str">
        <f t="array" ref="AA45">_xlfn.IFNA(INDEX($Z$6:$Z$66,MATCH(0,COUNTIF($AA$4:AA44,$Z$6:$Z$66),0),1),"")</f>
        <v/>
      </c>
      <c r="AB45" s="277" t="str">
        <f>IF(AND('1.4 Analyse &amp; Synthese'!T46=1,'1.4 Analyse &amp; Synthese'!F46="Werkzeug"),'1.4 Analyse &amp; Synthese'!I46&amp;CHAR(13)&amp;"("&amp;'(Codierung)'!$C$4&amp;" - "&amp;'1.4 Analyse &amp; Synthese'!C46&amp;")","")</f>
        <v/>
      </c>
      <c r="AC45" s="387" t="str">
        <f t="array" ref="AC45">_xlfn.IFNA(INDEX($AB$6:$AB$66,MATCH(0,COUNTIF($AC$4:AC44,$AB$6:$AB$66),0),1),"")</f>
        <v/>
      </c>
      <c r="AE45" s="277" t="str">
        <f>IF(AND('1.4 Analyse &amp; Synthese'!U46=1,'1.4 Analyse &amp; Synthese'!F46="Empfehlung"),'1.4 Analyse &amp; Synthese'!I46&amp;CHAR(13)&amp;"("&amp;'(Codierung)'!$C$2&amp;" - "&amp;'1.4 Analyse &amp; Synthese'!C46&amp;")","")</f>
        <v/>
      </c>
      <c r="AF45" s="387" t="str">
        <f t="array" ref="AF45">_xlfn.IFNA(INDEX($AE$6:$AE$66,MATCH(0,COUNTIF($AF$4:AF44,$AE$6:$AE$66),0),1),"")</f>
        <v/>
      </c>
      <c r="AG45" s="277" t="str">
        <f>IF(AND('1.4 Analyse &amp; Synthese'!U46=1,'1.4 Analyse &amp; Synthese'!F46="Methode"),'1.4 Analyse &amp; Synthese'!I46&amp;CHAR(13)&amp;"("&amp;'(Codierung)'!$C$3&amp;" - "&amp;'1.4 Analyse &amp; Synthese'!C46&amp;")","")</f>
        <v/>
      </c>
      <c r="AH45" s="387" t="str">
        <f t="array" ref="AH45">_xlfn.IFNA(INDEX($AG$6:$AG$66,MATCH(0,COUNTIF($AH$4:AH44,$AG$6:$AG$66),0),1),"")</f>
        <v/>
      </c>
      <c r="AI45" s="277" t="str">
        <f>IF(AND('1.4 Analyse &amp; Synthese'!U46=1,'1.4 Analyse &amp; Synthese'!F46="Werkzeug"),'1.4 Analyse &amp; Synthese'!I46&amp;CHAR(13)&amp;"("&amp;'(Codierung)'!$C$4&amp;" - "&amp;'1.4 Analyse &amp; Synthese'!C46&amp;")","")</f>
        <v>Open-Source Plattform_x000D_(Werkzeug - Yangui)</v>
      </c>
      <c r="AJ45" s="387" t="str">
        <f t="array" ref="AJ45">_xlfn.IFNA(INDEX($AI$6:$AI$66,MATCH(0,COUNTIF($AJ$4:AJ44,$AI$6:$AI$66),0),1),"")</f>
        <v/>
      </c>
      <c r="AL45" s="277" t="str">
        <f>IF(AND('1.4 Analyse &amp; Synthese'!V46=1,'1.4 Analyse &amp; Synthese'!F46="Empfehlung"),'1.4 Analyse &amp; Synthese'!I46&amp;CHAR(13)&amp;"("&amp;'(Codierung)'!$C$2&amp;" - "&amp;'1.4 Analyse &amp; Synthese'!C46&amp;")","")</f>
        <v/>
      </c>
      <c r="AM45" s="387" t="str">
        <f t="array" ref="AM45">_xlfn.IFNA(INDEX($AL$6:$AL$66,MATCH(0,COUNTIF($AM$4:AM44,$AL$6:$AL$66),0),1),"")</f>
        <v/>
      </c>
      <c r="AN45" s="277" t="str">
        <f>IF(AND('1.4 Analyse &amp; Synthese'!V46=1,'1.4 Analyse &amp; Synthese'!F46="Methode"),'1.4 Analyse &amp; Synthese'!I46&amp;CHAR(13)&amp;"("&amp;'(Codierung)'!$C$3&amp;" - "&amp;'1.4 Analyse &amp; Synthese'!C46&amp;")","")</f>
        <v/>
      </c>
      <c r="AO45" s="387" t="str">
        <f t="array" ref="AO45">_xlfn.IFNA(INDEX($AN$6:$AN$66,MATCH(0,COUNTIF($AO$4:AO44,$AN$6:$AN$66),0),1),"")</f>
        <v/>
      </c>
      <c r="AP45" s="277" t="str">
        <f>IF(AND('1.4 Analyse &amp; Synthese'!V46=1,'1.4 Analyse &amp; Synthese'!F46="Werkzeug"),'1.4 Analyse &amp; Synthese'!I46&amp;CHAR(13)&amp;"("&amp;'(Codierung)'!$C$4&amp;" - "&amp;'1.4 Analyse &amp; Synthese'!C46&amp;")","")</f>
        <v/>
      </c>
      <c r="AQ45" s="387" t="str">
        <f t="array" ref="AQ45">_xlfn.IFNA(INDEX($AP$6:$AP$66,MATCH(0,COUNTIF($AQ$4:AQ44,$AP$6:$AP$66),0),1),"")</f>
        <v/>
      </c>
      <c r="AS45" s="277" t="str">
        <f>IF(AND('1.4 Analyse &amp; Synthese'!W46=1,'1.4 Analyse &amp; Synthese'!F46="Empfehlung"),'1.4 Analyse &amp; Synthese'!I46&amp;CHAR(13)&amp;"("&amp;'(Codierung)'!$C$2&amp;" - "&amp;'1.4 Analyse &amp; Synthese'!C46&amp;")","")</f>
        <v/>
      </c>
      <c r="AT45" s="387" t="str">
        <f t="array" ref="AT45">_xlfn.IFNA(INDEX($AS$6:$AS$66,MATCH(0,COUNTIF($AT$4:AT44,$AS$6:$AS$66),0),1),"")</f>
        <v/>
      </c>
      <c r="AU45" s="277" t="str">
        <f>IF(AND('1.4 Analyse &amp; Synthese'!W46=1,'1.4 Analyse &amp; Synthese'!F46="Methode"),'1.4 Analyse &amp; Synthese'!I46&amp;CHAR(13)&amp;"("&amp;'(Codierung)'!$C$3&amp;" - "&amp;'1.4 Analyse &amp; Synthese'!C46&amp;")","")</f>
        <v/>
      </c>
      <c r="AV45" s="387" t="str">
        <f t="array" ref="AV45">_xlfn.IFNA(INDEX($AU$6:$AU$66,MATCH(0,COUNTIF($AV$4:AV44,$AU$6:$AU$66),0),1),"")</f>
        <v/>
      </c>
      <c r="AW45" s="277" t="str">
        <f>IF(AND('1.4 Analyse &amp; Synthese'!W46=1,'1.4 Analyse &amp; Synthese'!F46="Werkzeug"),'1.4 Analyse &amp; Synthese'!I46&amp;CHAR(13)&amp;"("&amp;'(Codierung)'!$C$4&amp;" - "&amp;'1.4 Analyse &amp; Synthese'!C46&amp;")","")</f>
        <v/>
      </c>
      <c r="AX45" s="387" t="str">
        <f t="array" ref="AX45">_xlfn.IFNA(INDEX($AW$6:$AW$66,MATCH(0,COUNTIF($AX$4:AX44,$AW$6:$AW$66),0),1),"")</f>
        <v/>
      </c>
      <c r="AZ45" s="277" t="str">
        <f>IF(AND('1.4 Analyse &amp; Synthese'!X46=1,'1.4 Analyse &amp; Synthese'!F46="Empfehlung"),'1.4 Analyse &amp; Synthese'!I46&amp;CHAR(13)&amp;"("&amp;'(Codierung)'!$C$2&amp;" - "&amp;'1.4 Analyse &amp; Synthese'!C46&amp;")","")</f>
        <v/>
      </c>
      <c r="BA45" s="387" t="str">
        <f t="array" ref="BA45">_xlfn.IFNA(INDEX($AZ$6:$AZ$66,MATCH(0,COUNTIF($BA$4:BA44,$AZ$6:$AZ$66),0),1),"")</f>
        <v/>
      </c>
      <c r="BB45" s="277" t="str">
        <f>IF(AND('1.4 Analyse &amp; Synthese'!X46=1,'1.4 Analyse &amp; Synthese'!F46="Methode"),'1.4 Analyse &amp; Synthese'!I46&amp;CHAR(13)&amp;"("&amp;'(Codierung)'!$C$3&amp;" - "&amp;'1.4 Analyse &amp; Synthese'!C46&amp;")","")</f>
        <v/>
      </c>
      <c r="BC45" s="387" t="str">
        <f t="array" ref="BC45">_xlfn.IFNA(INDEX($BB$6:$BB$66,MATCH(0,COUNTIF($BC$4:BC44,$BB$6:$BB$66),0),1),"")</f>
        <v/>
      </c>
      <c r="BD45" s="277" t="str">
        <f>IF(AND('1.4 Analyse &amp; Synthese'!X46=1,'1.4 Analyse &amp; Synthese'!F46="Werkzeug"),'1.4 Analyse &amp; Synthese'!I46&amp;CHAR(13)&amp;"("&amp;'(Codierung)'!$C$4&amp;" - "&amp;'1.4 Analyse &amp; Synthese'!C46&amp;")","")</f>
        <v/>
      </c>
      <c r="BE45" s="387" t="str">
        <f t="array" ref="BE45">_xlfn.IFNA(INDEX($BD$6:$BD$66,MATCH(0,COUNTIF($BE$4:BE44,$BD$6:$BD$66),0),1),"")</f>
        <v/>
      </c>
      <c r="BG45" s="277" t="str">
        <f>IF(AND('1.4 Analyse &amp; Synthese'!Y46=1,'1.4 Analyse &amp; Synthese'!F46="Empfehlung"),'1.4 Analyse &amp; Synthese'!I46&amp;CHAR(13)&amp;"("&amp;'(Codierung)'!$C$2&amp;" - "&amp;'1.4 Analyse &amp; Synthese'!C46&amp;")","")</f>
        <v/>
      </c>
      <c r="BH45" s="387" t="str">
        <f t="array" ref="BH45">_xlfn.IFNA(INDEX($BG$6:$BG$66,MATCH(0,COUNTIF($BH$4:BH44,$BG$6:$BG$66),0),1),"")</f>
        <v/>
      </c>
      <c r="BI45" s="277" t="str">
        <f>IF(AND('1.4 Analyse &amp; Synthese'!Y46=1,'1.4 Analyse &amp; Synthese'!F46="Methode"),'1.4 Analyse &amp; Synthese'!I46&amp;CHAR(13)&amp;"("&amp;'(Codierung)'!$C$3&amp;" - "&amp;'1.4 Analyse &amp; Synthese'!C46&amp;")","")</f>
        <v/>
      </c>
      <c r="BJ45" s="387" t="str">
        <f t="array" ref="BJ45">_xlfn.IFNA(INDEX($BI$6:$BI$66,MATCH(0,COUNTIF($BJ$4:BJ44,$BI$6:$BI$66),0),1),"")</f>
        <v/>
      </c>
      <c r="BK45" s="277" t="str">
        <f>IF(AND('1.4 Analyse &amp; Synthese'!Y46=1,'1.4 Analyse &amp; Synthese'!F46="Werkzeug"),'1.4 Analyse &amp; Synthese'!I46&amp;CHAR(13)&amp;"("&amp;'(Codierung)'!$C$4&amp;" - "&amp;'1.4 Analyse &amp; Synthese'!C46&amp;")","")</f>
        <v/>
      </c>
      <c r="BL45" s="387" t="str">
        <f t="array" ref="BL45">_xlfn.IFNA(INDEX($BK$6:$BK$66,MATCH(0,COUNTIF($BL$4:BL44,$BK$6:$BK$66),0),1),"")</f>
        <v/>
      </c>
      <c r="BN45" s="277" t="str">
        <f>IF(AND('1.4 Analyse &amp; Synthese'!Z46=1,'1.4 Analyse &amp; Synthese'!F46="Empfehlung"),'1.4 Analyse &amp; Synthese'!I46&amp;CHAR(13)&amp;"("&amp;'(Codierung)'!$C$2&amp;" - "&amp;'1.4 Analyse &amp; Synthese'!C46&amp;")","")</f>
        <v/>
      </c>
      <c r="BO45" s="387" t="str">
        <f t="array" ref="BO45">_xlfn.IFNA(INDEX($BN$6:$BN$66,MATCH(0,COUNTIF($BO$4:BO44,$BN$6:$BN$66),0),1),"")</f>
        <v/>
      </c>
      <c r="BP45" s="277" t="str">
        <f>IF(AND('1.4 Analyse &amp; Synthese'!Z46=1,'1.4 Analyse &amp; Synthese'!F46="Methode"),'1.4 Analyse &amp; Synthese'!I46&amp;CHAR(13)&amp;"("&amp;'(Codierung)'!$C$3&amp;" - "&amp;'1.4 Analyse &amp; Synthese'!C46&amp;")","")</f>
        <v/>
      </c>
      <c r="BQ45" s="387" t="str">
        <f t="array" ref="BQ45">_xlfn.IFNA(INDEX($BP$6:$BP$66,MATCH(0,COUNTIF($BQ$4:BQ44,$BP$6:$BP$66),0),1),"")</f>
        <v/>
      </c>
      <c r="BR45" s="277" t="str">
        <f>IF(AND('1.4 Analyse &amp; Synthese'!Z46=1,'1.4 Analyse &amp; Synthese'!F46="Werkzeug"),'1.4 Analyse &amp; Synthese'!I46&amp;CHAR(13)&amp;"("&amp;'(Codierung)'!$C$4&amp;" - "&amp;'1.4 Analyse &amp; Synthese'!C46&amp;")","")</f>
        <v/>
      </c>
      <c r="BS45" s="387" t="str">
        <f t="array" ref="BS45">_xlfn.IFNA(INDEX($BR$6:$BR$66,MATCH(0,COUNTIF($BS$4:BS44,$BR$6:$BR$66),0),1),"")</f>
        <v/>
      </c>
      <c r="BU45" s="277" t="str">
        <f>IF(AND('1.4 Analyse &amp; Synthese'!AA46=1,'1.4 Analyse &amp; Synthese'!F46="Empfehlung"),'1.4 Analyse &amp; Synthese'!I46&amp;CHAR(13)&amp;"("&amp;'(Codierung)'!$C$2&amp;" - "&amp;'1.4 Analyse &amp; Synthese'!C46&amp;")","")</f>
        <v/>
      </c>
      <c r="BV45" s="387" t="str">
        <f t="array" ref="BV45">_xlfn.IFNA(INDEX($BU$6:$BU$66,MATCH(0,COUNTIF($BV$4:BV44,$BU$6:$BU$66),0),1),"")</f>
        <v/>
      </c>
      <c r="BW45" s="277" t="str">
        <f>IF(AND('1.4 Analyse &amp; Synthese'!AA46=1,'1.4 Analyse &amp; Synthese'!F46="Methode"),'1.4 Analyse &amp; Synthese'!I46&amp;CHAR(13)&amp;"("&amp;'(Codierung)'!$C$3&amp;" - "&amp;'1.4 Analyse &amp; Synthese'!C46&amp;")","")</f>
        <v/>
      </c>
      <c r="BX45" s="387" t="str">
        <f t="array" ref="BX45">_xlfn.IFNA(INDEX($BW$6:$BW$66,MATCH(0,COUNTIF($BX$4:BX44,$BW$6:$BW$66),0),1),"")</f>
        <v/>
      </c>
      <c r="BY45" s="277" t="str">
        <f>IF(AND('1.4 Analyse &amp; Synthese'!AA46=1,'1.4 Analyse &amp; Synthese'!F46="Werkzeug"),'1.4 Analyse &amp; Synthese'!I46&amp;CHAR(13)&amp;"("&amp;'(Codierung)'!$C$4&amp;" - "&amp;'1.4 Analyse &amp; Synthese'!C46&amp;")","")</f>
        <v/>
      </c>
      <c r="BZ45" s="387" t="str">
        <f t="array" ref="BZ45">_xlfn.IFNA(INDEX($BY$6:$BY$66,MATCH(0,COUNTIF($BZ$4:BZ44,$BY$6:$BY$66),0),1),"")</f>
        <v/>
      </c>
      <c r="CB45" s="277" t="str">
        <f>IF(AND('1.4 Analyse &amp; Synthese'!AB46=1,'1.4 Analyse &amp; Synthese'!F46="Empfehlung"),'1.4 Analyse &amp; Synthese'!I46&amp;CHAR(13)&amp;"("&amp;'(Codierung)'!$C$2&amp;" - "&amp;'1.4 Analyse &amp; Synthese'!C46&amp;")","")</f>
        <v/>
      </c>
      <c r="CC45" s="387" t="str">
        <f t="array" ref="CC45">_xlfn.IFNA(INDEX($CB$6:$CB$66,MATCH(0,COUNTIF($CC$4:CC44,$CB$6:$CB$66),0),1),"")</f>
        <v/>
      </c>
      <c r="CD45" s="277" t="str">
        <f>IF(AND('1.4 Analyse &amp; Synthese'!AB46=1,'1.4 Analyse &amp; Synthese'!F46="Methode"),'1.4 Analyse &amp; Synthese'!I46&amp;CHAR(13)&amp;"("&amp;'(Codierung)'!$C$3&amp;" - "&amp;'1.4 Analyse &amp; Synthese'!C46&amp;")","")</f>
        <v/>
      </c>
      <c r="CE45" s="387" t="str">
        <f t="array" ref="CE45">_xlfn.IFNA(INDEX($CD$6:$CD$66,MATCH(0,COUNTIF($CE$4:CE44,$CD$6:$CD$66),0),1),"")</f>
        <v/>
      </c>
      <c r="CF45" s="277" t="str">
        <f>IF(AND('1.4 Analyse &amp; Synthese'!AB46=1,'1.4 Analyse &amp; Synthese'!F46="Werkzeug"),'1.4 Analyse &amp; Synthese'!I46&amp;CHAR(13)&amp;"("&amp;'(Codierung)'!$C$4&amp;" - "&amp;'1.4 Analyse &amp; Synthese'!C46&amp;")","")</f>
        <v/>
      </c>
      <c r="CG45" s="387" t="str">
        <f t="array" ref="CG45">_xlfn.IFNA(INDEX($CF$6:$CF$66,MATCH(0,COUNTIF($CG$4:CG44,$CF$6:$CF$66),0),1),"")</f>
        <v/>
      </c>
      <c r="CI45" s="277" t="str">
        <f>IF(AND('1.4 Analyse &amp; Synthese'!AC46=1,'1.4 Analyse &amp; Synthese'!F46="Empfehlung"),'1.4 Analyse &amp; Synthese'!I46&amp;CHAR(13)&amp;"("&amp;'(Codierung)'!$C$2&amp;" - "&amp;'1.4 Analyse &amp; Synthese'!C46&amp;")","")</f>
        <v/>
      </c>
      <c r="CJ45" s="387" t="str">
        <f t="array" ref="CJ45">_xlfn.IFNA(INDEX($CI$6:$CI$66,MATCH(0,COUNTIF($CJ$4:CJ44,$CI$6:$CI$66),0),1),"")</f>
        <v/>
      </c>
      <c r="CK45" s="277" t="str">
        <f>IF(AND('1.4 Analyse &amp; Synthese'!AC46=1,'1.4 Analyse &amp; Synthese'!F46="Methode"),'1.4 Analyse &amp; Synthese'!I46&amp;CHAR(13)&amp;"("&amp;'(Codierung)'!$C$3&amp;" - "&amp;'1.4 Analyse &amp; Synthese'!C46&amp;")","")</f>
        <v/>
      </c>
      <c r="CL45" s="387" t="str">
        <f t="array" ref="CL45">_xlfn.IFNA(INDEX($CK$6:$CK$66,MATCH(0,COUNTIF($CL$4:CL44,$CK$6:$CK$66),0),1),"")</f>
        <v/>
      </c>
      <c r="CM45" s="277" t="str">
        <f>IF(AND('1.4 Analyse &amp; Synthese'!AC46=1,'1.4 Analyse &amp; Synthese'!F46="Werkzeug"),'1.4 Analyse &amp; Synthese'!I46&amp;CHAR(13)&amp;"("&amp;'(Codierung)'!$C$4&amp;" - "&amp;'1.4 Analyse &amp; Synthese'!C46&amp;")","")</f>
        <v/>
      </c>
      <c r="CN45" s="387" t="str">
        <f t="array" ref="CN45">_xlfn.IFNA(INDEX($CM$6:$CM$66,MATCH(0,COUNTIF($CN$4:CN44,$CM$6:$CM$66),0),1),"")</f>
        <v/>
      </c>
      <c r="CP45" s="277" t="str">
        <f>IF(AND('1.4 Analyse &amp; Synthese'!AD46=1,'1.4 Analyse &amp; Synthese'!F46="Empfehlung"),'1.4 Analyse &amp; Synthese'!I46&amp;CHAR(13)&amp;"("&amp;'(Codierung)'!$C$2&amp;" - "&amp;'1.4 Analyse &amp; Synthese'!C46&amp;")","")</f>
        <v/>
      </c>
      <c r="CQ45" s="387" t="str">
        <f t="array" ref="CQ45">_xlfn.IFNA(INDEX($CP$6:$CP$66,MATCH(0,COUNTIF($CQ$4:CQ44,$CP$6:$CP$66),0),1),"")</f>
        <v/>
      </c>
      <c r="CR45" s="277" t="str">
        <f>IF(AND('1.4 Analyse &amp; Synthese'!AD46=1,'1.4 Analyse &amp; Synthese'!F46="Methode"),'1.4 Analyse &amp; Synthese'!I46&amp;CHAR(13)&amp;"("&amp;'(Codierung)'!$C$3&amp;" - "&amp;'1.4 Analyse &amp; Synthese'!C46&amp;")","")</f>
        <v/>
      </c>
      <c r="CS45" s="387" t="str">
        <f t="array" ref="CS45">_xlfn.IFNA(INDEX($CR$6:$CR$66,MATCH(0,COUNTIF($CS$4:CS44,$CR$6:$CR$66),0),1),"")</f>
        <v/>
      </c>
      <c r="CT45" s="277" t="str">
        <f>IF(AND('1.4 Analyse &amp; Synthese'!AD46=1,'1.4 Analyse &amp; Synthese'!F46="Werkzeug"),'1.4 Analyse &amp; Synthese'!I46&amp;CHAR(13)&amp;"("&amp;'(Codierung)'!$C$4&amp;" - "&amp;'1.4 Analyse &amp; Synthese'!C46&amp;")","")</f>
        <v/>
      </c>
      <c r="CU45" s="387" t="str">
        <f t="array" ref="CU45">_xlfn.IFNA(INDEX($CT$6:$CT$66,MATCH(0,COUNTIF($CU$4:CU44,$CT$6:$CT$66),0),1),"")</f>
        <v/>
      </c>
      <c r="CW45" s="277" t="str">
        <f>IF(AND('1.4 Analyse &amp; Synthese'!AE46=1,'1.4 Analyse &amp; Synthese'!F46="Empfehlung"),'1.4 Analyse &amp; Synthese'!I46&amp;CHAR(13)&amp;"("&amp;'(Codierung)'!$C$2&amp;" - "&amp;'1.4 Analyse &amp; Synthese'!C46&amp;")","")</f>
        <v/>
      </c>
      <c r="CX45" s="387" t="str">
        <f t="array" ref="CX45">_xlfn.IFNA(INDEX($CW$6:$CW$66,MATCH(0,COUNTIF($CX$4:CX44,$CW$6:$CW$66),0),1),"")</f>
        <v/>
      </c>
      <c r="CY45" s="277" t="str">
        <f>IF(AND('1.4 Analyse &amp; Synthese'!AE46=1,'1.4 Analyse &amp; Synthese'!F46="Methode"),'1.4 Analyse &amp; Synthese'!I46&amp;CHAR(13)&amp;"("&amp;'(Codierung)'!$C$3&amp;" - "&amp;'1.4 Analyse &amp; Synthese'!C46&amp;")","")</f>
        <v/>
      </c>
      <c r="CZ45" s="387" t="str">
        <f t="array" ref="CZ45">_xlfn.IFNA(INDEX($CY$6:$CY$66,MATCH(0,COUNTIF($CZ$4:CZ44,$CY$6:$CY$66),0),1),"")</f>
        <v/>
      </c>
      <c r="DA45" s="277" t="str">
        <f>IF(AND('1.4 Analyse &amp; Synthese'!AE46=1,'1.4 Analyse &amp; Synthese'!F46="Werkzeug"),'1.4 Analyse &amp; Synthese'!I46&amp;CHAR(13)&amp;"("&amp;'(Codierung)'!$C$4&amp;" - "&amp;'1.4 Analyse &amp; Synthese'!C46&amp;")","")</f>
        <v/>
      </c>
      <c r="DB45" s="387" t="str">
        <f t="array" ref="DB45">_xlfn.IFNA(INDEX($DA$6:$DA$66,MATCH(0,COUNTIF($DB$4:DB44,$DA$6:$DA$66),0),1),"")</f>
        <v/>
      </c>
      <c r="DD45" s="277" t="str">
        <f>IF(AND('1.4 Analyse &amp; Synthese'!AF46=1,'1.4 Analyse &amp; Synthese'!F46="Empfehlung"),'1.4 Analyse &amp; Synthese'!I46&amp;CHAR(13)&amp;"("&amp;'(Codierung)'!$C$2&amp;" - "&amp;'1.4 Analyse &amp; Synthese'!C46&amp;")","")</f>
        <v/>
      </c>
      <c r="DE45" s="387" t="str">
        <f t="array" ref="DE45">_xlfn.IFNA(INDEX($DD$6:$DD$66,MATCH(0,COUNTIF($DE$4:DE44,$DD$6:$DD$66),0),1),"")</f>
        <v/>
      </c>
      <c r="DF45" s="277" t="str">
        <f>IF(AND('1.4 Analyse &amp; Synthese'!AF46=1,'1.4 Analyse &amp; Synthese'!F46="Methode"),'1.4 Analyse &amp; Synthese'!I46&amp;CHAR(13)&amp;"("&amp;'(Codierung)'!$C$3&amp;" - "&amp;'1.4 Analyse &amp; Synthese'!C46&amp;")","")</f>
        <v/>
      </c>
      <c r="DG45" s="387" t="str">
        <f t="array" ref="DG45">_xlfn.IFNA(INDEX($DF$6:$DF$66,MATCH(0,COUNTIF($DG$4:DG44,$DF$6:$DF$66),0),1),"")</f>
        <v/>
      </c>
      <c r="DH45" s="277" t="str">
        <f>IF(AND('1.4 Analyse &amp; Synthese'!AF46=1,'1.4 Analyse &amp; Synthese'!F46="Werkzeug"),'1.4 Analyse &amp; Synthese'!I46&amp;CHAR(13)&amp;"("&amp;'(Codierung)'!$C$4&amp;" - "&amp;'1.4 Analyse &amp; Synthese'!C46&amp;")","")</f>
        <v>Open-Source Plattform_x000D_(Werkzeug - Yangui)</v>
      </c>
      <c r="DI45" s="387" t="str">
        <f t="array" ref="DI45">_xlfn.IFNA(INDEX($DH$6:$DH$66,MATCH(0,COUNTIF($DI$4:DI44,$DH$6:$DH$66),0),1),"")</f>
        <v/>
      </c>
      <c r="DK45" s="277" t="str">
        <f>IF(AND('1.4 Analyse &amp; Synthese'!AG46=1,'1.4 Analyse &amp; Synthese'!F46="Empfehlung"),'1.4 Analyse &amp; Synthese'!I46&amp;CHAR(13)&amp;"("&amp;'(Codierung)'!$C$2&amp;" - "&amp;'1.4 Analyse &amp; Synthese'!C46&amp;")","")</f>
        <v/>
      </c>
      <c r="DL45" s="387" t="str">
        <f t="array" ref="DL45">_xlfn.IFNA(INDEX($DK$6:$DK$66,MATCH(0,COUNTIF($DL$4:DL44,$DK$6:$DK$66),0),1),"")</f>
        <v/>
      </c>
      <c r="DM45" s="277" t="str">
        <f>IF(AND('1.4 Analyse &amp; Synthese'!AG46=1,'1.4 Analyse &amp; Synthese'!F46="Methode"),'1.4 Analyse &amp; Synthese'!I46&amp;CHAR(13)&amp;"("&amp;'(Codierung)'!$C$3&amp;" - "&amp;'1.4 Analyse &amp; Synthese'!C46&amp;")","")</f>
        <v/>
      </c>
      <c r="DN45" s="387" t="str">
        <f t="array" ref="DN45">_xlfn.IFNA(INDEX($DM$6:$DM$66,MATCH(0,COUNTIF($DN$4:DN44,$DM$6:$DM$66),0),1),"")</f>
        <v/>
      </c>
      <c r="DO45" s="277" t="str">
        <f>IF(AND('1.4 Analyse &amp; Synthese'!AG46=1,'1.4 Analyse &amp; Synthese'!F46="Werkzeug"),'1.4 Analyse &amp; Synthese'!I46&amp;CHAR(13)&amp;"("&amp;'(Codierung)'!$C$4&amp;" - "&amp;'1.4 Analyse &amp; Synthese'!C46&amp;")","")</f>
        <v>Open-Source Plattform_x000D_(Werkzeug - Yangui)</v>
      </c>
      <c r="DP45" s="387" t="str">
        <f t="array" ref="DP45">_xlfn.IFNA(INDEX($DO$6:$DO$66,MATCH(0,COUNTIF($DP$4:DP44,$DO$6:$DO$66),0),1),"")</f>
        <v/>
      </c>
      <c r="DR45" s="277" t="str">
        <f>IF(AND('1.4 Analyse &amp; Synthese'!AH46=1,'1.4 Analyse &amp; Synthese'!F46="Empfehlung"),'1.4 Analyse &amp; Synthese'!I46&amp;CHAR(13)&amp;"("&amp;'(Codierung)'!$C$2&amp;" - "&amp;'1.4 Analyse &amp; Synthese'!C46&amp;")","")</f>
        <v/>
      </c>
      <c r="DS45" s="387" t="str">
        <f t="array" ref="DS45">_xlfn.IFNA(INDEX($DR$6:$DR$66,MATCH(0,COUNTIF($DS$4:DS44,$DR$6:$DR$66),0),1),"")</f>
        <v/>
      </c>
      <c r="DT45" s="277" t="str">
        <f>IF(AND('1.4 Analyse &amp; Synthese'!AH46=1,'1.4 Analyse &amp; Synthese'!F46="Methode"),'1.4 Analyse &amp; Synthese'!I46&amp;CHAR(13)&amp;"("&amp;'(Codierung)'!$C$3&amp;" - "&amp;'1.4 Analyse &amp; Synthese'!C46&amp;")","")</f>
        <v/>
      </c>
      <c r="DU45" s="387" t="str">
        <f t="array" ref="DU45">_xlfn.IFNA(INDEX($DT$6:$DT$66,MATCH(0,COUNTIF($DU$4:DU44,$DT$6:$DT$66),0),1),"")</f>
        <v/>
      </c>
      <c r="DV45" s="277" t="str">
        <f>IF(AND('1.4 Analyse &amp; Synthese'!AH46=1,'1.4 Analyse &amp; Synthese'!F46="Werkzeug"),'1.4 Analyse &amp; Synthese'!I46&amp;CHAR(13)&amp;"("&amp;'(Codierung)'!$C$4&amp;" - "&amp;'1.4 Analyse &amp; Synthese'!C46&amp;")","")</f>
        <v/>
      </c>
      <c r="DW45" s="387" t="str">
        <f t="array" ref="DW45">_xlfn.IFNA(INDEX($DV$6:$DV$66,MATCH(0,COUNTIF($DW$4:DW44,$DV$6:$DV$66),0),1),"")</f>
        <v/>
      </c>
      <c r="DY45" s="277" t="str">
        <f>IF(AND('1.4 Analyse &amp; Synthese'!AI46=1,'1.4 Analyse &amp; Synthese'!F46="Empfehlung"),'1.4 Analyse &amp; Synthese'!I46&amp;CHAR(13)&amp;"("&amp;'(Codierung)'!$C$2&amp;" - "&amp;'1.4 Analyse &amp; Synthese'!C46&amp;")","")</f>
        <v/>
      </c>
      <c r="DZ45" s="387" t="str">
        <f t="array" ref="DZ45">_xlfn.IFNA(INDEX($DY$6:$DY$66,MATCH(0,COUNTIF($DZ$4:DZ44,$DY$6:$DY$66),0),1),"")</f>
        <v/>
      </c>
      <c r="EA45" s="277" t="str">
        <f>IF(AND('1.4 Analyse &amp; Synthese'!AI46=1,'1.4 Analyse &amp; Synthese'!F46="Methode"),'1.4 Analyse &amp; Synthese'!I46&amp;CHAR(13)&amp;"("&amp;'(Codierung)'!$C$3&amp;" - "&amp;'1.4 Analyse &amp; Synthese'!C46&amp;")","")</f>
        <v/>
      </c>
      <c r="EB45" s="387" t="str">
        <f t="array" ref="EB45">_xlfn.IFNA(INDEX($EA$6:$EA$66,MATCH(0,COUNTIF($EB$4:EB44,$EA$6:$EA$66),0),1),"")</f>
        <v/>
      </c>
      <c r="EC45" s="277" t="str">
        <f>IF(AND('1.4 Analyse &amp; Synthese'!AI46=1,'1.4 Analyse &amp; Synthese'!F46="Werkzeug"),'1.4 Analyse &amp; Synthese'!I46&amp;CHAR(13)&amp;"("&amp;'(Codierung)'!$C$4&amp;" - "&amp;'1.4 Analyse &amp; Synthese'!C46&amp;")","")</f>
        <v>Open-Source Plattform_x000D_(Werkzeug - Yangui)</v>
      </c>
      <c r="ED45" s="277" t="str">
        <f t="array" ref="ED45">_xlfn.IFNA(INDEX($EC$6:$EC$66,MATCH(0,COUNTIF($ED$4:ED44,$EC$6:$EC$66),0),1),"")</f>
        <v/>
      </c>
      <c r="EF45" s="277" t="str">
        <f>IF(AND('1.4 Analyse &amp; Synthese'!AJ46=1,'1.4 Analyse &amp; Synthese'!F46="Empfehlung"),'1.4 Analyse &amp; Synthese'!I46&amp;CHAR(13)&amp;"("&amp;'(Codierung)'!$C$2&amp;" - "&amp;'1.4 Analyse &amp; Synthese'!C46&amp;")","")</f>
        <v/>
      </c>
      <c r="EG45" s="277" t="str">
        <f t="array" ref="EG45">_xlfn.IFNA(INDEX($EF$6:$EF$66,MATCH(0,COUNTIF($EG$4:EG44,$EF$6:$EF$66),0),1),"")</f>
        <v/>
      </c>
      <c r="EH45" s="277" t="str">
        <f>IF(AND('1.4 Analyse &amp; Synthese'!AJ46=1,'1.4 Analyse &amp; Synthese'!F46="Methode"),'1.4 Analyse &amp; Synthese'!I46&amp;CHAR(13)&amp;"("&amp;'(Codierung)'!$C$3&amp;" - "&amp;'1.4 Analyse &amp; Synthese'!C46&amp;")","")</f>
        <v/>
      </c>
      <c r="EI45" s="387" t="str">
        <f t="array" ref="EI45">_xlfn.IFNA(INDEX($EH$6:$EH$66,MATCH(0,COUNTIF($EI$4:EI44,$EH$6:$EH$66),0),1),"")</f>
        <v/>
      </c>
      <c r="EJ45" s="277" t="str">
        <f>IF(AND('1.4 Analyse &amp; Synthese'!AJ46=1,'1.4 Analyse &amp; Synthese'!F46="Werkzeug"),'1.4 Analyse &amp; Synthese'!I46&amp;CHAR(13)&amp;"("&amp;'(Codierung)'!$C$4&amp;" - "&amp;'1.4 Analyse &amp; Synthese'!C46&amp;")","")</f>
        <v/>
      </c>
      <c r="EK45" s="387" t="str">
        <f t="array" ref="EK45">_xlfn.IFNA(INDEX($EJ$6:$EJ$66,MATCH(0,COUNTIF($EK$4:EK44,$EJ$6:$EJ$66),0),1),"")</f>
        <v/>
      </c>
      <c r="EN45" s="222" t="str">
        <f t="shared" si="60"/>
        <v/>
      </c>
      <c r="EO45" s="277" t="str">
        <f t="shared" si="61"/>
        <v/>
      </c>
      <c r="EP45" s="277" t="str">
        <f t="shared" si="62"/>
        <v/>
      </c>
      <c r="EQ45" s="277" t="str">
        <f>ZahlenInBereich(Tabelle1[[Empfehlung]:[Werkzeug]],ROW()-5)</f>
        <v/>
      </c>
      <c r="ER45" s="277" t="str">
        <f t="shared" si="63"/>
        <v/>
      </c>
      <c r="ES45" s="277" t="str">
        <f t="shared" si="64"/>
        <v/>
      </c>
      <c r="ET45" s="277" t="str">
        <f t="shared" si="65"/>
        <v/>
      </c>
      <c r="EU45" s="277" t="str">
        <f>ZahlenInBereich(Tabelle1[[Empfehlung2]:[Werkzeug4]],ROW()-5)</f>
        <v/>
      </c>
      <c r="EV45" s="277" t="str">
        <f t="shared" si="66"/>
        <v/>
      </c>
      <c r="EW45" s="277" t="str">
        <f t="shared" si="67"/>
        <v/>
      </c>
      <c r="EX45" s="277" t="str">
        <f t="shared" si="68"/>
        <v/>
      </c>
      <c r="EY45" s="277" t="str">
        <f>ZahlenInBereich(Tabelle1[[Empfehlung6]:[Werkzeug8]],ROW()-5)</f>
        <v/>
      </c>
      <c r="EZ45" s="277" t="str">
        <f t="shared" si="69"/>
        <v/>
      </c>
      <c r="FA45" s="277" t="str">
        <f t="shared" si="70"/>
        <v/>
      </c>
      <c r="FB45" s="277" t="str">
        <f t="shared" si="71"/>
        <v/>
      </c>
      <c r="FC45" s="277" t="str">
        <f>ZahlenInBereich(Tabelle1[[Empfehlung10]:[Werkzeug12]],ROW()-5)</f>
        <v/>
      </c>
      <c r="FD45" s="277" t="str">
        <f t="shared" si="72"/>
        <v/>
      </c>
      <c r="FE45" s="277" t="str">
        <f t="shared" si="73"/>
        <v/>
      </c>
      <c r="FF45" s="277" t="str">
        <f t="shared" si="74"/>
        <v/>
      </c>
      <c r="FG45" s="277" t="str">
        <f>ZahlenInBereich(Tabelle1[[Empfehlung14]:[Werkzeug16]],ROW()-5)</f>
        <v/>
      </c>
      <c r="FH45" s="277" t="str">
        <f t="shared" si="75"/>
        <v/>
      </c>
      <c r="FI45" s="277" t="str">
        <f t="shared" si="76"/>
        <v/>
      </c>
      <c r="FJ45" s="277" t="str">
        <f t="shared" si="77"/>
        <v/>
      </c>
      <c r="FK45" s="277" t="str">
        <f>ZahlenInBereich(Tabelle1[[Empfehlung18]:[Werkzeug20]],ROW()-5)</f>
        <v/>
      </c>
      <c r="FL45" s="277" t="str">
        <f t="shared" si="78"/>
        <v/>
      </c>
      <c r="FM45" s="277" t="str">
        <f t="shared" si="79"/>
        <v/>
      </c>
      <c r="FN45" s="277" t="str">
        <f t="shared" si="80"/>
        <v/>
      </c>
      <c r="FO45" s="277" t="str">
        <f>ZahlenInBereich(Tabelle1[[Empfehlung22]:[Werkzeug24]],ROW()-5)</f>
        <v/>
      </c>
      <c r="FP45" s="277" t="str">
        <f t="shared" si="81"/>
        <v/>
      </c>
      <c r="FQ45" s="277" t="str">
        <f t="shared" si="82"/>
        <v/>
      </c>
      <c r="FR45" s="277" t="str">
        <f t="shared" si="83"/>
        <v/>
      </c>
      <c r="FS45" s="277" t="str">
        <f>ZahlenInBereich(Tabelle1[[Empfehlung26]:[Werkzeug28]],ROW()-5)</f>
        <v/>
      </c>
      <c r="FT45" s="277" t="str">
        <f t="shared" si="84"/>
        <v/>
      </c>
      <c r="FU45" s="277" t="str">
        <f t="shared" si="85"/>
        <v/>
      </c>
      <c r="FV45" s="277" t="str">
        <f t="shared" si="86"/>
        <v/>
      </c>
      <c r="FW45" s="277" t="str">
        <f>ZahlenInBereich(Tabelle1[[Empfehlung30]:[Werkzeug32]],ROW()-5)</f>
        <v/>
      </c>
      <c r="FX45" s="277" t="str">
        <f t="shared" si="87"/>
        <v/>
      </c>
      <c r="FY45" s="277" t="str">
        <f t="shared" si="88"/>
        <v/>
      </c>
      <c r="FZ45" s="277" t="str">
        <f t="shared" si="89"/>
        <v/>
      </c>
      <c r="GA45" s="277" t="str">
        <f>ZahlenInBereich(Tabelle1[[Empfehlung34]:[Werkzeug36]],ROW()-5)</f>
        <v/>
      </c>
      <c r="GB45" s="277" t="str">
        <f t="shared" si="90"/>
        <v/>
      </c>
      <c r="GC45" s="277" t="str">
        <f t="shared" si="91"/>
        <v/>
      </c>
      <c r="GD45" s="277" t="str">
        <f t="shared" si="92"/>
        <v/>
      </c>
      <c r="GE45" s="277" t="str">
        <f>ZahlenInBereich(Tabelle1[[Empfehlung38]:[Werkzeug40]],ROW()-5)</f>
        <v/>
      </c>
      <c r="GF45" s="277" t="str">
        <f t="shared" si="93"/>
        <v/>
      </c>
      <c r="GG45" s="277" t="str">
        <f t="shared" si="94"/>
        <v/>
      </c>
      <c r="GH45" s="277" t="str">
        <f t="shared" si="95"/>
        <v/>
      </c>
      <c r="GI45" s="277" t="str">
        <f>ZahlenInBereich(Tabelle1[[Empfehlung42]:[Werkzeug44]],ROW()-5)</f>
        <v/>
      </c>
      <c r="GJ45" s="277" t="str">
        <f t="shared" si="96"/>
        <v/>
      </c>
      <c r="GK45" s="277" t="str">
        <f t="shared" si="97"/>
        <v/>
      </c>
      <c r="GL45" s="277" t="str">
        <f t="shared" si="98"/>
        <v/>
      </c>
      <c r="GM45" s="277" t="str">
        <f>ZahlenInBereich(Tabelle1[[Empfehlung46]:[Werkzeug48]],ROW()-5)</f>
        <v/>
      </c>
      <c r="GN45" s="277" t="str">
        <f t="shared" si="99"/>
        <v/>
      </c>
      <c r="GO45" s="277" t="str">
        <f t="shared" si="100"/>
        <v/>
      </c>
      <c r="GP45" s="277" t="str">
        <f t="shared" si="101"/>
        <v/>
      </c>
      <c r="GQ45" s="277" t="str">
        <f>ZahlenInBereich(Tabelle1[[Empfehlung50]:[Werkzeug52]],ROW()-5)</f>
        <v/>
      </c>
      <c r="GR45" s="277" t="str">
        <f t="shared" si="102"/>
        <v/>
      </c>
      <c r="GS45" s="277" t="str">
        <f t="shared" si="103"/>
        <v/>
      </c>
      <c r="GT45" s="277" t="str">
        <f t="shared" si="104"/>
        <v/>
      </c>
      <c r="GU45" s="277" t="str">
        <f>ZahlenInBereich(Tabelle1[[Empfehlung54]:[Werkzeug56]],ROW()-5)</f>
        <v/>
      </c>
      <c r="GV45" s="277" t="str">
        <f t="shared" si="105"/>
        <v/>
      </c>
      <c r="GW45" s="277" t="str">
        <f t="shared" si="106"/>
        <v/>
      </c>
      <c r="GX45" s="277" t="str">
        <f t="shared" si="107"/>
        <v/>
      </c>
      <c r="GY45" s="277" t="str">
        <f>ZahlenInBereich(Tabelle1[[Empfehlung58]:[Werkzeug60]],ROW()-5)</f>
        <v/>
      </c>
      <c r="GZ45" s="277" t="str">
        <f t="shared" si="108"/>
        <v/>
      </c>
      <c r="HA45" s="277" t="str">
        <f t="shared" si="109"/>
        <v/>
      </c>
      <c r="HB45" s="277" t="str">
        <f t="shared" si="110"/>
        <v/>
      </c>
      <c r="HC45" s="277" t="str">
        <f>ZahlenInBereich(Tabelle1[[Empfehlung62]:[Werkzeug64]],ROW()-5)</f>
        <v/>
      </c>
      <c r="HD45" s="277" t="str">
        <f t="shared" si="111"/>
        <v/>
      </c>
      <c r="HE45" s="277" t="str">
        <f t="shared" si="112"/>
        <v/>
      </c>
      <c r="HF45" s="277" t="str">
        <f t="shared" si="113"/>
        <v/>
      </c>
      <c r="HG45" s="277" t="str">
        <f>ZahlenInBereich(Tabelle1[[Empfehlung66]:[Werkzeug68]],ROW()-5)</f>
        <v/>
      </c>
      <c r="HH45" s="277" t="str">
        <f t="shared" si="114"/>
        <v/>
      </c>
      <c r="HI45" s="277" t="str">
        <f t="shared" si="115"/>
        <v/>
      </c>
      <c r="HJ45" s="277" t="str">
        <f t="shared" si="116"/>
        <v/>
      </c>
      <c r="HK45" s="277" t="str">
        <f>ZahlenInBereich(Tabelle1[[Empfehlung70]:[Werkzeug72]],ROW()-5)</f>
        <v/>
      </c>
      <c r="HL45" s="277" t="str">
        <f t="shared" si="117"/>
        <v/>
      </c>
      <c r="HM45" s="277" t="str">
        <f t="shared" si="118"/>
        <v/>
      </c>
      <c r="HN45" s="277" t="str">
        <f t="shared" si="119"/>
        <v/>
      </c>
      <c r="HO45" s="277" t="str">
        <f>ZahlenInBereich(Tabelle1[[Empfehlung74]:[Werkzeug76]],ROW()-5)</f>
        <v/>
      </c>
    </row>
    <row r="46" spans="2:223" ht="32" x14ac:dyDescent="0.2">
      <c r="B46" s="135">
        <f>'1.4 Analyse &amp; Synthese'!B47</f>
        <v>41</v>
      </c>
      <c r="C46" s="277" t="str">
        <f>IF(AND('1.4 Analyse &amp; Synthese'!Q47=1,'1.4 Analyse &amp; Synthese'!F47="Empfehlung"),'1.4 Analyse &amp; Synthese'!I47&amp;CHAR(13)&amp;"("&amp;'(Codierung)'!$C$2&amp;" - "&amp;'1.4 Analyse &amp; Synthese'!C47&amp;")","")</f>
        <v/>
      </c>
      <c r="D46" s="222" t="str">
        <f t="array" ref="D46">_xlfn.IFNA(INDEX($C$6:$C$66,MATCH(0,COUNTIF($D$4:D45,$C$6:$C$66),0),1),"")</f>
        <v/>
      </c>
      <c r="E46" s="277" t="str">
        <f>IF(AND('1.4 Analyse &amp; Synthese'!Q47=1,'1.4 Analyse &amp; Synthese'!F47="Methode"),'1.4 Analyse &amp; Synthese'!I47&amp;CHAR(13)&amp;"("&amp;'(Codierung)'!$C$3&amp;" - "&amp;'1.4 Analyse &amp; Synthese'!C47&amp;")","")</f>
        <v/>
      </c>
      <c r="F46" s="387" t="str">
        <f t="array" ref="F46">_xlfn.IFNA(INDEX($E$6:$E$66,MATCH(0,COUNTIF($F$4:F45,$E$6:$E$66),0),1),"")</f>
        <v/>
      </c>
      <c r="G46" s="277" t="str">
        <f>IF(AND('1.4 Analyse &amp; Synthese'!Q47=1,'1.4 Analyse &amp; Synthese'!F47="Werkzeug"),'1.4 Analyse &amp; Synthese'!I47&amp;CHAR(13)&amp;"("&amp;'(Codierung)'!$C$4&amp;" - "&amp;'1.4 Analyse &amp; Synthese'!C47&amp;")","")</f>
        <v>Open-Source Plattform_x000D_(Werkzeug - Zangara)</v>
      </c>
      <c r="H46" s="387" t="str">
        <f t="array" ref="H46">_xlfn.IFNA(INDEX($G$6:$G$66,MATCH(0,COUNTIF($H$4:H45,$G$6:$G$66),0),1),"")</f>
        <v/>
      </c>
      <c r="J46" s="277" t="str">
        <f>IF(AND('1.4 Analyse &amp; Synthese'!R47=1,'1.4 Analyse &amp; Synthese'!F47="Empfehlung"),'1.4 Analyse &amp; Synthese'!I47&amp;CHAR(13)&amp;"("&amp;'(Codierung)'!$C$2&amp;" - "&amp;'1.4 Analyse &amp; Synthese'!C47&amp;")","")</f>
        <v/>
      </c>
      <c r="K46" s="387" t="str">
        <f t="array" ref="K46">_xlfn.IFNA(INDEX($J$6:$J$66,MATCH(0,COUNTIF($K$4:K45,$J$6:$J$66),0),1),"")</f>
        <v/>
      </c>
      <c r="L46" s="277" t="str">
        <f>IF(AND('1.4 Analyse &amp; Synthese'!R47=1,'1.4 Analyse &amp; Synthese'!F47="Methode"),'1.4 Analyse &amp; Synthese'!I47&amp;CHAR(13)&amp;"("&amp;'(Codierung)'!$C$3&amp;" - "&amp;'1.4 Analyse &amp; Synthese'!C47&amp;")","")</f>
        <v/>
      </c>
      <c r="M46" s="387" t="str">
        <f t="array" ref="M46">_xlfn.IFNA(INDEX($L$6:$L$66,MATCH(0,COUNTIF($M$4:M45,$L$6:$L$66),0),1),"")</f>
        <v/>
      </c>
      <c r="N46" s="277" t="str">
        <f>IF(AND('1.4 Analyse &amp; Synthese'!R47=1,'1.4 Analyse &amp; Synthese'!F47="Werkzeug"),'1.4 Analyse &amp; Synthese'!I47&amp;CHAR(13)&amp;"("&amp;'(Codierung)'!$C$4&amp;" - "&amp;'1.4 Analyse &amp; Synthese'!C47&amp;")","")</f>
        <v/>
      </c>
      <c r="O46" s="387" t="str">
        <f t="array" ref="O46">_xlfn.IFNA(INDEX($N$6:$N$66,MATCH(0,COUNTIF($O$4:O45,$N$6:$N$66),0),1),"")</f>
        <v/>
      </c>
      <c r="Q46" s="277" t="str">
        <f>IF(AND('1.4 Analyse &amp; Synthese'!S47=1,'1.4 Analyse &amp; Synthese'!F47="Empfehlung"),'1.4 Analyse &amp; Synthese'!I47&amp;CHAR(13)&amp;"("&amp;'(Codierung)'!$C$2&amp;" - "&amp;'1.4 Analyse &amp; Synthese'!C47&amp;")","")</f>
        <v/>
      </c>
      <c r="R46" s="387" t="str">
        <f t="array" ref="R46">_xlfn.IFNA(INDEX($Q$6:$Q$66,MATCH(0,COUNTIF($R$4:R45,$Q$6:$Q$66),0),1),"")</f>
        <v/>
      </c>
      <c r="S46" s="277" t="str">
        <f>IF(AND('1.4 Analyse &amp; Synthese'!S47=1,'1.4 Analyse &amp; Synthese'!F47="Methode"),'1.4 Analyse &amp; Synthese'!I47&amp;CHAR(13)&amp;"("&amp;'(Codierung)'!$C$3&amp;" - "&amp;'1.4 Analyse &amp; Synthese'!C47&amp;")","")</f>
        <v/>
      </c>
      <c r="T46" s="387" t="str">
        <f t="array" ref="T46">_xlfn.IFNA(INDEX($S$6:$S$66,MATCH(0,COUNTIF($T$4:T45,$S$6:$S$66),0),1),"")</f>
        <v/>
      </c>
      <c r="U46" s="277" t="str">
        <f>IF(AND('1.4 Analyse &amp; Synthese'!S47=1,'1.4 Analyse &amp; Synthese'!F47="Werkzeug"),'1.4 Analyse &amp; Synthese'!I47&amp;CHAR(13)&amp;"("&amp;'(Codierung)'!$C$4&amp;" - "&amp;'1.4 Analyse &amp; Synthese'!C47&amp;")","")</f>
        <v/>
      </c>
      <c r="V46" s="387" t="str">
        <f t="array" ref="V46">_xlfn.IFNA(INDEX($U$6:$U$66,MATCH(0,COUNTIF($V$4:V45,$U$6:$U$66),0),1),"")</f>
        <v/>
      </c>
      <c r="X46" s="277" t="str">
        <f>IF(AND('1.4 Analyse &amp; Synthese'!T47=1,'1.4 Analyse &amp; Synthese'!F47="Empfehlung"),'1.4 Analyse &amp; Synthese'!I47&amp;CHAR(13)&amp;"("&amp;'(Codierung)'!$C$2&amp;" - "&amp;'1.4 Analyse &amp; Synthese'!C47&amp;")","")</f>
        <v/>
      </c>
      <c r="Y46" s="387" t="str">
        <f t="array" ref="Y46">_xlfn.IFNA(INDEX($X$6:$X$66,MATCH(0,COUNTIF($Y$4:Y45,$X$6:$X$66),0),1),"")</f>
        <v/>
      </c>
      <c r="Z46" s="277" t="str">
        <f>IF(AND('1.4 Analyse &amp; Synthese'!T47=1,'1.4 Analyse &amp; Synthese'!F47="Methode"),'1.4 Analyse &amp; Synthese'!I47&amp;CHAR(13)&amp;"("&amp;'(Codierung)'!$C$3&amp;" - "&amp;'1.4 Analyse &amp; Synthese'!C47&amp;")","")</f>
        <v/>
      </c>
      <c r="AA46" s="387" t="str">
        <f t="array" ref="AA46">_xlfn.IFNA(INDEX($Z$6:$Z$66,MATCH(0,COUNTIF($AA$4:AA45,$Z$6:$Z$66),0),1),"")</f>
        <v/>
      </c>
      <c r="AB46" s="277" t="str">
        <f>IF(AND('1.4 Analyse &amp; Synthese'!T47=1,'1.4 Analyse &amp; Synthese'!F47="Werkzeug"),'1.4 Analyse &amp; Synthese'!I47&amp;CHAR(13)&amp;"("&amp;'(Codierung)'!$C$4&amp;" - "&amp;'1.4 Analyse &amp; Synthese'!C47&amp;")","")</f>
        <v/>
      </c>
      <c r="AC46" s="387" t="str">
        <f t="array" ref="AC46">_xlfn.IFNA(INDEX($AB$6:$AB$66,MATCH(0,COUNTIF($AC$4:AC45,$AB$6:$AB$66),0),1),"")</f>
        <v/>
      </c>
      <c r="AE46" s="277" t="str">
        <f>IF(AND('1.4 Analyse &amp; Synthese'!U47=1,'1.4 Analyse &amp; Synthese'!F47="Empfehlung"),'1.4 Analyse &amp; Synthese'!I47&amp;CHAR(13)&amp;"("&amp;'(Codierung)'!$C$2&amp;" - "&amp;'1.4 Analyse &amp; Synthese'!C47&amp;")","")</f>
        <v/>
      </c>
      <c r="AF46" s="387" t="str">
        <f t="array" ref="AF46">_xlfn.IFNA(INDEX($AE$6:$AE$66,MATCH(0,COUNTIF($AF$4:AF45,$AE$6:$AE$66),0),1),"")</f>
        <v/>
      </c>
      <c r="AG46" s="277" t="str">
        <f>IF(AND('1.4 Analyse &amp; Synthese'!U47=1,'1.4 Analyse &amp; Synthese'!F47="Methode"),'1.4 Analyse &amp; Synthese'!I47&amp;CHAR(13)&amp;"("&amp;'(Codierung)'!$C$3&amp;" - "&amp;'1.4 Analyse &amp; Synthese'!C47&amp;")","")</f>
        <v/>
      </c>
      <c r="AH46" s="387" t="str">
        <f t="array" ref="AH46">_xlfn.IFNA(INDEX($AG$6:$AG$66,MATCH(0,COUNTIF($AH$4:AH45,$AG$6:$AG$66),0),1),"")</f>
        <v/>
      </c>
      <c r="AI46" s="277" t="str">
        <f>IF(AND('1.4 Analyse &amp; Synthese'!U47=1,'1.4 Analyse &amp; Synthese'!F47="Werkzeug"),'1.4 Analyse &amp; Synthese'!I47&amp;CHAR(13)&amp;"("&amp;'(Codierung)'!$C$4&amp;" - "&amp;'1.4 Analyse &amp; Synthese'!C47&amp;")","")</f>
        <v>Open-Source Plattform_x000D_(Werkzeug - Zangara)</v>
      </c>
      <c r="AJ46" s="387" t="str">
        <f t="array" ref="AJ46">_xlfn.IFNA(INDEX($AI$6:$AI$66,MATCH(0,COUNTIF($AJ$4:AJ45,$AI$6:$AI$66),0),1),"")</f>
        <v/>
      </c>
      <c r="AL46" s="277" t="str">
        <f>IF(AND('1.4 Analyse &amp; Synthese'!V47=1,'1.4 Analyse &amp; Synthese'!F47="Empfehlung"),'1.4 Analyse &amp; Synthese'!I47&amp;CHAR(13)&amp;"("&amp;'(Codierung)'!$C$2&amp;" - "&amp;'1.4 Analyse &amp; Synthese'!C47&amp;")","")</f>
        <v/>
      </c>
      <c r="AM46" s="387" t="str">
        <f t="array" ref="AM46">_xlfn.IFNA(INDEX($AL$6:$AL$66,MATCH(0,COUNTIF($AM$4:AM45,$AL$6:$AL$66),0),1),"")</f>
        <v/>
      </c>
      <c r="AN46" s="277" t="str">
        <f>IF(AND('1.4 Analyse &amp; Synthese'!V47=1,'1.4 Analyse &amp; Synthese'!F47="Methode"),'1.4 Analyse &amp; Synthese'!I47&amp;CHAR(13)&amp;"("&amp;'(Codierung)'!$C$3&amp;" - "&amp;'1.4 Analyse &amp; Synthese'!C47&amp;")","")</f>
        <v/>
      </c>
      <c r="AO46" s="387" t="str">
        <f t="array" ref="AO46">_xlfn.IFNA(INDEX($AN$6:$AN$66,MATCH(0,COUNTIF($AO$4:AO45,$AN$6:$AN$66),0),1),"")</f>
        <v/>
      </c>
      <c r="AP46" s="277" t="str">
        <f>IF(AND('1.4 Analyse &amp; Synthese'!V47=1,'1.4 Analyse &amp; Synthese'!F47="Werkzeug"),'1.4 Analyse &amp; Synthese'!I47&amp;CHAR(13)&amp;"("&amp;'(Codierung)'!$C$4&amp;" - "&amp;'1.4 Analyse &amp; Synthese'!C47&amp;")","")</f>
        <v/>
      </c>
      <c r="AQ46" s="387" t="str">
        <f t="array" ref="AQ46">_xlfn.IFNA(INDEX($AP$6:$AP$66,MATCH(0,COUNTIF($AQ$4:AQ45,$AP$6:$AP$66),0),1),"")</f>
        <v/>
      </c>
      <c r="AS46" s="277" t="str">
        <f>IF(AND('1.4 Analyse &amp; Synthese'!W47=1,'1.4 Analyse &amp; Synthese'!F47="Empfehlung"),'1.4 Analyse &amp; Synthese'!I47&amp;CHAR(13)&amp;"("&amp;'(Codierung)'!$C$2&amp;" - "&amp;'1.4 Analyse &amp; Synthese'!C47&amp;")","")</f>
        <v/>
      </c>
      <c r="AT46" s="387" t="str">
        <f t="array" ref="AT46">_xlfn.IFNA(INDEX($AS$6:$AS$66,MATCH(0,COUNTIF($AT$4:AT45,$AS$6:$AS$66),0),1),"")</f>
        <v/>
      </c>
      <c r="AU46" s="277" t="str">
        <f>IF(AND('1.4 Analyse &amp; Synthese'!W47=1,'1.4 Analyse &amp; Synthese'!F47="Methode"),'1.4 Analyse &amp; Synthese'!I47&amp;CHAR(13)&amp;"("&amp;'(Codierung)'!$C$3&amp;" - "&amp;'1.4 Analyse &amp; Synthese'!C47&amp;")","")</f>
        <v/>
      </c>
      <c r="AV46" s="387" t="str">
        <f t="array" ref="AV46">_xlfn.IFNA(INDEX($AU$6:$AU$66,MATCH(0,COUNTIF($AV$4:AV45,$AU$6:$AU$66),0),1),"")</f>
        <v/>
      </c>
      <c r="AW46" s="277" t="str">
        <f>IF(AND('1.4 Analyse &amp; Synthese'!W47=1,'1.4 Analyse &amp; Synthese'!F47="Werkzeug"),'1.4 Analyse &amp; Synthese'!I47&amp;CHAR(13)&amp;"("&amp;'(Codierung)'!$C$4&amp;" - "&amp;'1.4 Analyse &amp; Synthese'!C47&amp;")","")</f>
        <v/>
      </c>
      <c r="AX46" s="387" t="str">
        <f t="array" ref="AX46">_xlfn.IFNA(INDEX($AW$6:$AW$66,MATCH(0,COUNTIF($AX$4:AX45,$AW$6:$AW$66),0),1),"")</f>
        <v/>
      </c>
      <c r="AZ46" s="277" t="str">
        <f>IF(AND('1.4 Analyse &amp; Synthese'!X47=1,'1.4 Analyse &amp; Synthese'!F47="Empfehlung"),'1.4 Analyse &amp; Synthese'!I47&amp;CHAR(13)&amp;"("&amp;'(Codierung)'!$C$2&amp;" - "&amp;'1.4 Analyse &amp; Synthese'!C47&amp;")","")</f>
        <v/>
      </c>
      <c r="BA46" s="387" t="str">
        <f t="array" ref="BA46">_xlfn.IFNA(INDEX($AZ$6:$AZ$66,MATCH(0,COUNTIF($BA$4:BA45,$AZ$6:$AZ$66),0),1),"")</f>
        <v/>
      </c>
      <c r="BB46" s="277" t="str">
        <f>IF(AND('1.4 Analyse &amp; Synthese'!X47=1,'1.4 Analyse &amp; Synthese'!F47="Methode"),'1.4 Analyse &amp; Synthese'!I47&amp;CHAR(13)&amp;"("&amp;'(Codierung)'!$C$3&amp;" - "&amp;'1.4 Analyse &amp; Synthese'!C47&amp;")","")</f>
        <v/>
      </c>
      <c r="BC46" s="387" t="str">
        <f t="array" ref="BC46">_xlfn.IFNA(INDEX($BB$6:$BB$66,MATCH(0,COUNTIF($BC$4:BC45,$BB$6:$BB$66),0),1),"")</f>
        <v/>
      </c>
      <c r="BD46" s="277" t="str">
        <f>IF(AND('1.4 Analyse &amp; Synthese'!X47=1,'1.4 Analyse &amp; Synthese'!F47="Werkzeug"),'1.4 Analyse &amp; Synthese'!I47&amp;CHAR(13)&amp;"("&amp;'(Codierung)'!$C$4&amp;" - "&amp;'1.4 Analyse &amp; Synthese'!C47&amp;")","")</f>
        <v>Open-Source Plattform_x000D_(Werkzeug - Zangara)</v>
      </c>
      <c r="BE46" s="387" t="str">
        <f t="array" ref="BE46">_xlfn.IFNA(INDEX($BD$6:$BD$66,MATCH(0,COUNTIF($BE$4:BE45,$BD$6:$BD$66),0),1),"")</f>
        <v/>
      </c>
      <c r="BG46" s="277" t="str">
        <f>IF(AND('1.4 Analyse &amp; Synthese'!Y47=1,'1.4 Analyse &amp; Synthese'!F47="Empfehlung"),'1.4 Analyse &amp; Synthese'!I47&amp;CHAR(13)&amp;"("&amp;'(Codierung)'!$C$2&amp;" - "&amp;'1.4 Analyse &amp; Synthese'!C47&amp;")","")</f>
        <v/>
      </c>
      <c r="BH46" s="387" t="str">
        <f t="array" ref="BH46">_xlfn.IFNA(INDEX($BG$6:$BG$66,MATCH(0,COUNTIF($BH$4:BH45,$BG$6:$BG$66),0),1),"")</f>
        <v/>
      </c>
      <c r="BI46" s="277" t="str">
        <f>IF(AND('1.4 Analyse &amp; Synthese'!Y47=1,'1.4 Analyse &amp; Synthese'!F47="Methode"),'1.4 Analyse &amp; Synthese'!I47&amp;CHAR(13)&amp;"("&amp;'(Codierung)'!$C$3&amp;" - "&amp;'1.4 Analyse &amp; Synthese'!C47&amp;")","")</f>
        <v/>
      </c>
      <c r="BJ46" s="387" t="str">
        <f t="array" ref="BJ46">_xlfn.IFNA(INDEX($BI$6:$BI$66,MATCH(0,COUNTIF($BJ$4:BJ45,$BI$6:$BI$66),0),1),"")</f>
        <v/>
      </c>
      <c r="BK46" s="277" t="str">
        <f>IF(AND('1.4 Analyse &amp; Synthese'!Y47=1,'1.4 Analyse &amp; Synthese'!F47="Werkzeug"),'1.4 Analyse &amp; Synthese'!I47&amp;CHAR(13)&amp;"("&amp;'(Codierung)'!$C$4&amp;" - "&amp;'1.4 Analyse &amp; Synthese'!C47&amp;")","")</f>
        <v/>
      </c>
      <c r="BL46" s="387" t="str">
        <f t="array" ref="BL46">_xlfn.IFNA(INDEX($BK$6:$BK$66,MATCH(0,COUNTIF($BL$4:BL45,$BK$6:$BK$66),0),1),"")</f>
        <v/>
      </c>
      <c r="BN46" s="277" t="str">
        <f>IF(AND('1.4 Analyse &amp; Synthese'!Z47=1,'1.4 Analyse &amp; Synthese'!F47="Empfehlung"),'1.4 Analyse &amp; Synthese'!I47&amp;CHAR(13)&amp;"("&amp;'(Codierung)'!$C$2&amp;" - "&amp;'1.4 Analyse &amp; Synthese'!C47&amp;")","")</f>
        <v/>
      </c>
      <c r="BO46" s="387" t="str">
        <f t="array" ref="BO46">_xlfn.IFNA(INDEX($BN$6:$BN$66,MATCH(0,COUNTIF($BO$4:BO45,$BN$6:$BN$66),0),1),"")</f>
        <v/>
      </c>
      <c r="BP46" s="277" t="str">
        <f>IF(AND('1.4 Analyse &amp; Synthese'!Z47=1,'1.4 Analyse &amp; Synthese'!F47="Methode"),'1.4 Analyse &amp; Synthese'!I47&amp;CHAR(13)&amp;"("&amp;'(Codierung)'!$C$3&amp;" - "&amp;'1.4 Analyse &amp; Synthese'!C47&amp;")","")</f>
        <v/>
      </c>
      <c r="BQ46" s="387" t="str">
        <f t="array" ref="BQ46">_xlfn.IFNA(INDEX($BP$6:$BP$66,MATCH(0,COUNTIF($BQ$4:BQ45,$BP$6:$BP$66),0),1),"")</f>
        <v/>
      </c>
      <c r="BR46" s="277" t="str">
        <f>IF(AND('1.4 Analyse &amp; Synthese'!Z47=1,'1.4 Analyse &amp; Synthese'!F47="Werkzeug"),'1.4 Analyse &amp; Synthese'!I47&amp;CHAR(13)&amp;"("&amp;'(Codierung)'!$C$4&amp;" - "&amp;'1.4 Analyse &amp; Synthese'!C47&amp;")","")</f>
        <v>Open-Source Plattform_x000D_(Werkzeug - Zangara)</v>
      </c>
      <c r="BS46" s="387" t="str">
        <f t="array" ref="BS46">_xlfn.IFNA(INDEX($BR$6:$BR$66,MATCH(0,COUNTIF($BS$4:BS45,$BR$6:$BR$66),0),1),"")</f>
        <v/>
      </c>
      <c r="BU46" s="277" t="str">
        <f>IF(AND('1.4 Analyse &amp; Synthese'!AA47=1,'1.4 Analyse &amp; Synthese'!F47="Empfehlung"),'1.4 Analyse &amp; Synthese'!I47&amp;CHAR(13)&amp;"("&amp;'(Codierung)'!$C$2&amp;" - "&amp;'1.4 Analyse &amp; Synthese'!C47&amp;")","")</f>
        <v/>
      </c>
      <c r="BV46" s="387" t="str">
        <f t="array" ref="BV46">_xlfn.IFNA(INDEX($BU$6:$BU$66,MATCH(0,COUNTIF($BV$4:BV45,$BU$6:$BU$66),0),1),"")</f>
        <v/>
      </c>
      <c r="BW46" s="277" t="str">
        <f>IF(AND('1.4 Analyse &amp; Synthese'!AA47=1,'1.4 Analyse &amp; Synthese'!F47="Methode"),'1.4 Analyse &amp; Synthese'!I47&amp;CHAR(13)&amp;"("&amp;'(Codierung)'!$C$3&amp;" - "&amp;'1.4 Analyse &amp; Synthese'!C47&amp;")","")</f>
        <v/>
      </c>
      <c r="BX46" s="387" t="str">
        <f t="array" ref="BX46">_xlfn.IFNA(INDEX($BW$6:$BW$66,MATCH(0,COUNTIF($BX$4:BX45,$BW$6:$BW$66),0),1),"")</f>
        <v/>
      </c>
      <c r="BY46" s="277" t="str">
        <f>IF(AND('1.4 Analyse &amp; Synthese'!AA47=1,'1.4 Analyse &amp; Synthese'!F47="Werkzeug"),'1.4 Analyse &amp; Synthese'!I47&amp;CHAR(13)&amp;"("&amp;'(Codierung)'!$C$4&amp;" - "&amp;'1.4 Analyse &amp; Synthese'!C47&amp;")","")</f>
        <v/>
      </c>
      <c r="BZ46" s="387" t="str">
        <f t="array" ref="BZ46">_xlfn.IFNA(INDEX($BY$6:$BY$66,MATCH(0,COUNTIF($BZ$4:BZ45,$BY$6:$BY$66),0),1),"")</f>
        <v/>
      </c>
      <c r="CB46" s="277" t="str">
        <f>IF(AND('1.4 Analyse &amp; Synthese'!AB47=1,'1.4 Analyse &amp; Synthese'!F47="Empfehlung"),'1.4 Analyse &amp; Synthese'!I47&amp;CHAR(13)&amp;"("&amp;'(Codierung)'!$C$2&amp;" - "&amp;'1.4 Analyse &amp; Synthese'!C47&amp;")","")</f>
        <v/>
      </c>
      <c r="CC46" s="387" t="str">
        <f t="array" ref="CC46">_xlfn.IFNA(INDEX($CB$6:$CB$66,MATCH(0,COUNTIF($CC$4:CC45,$CB$6:$CB$66),0),1),"")</f>
        <v/>
      </c>
      <c r="CD46" s="277" t="str">
        <f>IF(AND('1.4 Analyse &amp; Synthese'!AB47=1,'1.4 Analyse &amp; Synthese'!F47="Methode"),'1.4 Analyse &amp; Synthese'!I47&amp;CHAR(13)&amp;"("&amp;'(Codierung)'!$C$3&amp;" - "&amp;'1.4 Analyse &amp; Synthese'!C47&amp;")","")</f>
        <v/>
      </c>
      <c r="CE46" s="387" t="str">
        <f t="array" ref="CE46">_xlfn.IFNA(INDEX($CD$6:$CD$66,MATCH(0,COUNTIF($CE$4:CE45,$CD$6:$CD$66),0),1),"")</f>
        <v/>
      </c>
      <c r="CF46" s="277" t="str">
        <f>IF(AND('1.4 Analyse &amp; Synthese'!AB47=1,'1.4 Analyse &amp; Synthese'!F47="Werkzeug"),'1.4 Analyse &amp; Synthese'!I47&amp;CHAR(13)&amp;"("&amp;'(Codierung)'!$C$4&amp;" - "&amp;'1.4 Analyse &amp; Synthese'!C47&amp;")","")</f>
        <v/>
      </c>
      <c r="CG46" s="387" t="str">
        <f t="array" ref="CG46">_xlfn.IFNA(INDEX($CF$6:$CF$66,MATCH(0,COUNTIF($CG$4:CG45,$CF$6:$CF$66),0),1),"")</f>
        <v/>
      </c>
      <c r="CI46" s="277" t="str">
        <f>IF(AND('1.4 Analyse &amp; Synthese'!AC47=1,'1.4 Analyse &amp; Synthese'!F47="Empfehlung"),'1.4 Analyse &amp; Synthese'!I47&amp;CHAR(13)&amp;"("&amp;'(Codierung)'!$C$2&amp;" - "&amp;'1.4 Analyse &amp; Synthese'!C47&amp;")","")</f>
        <v/>
      </c>
      <c r="CJ46" s="387" t="str">
        <f t="array" ref="CJ46">_xlfn.IFNA(INDEX($CI$6:$CI$66,MATCH(0,COUNTIF($CJ$4:CJ45,$CI$6:$CI$66),0),1),"")</f>
        <v/>
      </c>
      <c r="CK46" s="277" t="str">
        <f>IF(AND('1.4 Analyse &amp; Synthese'!AC47=1,'1.4 Analyse &amp; Synthese'!F47="Methode"),'1.4 Analyse &amp; Synthese'!I47&amp;CHAR(13)&amp;"("&amp;'(Codierung)'!$C$3&amp;" - "&amp;'1.4 Analyse &amp; Synthese'!C47&amp;")","")</f>
        <v/>
      </c>
      <c r="CL46" s="387" t="str">
        <f t="array" ref="CL46">_xlfn.IFNA(INDEX($CK$6:$CK$66,MATCH(0,COUNTIF($CL$4:CL45,$CK$6:$CK$66),0),1),"")</f>
        <v/>
      </c>
      <c r="CM46" s="277" t="str">
        <f>IF(AND('1.4 Analyse &amp; Synthese'!AC47=1,'1.4 Analyse &amp; Synthese'!F47="Werkzeug"),'1.4 Analyse &amp; Synthese'!I47&amp;CHAR(13)&amp;"("&amp;'(Codierung)'!$C$4&amp;" - "&amp;'1.4 Analyse &amp; Synthese'!C47&amp;")","")</f>
        <v/>
      </c>
      <c r="CN46" s="387" t="str">
        <f t="array" ref="CN46">_xlfn.IFNA(INDEX($CM$6:$CM$66,MATCH(0,COUNTIF($CN$4:CN45,$CM$6:$CM$66),0),1),"")</f>
        <v/>
      </c>
      <c r="CP46" s="277" t="str">
        <f>IF(AND('1.4 Analyse &amp; Synthese'!AD47=1,'1.4 Analyse &amp; Synthese'!F47="Empfehlung"),'1.4 Analyse &amp; Synthese'!I47&amp;CHAR(13)&amp;"("&amp;'(Codierung)'!$C$2&amp;" - "&amp;'1.4 Analyse &amp; Synthese'!C47&amp;")","")</f>
        <v/>
      </c>
      <c r="CQ46" s="387" t="str">
        <f t="array" ref="CQ46">_xlfn.IFNA(INDEX($CP$6:$CP$66,MATCH(0,COUNTIF($CQ$4:CQ45,$CP$6:$CP$66),0),1),"")</f>
        <v/>
      </c>
      <c r="CR46" s="277" t="str">
        <f>IF(AND('1.4 Analyse &amp; Synthese'!AD47=1,'1.4 Analyse &amp; Synthese'!F47="Methode"),'1.4 Analyse &amp; Synthese'!I47&amp;CHAR(13)&amp;"("&amp;'(Codierung)'!$C$3&amp;" - "&amp;'1.4 Analyse &amp; Synthese'!C47&amp;")","")</f>
        <v/>
      </c>
      <c r="CS46" s="387" t="str">
        <f t="array" ref="CS46">_xlfn.IFNA(INDEX($CR$6:$CR$66,MATCH(0,COUNTIF($CS$4:CS45,$CR$6:$CR$66),0),1),"")</f>
        <v/>
      </c>
      <c r="CT46" s="277" t="str">
        <f>IF(AND('1.4 Analyse &amp; Synthese'!AD47=1,'1.4 Analyse &amp; Synthese'!F47="Werkzeug"),'1.4 Analyse &amp; Synthese'!I47&amp;CHAR(13)&amp;"("&amp;'(Codierung)'!$C$4&amp;" - "&amp;'1.4 Analyse &amp; Synthese'!C47&amp;")","")</f>
        <v/>
      </c>
      <c r="CU46" s="387" t="str">
        <f t="array" ref="CU46">_xlfn.IFNA(INDEX($CT$6:$CT$66,MATCH(0,COUNTIF($CU$4:CU45,$CT$6:$CT$66),0),1),"")</f>
        <v/>
      </c>
      <c r="CW46" s="277" t="str">
        <f>IF(AND('1.4 Analyse &amp; Synthese'!AE47=1,'1.4 Analyse &amp; Synthese'!F47="Empfehlung"),'1.4 Analyse &amp; Synthese'!I47&amp;CHAR(13)&amp;"("&amp;'(Codierung)'!$C$2&amp;" - "&amp;'1.4 Analyse &amp; Synthese'!C47&amp;")","")</f>
        <v/>
      </c>
      <c r="CX46" s="387" t="str">
        <f t="array" ref="CX46">_xlfn.IFNA(INDEX($CW$6:$CW$66,MATCH(0,COUNTIF($CX$4:CX45,$CW$6:$CW$66),0),1),"")</f>
        <v/>
      </c>
      <c r="CY46" s="277" t="str">
        <f>IF(AND('1.4 Analyse &amp; Synthese'!AE47=1,'1.4 Analyse &amp; Synthese'!F47="Methode"),'1.4 Analyse &amp; Synthese'!I47&amp;CHAR(13)&amp;"("&amp;'(Codierung)'!$C$3&amp;" - "&amp;'1.4 Analyse &amp; Synthese'!C47&amp;")","")</f>
        <v/>
      </c>
      <c r="CZ46" s="387" t="str">
        <f t="array" ref="CZ46">_xlfn.IFNA(INDEX($CY$6:$CY$66,MATCH(0,COUNTIF($CZ$4:CZ45,$CY$6:$CY$66),0),1),"")</f>
        <v/>
      </c>
      <c r="DA46" s="277" t="str">
        <f>IF(AND('1.4 Analyse &amp; Synthese'!AE47=1,'1.4 Analyse &amp; Synthese'!F47="Werkzeug"),'1.4 Analyse &amp; Synthese'!I47&amp;CHAR(13)&amp;"("&amp;'(Codierung)'!$C$4&amp;" - "&amp;'1.4 Analyse &amp; Synthese'!C47&amp;")","")</f>
        <v>Open-Source Plattform_x000D_(Werkzeug - Zangara)</v>
      </c>
      <c r="DB46" s="387" t="str">
        <f t="array" ref="DB46">_xlfn.IFNA(INDEX($DA$6:$DA$66,MATCH(0,COUNTIF($DB$4:DB45,$DA$6:$DA$66),0),1),"")</f>
        <v/>
      </c>
      <c r="DD46" s="277" t="str">
        <f>IF(AND('1.4 Analyse &amp; Synthese'!AF47=1,'1.4 Analyse &amp; Synthese'!F47="Empfehlung"),'1.4 Analyse &amp; Synthese'!I47&amp;CHAR(13)&amp;"("&amp;'(Codierung)'!$C$2&amp;" - "&amp;'1.4 Analyse &amp; Synthese'!C47&amp;")","")</f>
        <v/>
      </c>
      <c r="DE46" s="387" t="str">
        <f t="array" ref="DE46">_xlfn.IFNA(INDEX($DD$6:$DD$66,MATCH(0,COUNTIF($DE$4:DE45,$DD$6:$DD$66),0),1),"")</f>
        <v/>
      </c>
      <c r="DF46" s="277" t="str">
        <f>IF(AND('1.4 Analyse &amp; Synthese'!AF47=1,'1.4 Analyse &amp; Synthese'!F47="Methode"),'1.4 Analyse &amp; Synthese'!I47&amp;CHAR(13)&amp;"("&amp;'(Codierung)'!$C$3&amp;" - "&amp;'1.4 Analyse &amp; Synthese'!C47&amp;")","")</f>
        <v/>
      </c>
      <c r="DG46" s="387" t="str">
        <f t="array" ref="DG46">_xlfn.IFNA(INDEX($DF$6:$DF$66,MATCH(0,COUNTIF($DG$4:DG45,$DF$6:$DF$66),0),1),"")</f>
        <v/>
      </c>
      <c r="DH46" s="277" t="str">
        <f>IF(AND('1.4 Analyse &amp; Synthese'!AF47=1,'1.4 Analyse &amp; Synthese'!F47="Werkzeug"),'1.4 Analyse &amp; Synthese'!I47&amp;CHAR(13)&amp;"("&amp;'(Codierung)'!$C$4&amp;" - "&amp;'1.4 Analyse &amp; Synthese'!C47&amp;")","")</f>
        <v/>
      </c>
      <c r="DI46" s="387" t="str">
        <f t="array" ref="DI46">_xlfn.IFNA(INDEX($DH$6:$DH$66,MATCH(0,COUNTIF($DI$4:DI45,$DH$6:$DH$66),0),1),"")</f>
        <v/>
      </c>
      <c r="DK46" s="277" t="str">
        <f>IF(AND('1.4 Analyse &amp; Synthese'!AG47=1,'1.4 Analyse &amp; Synthese'!F47="Empfehlung"),'1.4 Analyse &amp; Synthese'!I47&amp;CHAR(13)&amp;"("&amp;'(Codierung)'!$C$2&amp;" - "&amp;'1.4 Analyse &amp; Synthese'!C47&amp;")","")</f>
        <v/>
      </c>
      <c r="DL46" s="387" t="str">
        <f t="array" ref="DL46">_xlfn.IFNA(INDEX($DK$6:$DK$66,MATCH(0,COUNTIF($DL$4:DL45,$DK$6:$DK$66),0),1),"")</f>
        <v/>
      </c>
      <c r="DM46" s="277" t="str">
        <f>IF(AND('1.4 Analyse &amp; Synthese'!AG47=1,'1.4 Analyse &amp; Synthese'!F47="Methode"),'1.4 Analyse &amp; Synthese'!I47&amp;CHAR(13)&amp;"("&amp;'(Codierung)'!$C$3&amp;" - "&amp;'1.4 Analyse &amp; Synthese'!C47&amp;")","")</f>
        <v/>
      </c>
      <c r="DN46" s="387" t="str">
        <f t="array" ref="DN46">_xlfn.IFNA(INDEX($DM$6:$DM$66,MATCH(0,COUNTIF($DN$4:DN45,$DM$6:$DM$66),0),1),"")</f>
        <v/>
      </c>
      <c r="DO46" s="277" t="str">
        <f>IF(AND('1.4 Analyse &amp; Synthese'!AG47=1,'1.4 Analyse &amp; Synthese'!F47="Werkzeug"),'1.4 Analyse &amp; Synthese'!I47&amp;CHAR(13)&amp;"("&amp;'(Codierung)'!$C$4&amp;" - "&amp;'1.4 Analyse &amp; Synthese'!C47&amp;")","")</f>
        <v/>
      </c>
      <c r="DP46" s="387" t="str">
        <f t="array" ref="DP46">_xlfn.IFNA(INDEX($DO$6:$DO$66,MATCH(0,COUNTIF($DP$4:DP45,$DO$6:$DO$66),0),1),"")</f>
        <v/>
      </c>
      <c r="DR46" s="277" t="str">
        <f>IF(AND('1.4 Analyse &amp; Synthese'!AH47=1,'1.4 Analyse &amp; Synthese'!F47="Empfehlung"),'1.4 Analyse &amp; Synthese'!I47&amp;CHAR(13)&amp;"("&amp;'(Codierung)'!$C$2&amp;" - "&amp;'1.4 Analyse &amp; Synthese'!C47&amp;")","")</f>
        <v/>
      </c>
      <c r="DS46" s="387" t="str">
        <f t="array" ref="DS46">_xlfn.IFNA(INDEX($DR$6:$DR$66,MATCH(0,COUNTIF($DS$4:DS45,$DR$6:$DR$66),0),1),"")</f>
        <v/>
      </c>
      <c r="DT46" s="277" t="str">
        <f>IF(AND('1.4 Analyse &amp; Synthese'!AH47=1,'1.4 Analyse &amp; Synthese'!F47="Methode"),'1.4 Analyse &amp; Synthese'!I47&amp;CHAR(13)&amp;"("&amp;'(Codierung)'!$C$3&amp;" - "&amp;'1.4 Analyse &amp; Synthese'!C47&amp;")","")</f>
        <v/>
      </c>
      <c r="DU46" s="387" t="str">
        <f t="array" ref="DU46">_xlfn.IFNA(INDEX($DT$6:$DT$66,MATCH(0,COUNTIF($DU$4:DU45,$DT$6:$DT$66),0),1),"")</f>
        <v/>
      </c>
      <c r="DV46" s="277" t="str">
        <f>IF(AND('1.4 Analyse &amp; Synthese'!AH47=1,'1.4 Analyse &amp; Synthese'!F47="Werkzeug"),'1.4 Analyse &amp; Synthese'!I47&amp;CHAR(13)&amp;"("&amp;'(Codierung)'!$C$4&amp;" - "&amp;'1.4 Analyse &amp; Synthese'!C47&amp;")","")</f>
        <v/>
      </c>
      <c r="DW46" s="387" t="str">
        <f t="array" ref="DW46">_xlfn.IFNA(INDEX($DV$6:$DV$66,MATCH(0,COUNTIF($DW$4:DW45,$DV$6:$DV$66),0),1),"")</f>
        <v/>
      </c>
      <c r="DY46" s="277" t="str">
        <f>IF(AND('1.4 Analyse &amp; Synthese'!AI47=1,'1.4 Analyse &amp; Synthese'!F47="Empfehlung"),'1.4 Analyse &amp; Synthese'!I47&amp;CHAR(13)&amp;"("&amp;'(Codierung)'!$C$2&amp;" - "&amp;'1.4 Analyse &amp; Synthese'!C47&amp;")","")</f>
        <v/>
      </c>
      <c r="DZ46" s="387" t="str">
        <f t="array" ref="DZ46">_xlfn.IFNA(INDEX($DY$6:$DY$66,MATCH(0,COUNTIF($DZ$4:DZ45,$DY$6:$DY$66),0),1),"")</f>
        <v/>
      </c>
      <c r="EA46" s="277" t="str">
        <f>IF(AND('1.4 Analyse &amp; Synthese'!AI47=1,'1.4 Analyse &amp; Synthese'!F47="Methode"),'1.4 Analyse &amp; Synthese'!I47&amp;CHAR(13)&amp;"("&amp;'(Codierung)'!$C$3&amp;" - "&amp;'1.4 Analyse &amp; Synthese'!C47&amp;")","")</f>
        <v/>
      </c>
      <c r="EB46" s="387" t="str">
        <f t="array" ref="EB46">_xlfn.IFNA(INDEX($EA$6:$EA$66,MATCH(0,COUNTIF($EB$4:EB45,$EA$6:$EA$66),0),1),"")</f>
        <v/>
      </c>
      <c r="EC46" s="277" t="str">
        <f>IF(AND('1.4 Analyse &amp; Synthese'!AI47=1,'1.4 Analyse &amp; Synthese'!F47="Werkzeug"),'1.4 Analyse &amp; Synthese'!I47&amp;CHAR(13)&amp;"("&amp;'(Codierung)'!$C$4&amp;" - "&amp;'1.4 Analyse &amp; Synthese'!C47&amp;")","")</f>
        <v/>
      </c>
      <c r="ED46" s="277" t="str">
        <f t="array" ref="ED46">_xlfn.IFNA(INDEX($EC$6:$EC$66,MATCH(0,COUNTIF($ED$4:ED45,$EC$6:$EC$66),0),1),"")</f>
        <v/>
      </c>
      <c r="EF46" s="277" t="str">
        <f>IF(AND('1.4 Analyse &amp; Synthese'!AJ47=1,'1.4 Analyse &amp; Synthese'!F47="Empfehlung"),'1.4 Analyse &amp; Synthese'!I47&amp;CHAR(13)&amp;"("&amp;'(Codierung)'!$C$2&amp;" - "&amp;'1.4 Analyse &amp; Synthese'!C47&amp;")","")</f>
        <v/>
      </c>
      <c r="EG46" s="277" t="str">
        <f t="array" ref="EG46">_xlfn.IFNA(INDEX($EF$6:$EF$66,MATCH(0,COUNTIF($EG$4:EG45,$EF$6:$EF$66),0),1),"")</f>
        <v/>
      </c>
      <c r="EH46" s="277" t="str">
        <f>IF(AND('1.4 Analyse &amp; Synthese'!AJ47=1,'1.4 Analyse &amp; Synthese'!F47="Methode"),'1.4 Analyse &amp; Synthese'!I47&amp;CHAR(13)&amp;"("&amp;'(Codierung)'!$C$3&amp;" - "&amp;'1.4 Analyse &amp; Synthese'!C47&amp;")","")</f>
        <v/>
      </c>
      <c r="EI46" s="387" t="str">
        <f t="array" ref="EI46">_xlfn.IFNA(INDEX($EH$6:$EH$66,MATCH(0,COUNTIF($EI$4:EI45,$EH$6:$EH$66),0),1),"")</f>
        <v/>
      </c>
      <c r="EJ46" s="277" t="str">
        <f>IF(AND('1.4 Analyse &amp; Synthese'!AJ47=1,'1.4 Analyse &amp; Synthese'!F47="Werkzeug"),'1.4 Analyse &amp; Synthese'!I47&amp;CHAR(13)&amp;"("&amp;'(Codierung)'!$C$4&amp;" - "&amp;'1.4 Analyse &amp; Synthese'!C47&amp;")","")</f>
        <v/>
      </c>
      <c r="EK46" s="387" t="str">
        <f t="array" ref="EK46">_xlfn.IFNA(INDEX($EJ$6:$EJ$66,MATCH(0,COUNTIF($EK$4:EK45,$EJ$6:$EJ$66),0),1),"")</f>
        <v/>
      </c>
      <c r="EN46" s="222" t="str">
        <f t="shared" si="60"/>
        <v/>
      </c>
      <c r="EO46" s="277" t="str">
        <f t="shared" si="61"/>
        <v/>
      </c>
      <c r="EP46" s="277" t="str">
        <f t="shared" si="62"/>
        <v/>
      </c>
      <c r="EQ46" s="277" t="str">
        <f>ZahlenInBereich(Tabelle1[[Empfehlung]:[Werkzeug]],ROW()-5)</f>
        <v/>
      </c>
      <c r="ER46" s="277" t="str">
        <f t="shared" si="63"/>
        <v/>
      </c>
      <c r="ES46" s="277" t="str">
        <f t="shared" si="64"/>
        <v/>
      </c>
      <c r="ET46" s="277" t="str">
        <f t="shared" si="65"/>
        <v/>
      </c>
      <c r="EU46" s="277" t="str">
        <f>ZahlenInBereich(Tabelle1[[Empfehlung2]:[Werkzeug4]],ROW()-5)</f>
        <v/>
      </c>
      <c r="EV46" s="277" t="str">
        <f t="shared" si="66"/>
        <v/>
      </c>
      <c r="EW46" s="277" t="str">
        <f t="shared" si="67"/>
        <v/>
      </c>
      <c r="EX46" s="277" t="str">
        <f t="shared" si="68"/>
        <v/>
      </c>
      <c r="EY46" s="277" t="str">
        <f>ZahlenInBereich(Tabelle1[[Empfehlung6]:[Werkzeug8]],ROW()-5)</f>
        <v/>
      </c>
      <c r="EZ46" s="277" t="str">
        <f t="shared" si="69"/>
        <v/>
      </c>
      <c r="FA46" s="277" t="str">
        <f t="shared" si="70"/>
        <v/>
      </c>
      <c r="FB46" s="277" t="str">
        <f t="shared" si="71"/>
        <v/>
      </c>
      <c r="FC46" s="277" t="str">
        <f>ZahlenInBereich(Tabelle1[[Empfehlung10]:[Werkzeug12]],ROW()-5)</f>
        <v/>
      </c>
      <c r="FD46" s="277" t="str">
        <f t="shared" si="72"/>
        <v/>
      </c>
      <c r="FE46" s="277" t="str">
        <f t="shared" si="73"/>
        <v/>
      </c>
      <c r="FF46" s="277" t="str">
        <f t="shared" si="74"/>
        <v/>
      </c>
      <c r="FG46" s="277" t="str">
        <f>ZahlenInBereich(Tabelle1[[Empfehlung14]:[Werkzeug16]],ROW()-5)</f>
        <v/>
      </c>
      <c r="FH46" s="277" t="str">
        <f t="shared" si="75"/>
        <v/>
      </c>
      <c r="FI46" s="277" t="str">
        <f t="shared" si="76"/>
        <v/>
      </c>
      <c r="FJ46" s="277" t="str">
        <f t="shared" si="77"/>
        <v/>
      </c>
      <c r="FK46" s="277" t="str">
        <f>ZahlenInBereich(Tabelle1[[Empfehlung18]:[Werkzeug20]],ROW()-5)</f>
        <v/>
      </c>
      <c r="FL46" s="277" t="str">
        <f t="shared" si="78"/>
        <v/>
      </c>
      <c r="FM46" s="277" t="str">
        <f t="shared" si="79"/>
        <v/>
      </c>
      <c r="FN46" s="277" t="str">
        <f t="shared" si="80"/>
        <v/>
      </c>
      <c r="FO46" s="277" t="str">
        <f>ZahlenInBereich(Tabelle1[[Empfehlung22]:[Werkzeug24]],ROW()-5)</f>
        <v/>
      </c>
      <c r="FP46" s="277" t="str">
        <f t="shared" si="81"/>
        <v/>
      </c>
      <c r="FQ46" s="277" t="str">
        <f t="shared" si="82"/>
        <v/>
      </c>
      <c r="FR46" s="277" t="str">
        <f t="shared" si="83"/>
        <v/>
      </c>
      <c r="FS46" s="277" t="str">
        <f>ZahlenInBereich(Tabelle1[[Empfehlung26]:[Werkzeug28]],ROW()-5)</f>
        <v/>
      </c>
      <c r="FT46" s="277" t="str">
        <f t="shared" si="84"/>
        <v/>
      </c>
      <c r="FU46" s="277" t="str">
        <f t="shared" si="85"/>
        <v/>
      </c>
      <c r="FV46" s="277" t="str">
        <f t="shared" si="86"/>
        <v/>
      </c>
      <c r="FW46" s="277" t="str">
        <f>ZahlenInBereich(Tabelle1[[Empfehlung30]:[Werkzeug32]],ROW()-5)</f>
        <v/>
      </c>
      <c r="FX46" s="277" t="str">
        <f t="shared" si="87"/>
        <v/>
      </c>
      <c r="FY46" s="277" t="str">
        <f t="shared" si="88"/>
        <v/>
      </c>
      <c r="FZ46" s="277" t="str">
        <f t="shared" si="89"/>
        <v/>
      </c>
      <c r="GA46" s="277" t="str">
        <f>ZahlenInBereich(Tabelle1[[Empfehlung34]:[Werkzeug36]],ROW()-5)</f>
        <v/>
      </c>
      <c r="GB46" s="277" t="str">
        <f t="shared" si="90"/>
        <v/>
      </c>
      <c r="GC46" s="277" t="str">
        <f t="shared" si="91"/>
        <v/>
      </c>
      <c r="GD46" s="277" t="str">
        <f t="shared" si="92"/>
        <v/>
      </c>
      <c r="GE46" s="277" t="str">
        <f>ZahlenInBereich(Tabelle1[[Empfehlung38]:[Werkzeug40]],ROW()-5)</f>
        <v/>
      </c>
      <c r="GF46" s="277" t="str">
        <f t="shared" si="93"/>
        <v/>
      </c>
      <c r="GG46" s="277" t="str">
        <f t="shared" si="94"/>
        <v/>
      </c>
      <c r="GH46" s="277" t="str">
        <f t="shared" si="95"/>
        <v/>
      </c>
      <c r="GI46" s="277" t="str">
        <f>ZahlenInBereich(Tabelle1[[Empfehlung42]:[Werkzeug44]],ROW()-5)</f>
        <v/>
      </c>
      <c r="GJ46" s="277" t="str">
        <f t="shared" si="96"/>
        <v/>
      </c>
      <c r="GK46" s="277" t="str">
        <f t="shared" si="97"/>
        <v/>
      </c>
      <c r="GL46" s="277" t="str">
        <f t="shared" si="98"/>
        <v/>
      </c>
      <c r="GM46" s="277" t="str">
        <f>ZahlenInBereich(Tabelle1[[Empfehlung46]:[Werkzeug48]],ROW()-5)</f>
        <v/>
      </c>
      <c r="GN46" s="277" t="str">
        <f t="shared" si="99"/>
        <v/>
      </c>
      <c r="GO46" s="277" t="str">
        <f t="shared" si="100"/>
        <v/>
      </c>
      <c r="GP46" s="277" t="str">
        <f t="shared" si="101"/>
        <v/>
      </c>
      <c r="GQ46" s="277" t="str">
        <f>ZahlenInBereich(Tabelle1[[Empfehlung50]:[Werkzeug52]],ROW()-5)</f>
        <v/>
      </c>
      <c r="GR46" s="277" t="str">
        <f t="shared" si="102"/>
        <v/>
      </c>
      <c r="GS46" s="277" t="str">
        <f t="shared" si="103"/>
        <v/>
      </c>
      <c r="GT46" s="277" t="str">
        <f t="shared" si="104"/>
        <v/>
      </c>
      <c r="GU46" s="277" t="str">
        <f>ZahlenInBereich(Tabelle1[[Empfehlung54]:[Werkzeug56]],ROW()-5)</f>
        <v/>
      </c>
      <c r="GV46" s="277" t="str">
        <f t="shared" si="105"/>
        <v/>
      </c>
      <c r="GW46" s="277" t="str">
        <f t="shared" si="106"/>
        <v/>
      </c>
      <c r="GX46" s="277" t="str">
        <f t="shared" si="107"/>
        <v/>
      </c>
      <c r="GY46" s="277" t="str">
        <f>ZahlenInBereich(Tabelle1[[Empfehlung58]:[Werkzeug60]],ROW()-5)</f>
        <v/>
      </c>
      <c r="GZ46" s="277" t="str">
        <f t="shared" si="108"/>
        <v/>
      </c>
      <c r="HA46" s="277" t="str">
        <f t="shared" si="109"/>
        <v/>
      </c>
      <c r="HB46" s="277" t="str">
        <f t="shared" si="110"/>
        <v/>
      </c>
      <c r="HC46" s="277" t="str">
        <f>ZahlenInBereich(Tabelle1[[Empfehlung62]:[Werkzeug64]],ROW()-5)</f>
        <v/>
      </c>
      <c r="HD46" s="277" t="str">
        <f t="shared" si="111"/>
        <v/>
      </c>
      <c r="HE46" s="277" t="str">
        <f t="shared" si="112"/>
        <v/>
      </c>
      <c r="HF46" s="277" t="str">
        <f t="shared" si="113"/>
        <v/>
      </c>
      <c r="HG46" s="277" t="str">
        <f>ZahlenInBereich(Tabelle1[[Empfehlung66]:[Werkzeug68]],ROW()-5)</f>
        <v/>
      </c>
      <c r="HH46" s="277" t="str">
        <f t="shared" si="114"/>
        <v/>
      </c>
      <c r="HI46" s="277" t="str">
        <f t="shared" si="115"/>
        <v/>
      </c>
      <c r="HJ46" s="277" t="str">
        <f t="shared" si="116"/>
        <v/>
      </c>
      <c r="HK46" s="277" t="str">
        <f>ZahlenInBereich(Tabelle1[[Empfehlung70]:[Werkzeug72]],ROW()-5)</f>
        <v/>
      </c>
      <c r="HL46" s="277" t="str">
        <f t="shared" si="117"/>
        <v/>
      </c>
      <c r="HM46" s="277" t="str">
        <f t="shared" si="118"/>
        <v/>
      </c>
      <c r="HN46" s="277" t="str">
        <f t="shared" si="119"/>
        <v/>
      </c>
      <c r="HO46" s="277" t="str">
        <f>ZahlenInBereich(Tabelle1[[Empfehlung74]:[Werkzeug76]],ROW()-5)</f>
        <v/>
      </c>
    </row>
    <row r="47" spans="2:223" x14ac:dyDescent="0.2">
      <c r="B47" s="135">
        <f>'1.4 Analyse &amp; Synthese'!B48</f>
        <v>0</v>
      </c>
      <c r="C47" s="277" t="str">
        <f>IF(AND('1.4 Analyse &amp; Synthese'!Q48=1,'1.4 Analyse &amp; Synthese'!F48="Empfehlung"),'1.4 Analyse &amp; Synthese'!I48&amp;CHAR(13)&amp;"("&amp;'(Codierung)'!$C$2&amp;" - "&amp;'1.4 Analyse &amp; Synthese'!C48&amp;")","")</f>
        <v/>
      </c>
      <c r="D47" s="222" t="str">
        <f t="array" ref="D47">_xlfn.IFNA(INDEX($C$6:$C$66,MATCH(0,COUNTIF($D$4:D46,$C$6:$C$66),0),1),"")</f>
        <v/>
      </c>
      <c r="E47" s="277" t="str">
        <f>IF(AND('1.4 Analyse &amp; Synthese'!Q48=1,'1.4 Analyse &amp; Synthese'!F48="Methode"),'1.4 Analyse &amp; Synthese'!I48&amp;CHAR(13)&amp;"("&amp;'(Codierung)'!$C$3&amp;" - "&amp;'1.4 Analyse &amp; Synthese'!C48&amp;")","")</f>
        <v/>
      </c>
      <c r="F47" s="387" t="str">
        <f t="array" ref="F47">_xlfn.IFNA(INDEX($E$6:$E$66,MATCH(0,COUNTIF($F$4:F46,$E$6:$E$66),0),1),"")</f>
        <v/>
      </c>
      <c r="G47" s="277" t="str">
        <f>IF(AND('1.4 Analyse &amp; Synthese'!Q48=1,'1.4 Analyse &amp; Synthese'!F48="Werkzeug"),'1.4 Analyse &amp; Synthese'!I48&amp;CHAR(13)&amp;"("&amp;'(Codierung)'!$C$4&amp;" - "&amp;'1.4 Analyse &amp; Synthese'!C48&amp;")","")</f>
        <v/>
      </c>
      <c r="H47" s="387" t="str">
        <f t="array" ref="H47">_xlfn.IFNA(INDEX($G$6:$G$66,MATCH(0,COUNTIF($H$4:H46,$G$6:$G$66),0),1),"")</f>
        <v/>
      </c>
      <c r="J47" s="277" t="str">
        <f>IF(AND('1.4 Analyse &amp; Synthese'!R48=1,'1.4 Analyse &amp; Synthese'!F48="Empfehlung"),'1.4 Analyse &amp; Synthese'!I48&amp;CHAR(13)&amp;"("&amp;'(Codierung)'!$C$2&amp;" - "&amp;'1.4 Analyse &amp; Synthese'!C48&amp;")","")</f>
        <v/>
      </c>
      <c r="K47" s="387" t="str">
        <f t="array" ref="K47">_xlfn.IFNA(INDEX($J$6:$J$66,MATCH(0,COUNTIF($K$4:K46,$J$6:$J$66),0),1),"")</f>
        <v/>
      </c>
      <c r="L47" s="277" t="str">
        <f>IF(AND('1.4 Analyse &amp; Synthese'!R48=1,'1.4 Analyse &amp; Synthese'!F48="Methode"),'1.4 Analyse &amp; Synthese'!I48&amp;CHAR(13)&amp;"("&amp;'(Codierung)'!$C$3&amp;" - "&amp;'1.4 Analyse &amp; Synthese'!C48&amp;")","")</f>
        <v/>
      </c>
      <c r="M47" s="387" t="str">
        <f t="array" ref="M47">_xlfn.IFNA(INDEX($L$6:$L$66,MATCH(0,COUNTIF($M$4:M46,$L$6:$L$66),0),1),"")</f>
        <v/>
      </c>
      <c r="N47" s="277" t="str">
        <f>IF(AND('1.4 Analyse &amp; Synthese'!R48=1,'1.4 Analyse &amp; Synthese'!F48="Werkzeug"),'1.4 Analyse &amp; Synthese'!I48&amp;CHAR(13)&amp;"("&amp;'(Codierung)'!$C$4&amp;" - "&amp;'1.4 Analyse &amp; Synthese'!C48&amp;")","")</f>
        <v/>
      </c>
      <c r="O47" s="387" t="str">
        <f t="array" ref="O47">_xlfn.IFNA(INDEX($N$6:$N$66,MATCH(0,COUNTIF($O$4:O46,$N$6:$N$66),0),1),"")</f>
        <v/>
      </c>
      <c r="Q47" s="277" t="str">
        <f>IF(AND('1.4 Analyse &amp; Synthese'!S48=1,'1.4 Analyse &amp; Synthese'!F48="Empfehlung"),'1.4 Analyse &amp; Synthese'!I48&amp;CHAR(13)&amp;"("&amp;'(Codierung)'!$C$2&amp;" - "&amp;'1.4 Analyse &amp; Synthese'!C48&amp;")","")</f>
        <v/>
      </c>
      <c r="R47" s="387" t="str">
        <f t="array" ref="R47">_xlfn.IFNA(INDEX($Q$6:$Q$66,MATCH(0,COUNTIF($R$4:R46,$Q$6:$Q$66),0),1),"")</f>
        <v/>
      </c>
      <c r="S47" s="277" t="str">
        <f>IF(AND('1.4 Analyse &amp; Synthese'!S48=1,'1.4 Analyse &amp; Synthese'!F48="Methode"),'1.4 Analyse &amp; Synthese'!I48&amp;CHAR(13)&amp;"("&amp;'(Codierung)'!$C$3&amp;" - "&amp;'1.4 Analyse &amp; Synthese'!C48&amp;")","")</f>
        <v/>
      </c>
      <c r="T47" s="387" t="str">
        <f t="array" ref="T47">_xlfn.IFNA(INDEX($S$6:$S$66,MATCH(0,COUNTIF($T$4:T46,$S$6:$S$66),0),1),"")</f>
        <v/>
      </c>
      <c r="U47" s="277" t="str">
        <f>IF(AND('1.4 Analyse &amp; Synthese'!S48=1,'1.4 Analyse &amp; Synthese'!F48="Werkzeug"),'1.4 Analyse &amp; Synthese'!I48&amp;CHAR(13)&amp;"("&amp;'(Codierung)'!$C$4&amp;" - "&amp;'1.4 Analyse &amp; Synthese'!C48&amp;")","")</f>
        <v/>
      </c>
      <c r="V47" s="387" t="str">
        <f t="array" ref="V47">_xlfn.IFNA(INDEX($U$6:$U$66,MATCH(0,COUNTIF($V$4:V46,$U$6:$U$66),0),1),"")</f>
        <v/>
      </c>
      <c r="X47" s="277" t="str">
        <f>IF(AND('1.4 Analyse &amp; Synthese'!T48=1,'1.4 Analyse &amp; Synthese'!F48="Empfehlung"),'1.4 Analyse &amp; Synthese'!I48&amp;CHAR(13)&amp;"("&amp;'(Codierung)'!$C$2&amp;" - "&amp;'1.4 Analyse &amp; Synthese'!C48&amp;")","")</f>
        <v/>
      </c>
      <c r="Y47" s="387" t="str">
        <f t="array" ref="Y47">_xlfn.IFNA(INDEX($X$6:$X$66,MATCH(0,COUNTIF($Y$4:Y46,$X$6:$X$66),0),1),"")</f>
        <v/>
      </c>
      <c r="Z47" s="277" t="str">
        <f>IF(AND('1.4 Analyse &amp; Synthese'!T48=1,'1.4 Analyse &amp; Synthese'!F48="Methode"),'1.4 Analyse &amp; Synthese'!I48&amp;CHAR(13)&amp;"("&amp;'(Codierung)'!$C$3&amp;" - "&amp;'1.4 Analyse &amp; Synthese'!C48&amp;")","")</f>
        <v/>
      </c>
      <c r="AA47" s="387" t="str">
        <f t="array" ref="AA47">_xlfn.IFNA(INDEX($Z$6:$Z$66,MATCH(0,COUNTIF($AA$4:AA46,$Z$6:$Z$66),0),1),"")</f>
        <v/>
      </c>
      <c r="AB47" s="277" t="str">
        <f>IF(AND('1.4 Analyse &amp; Synthese'!T48=1,'1.4 Analyse &amp; Synthese'!F48="Werkzeug"),'1.4 Analyse &amp; Synthese'!I48&amp;CHAR(13)&amp;"("&amp;'(Codierung)'!$C$4&amp;" - "&amp;'1.4 Analyse &amp; Synthese'!C48&amp;")","")</f>
        <v/>
      </c>
      <c r="AC47" s="387" t="str">
        <f t="array" ref="AC47">_xlfn.IFNA(INDEX($AB$6:$AB$66,MATCH(0,COUNTIF($AC$4:AC46,$AB$6:$AB$66),0),1),"")</f>
        <v/>
      </c>
      <c r="AE47" s="277" t="str">
        <f>IF(AND('1.4 Analyse &amp; Synthese'!U48=1,'1.4 Analyse &amp; Synthese'!F48="Empfehlung"),'1.4 Analyse &amp; Synthese'!I48&amp;CHAR(13)&amp;"("&amp;'(Codierung)'!$C$2&amp;" - "&amp;'1.4 Analyse &amp; Synthese'!C48&amp;")","")</f>
        <v/>
      </c>
      <c r="AF47" s="387" t="str">
        <f t="array" ref="AF47">_xlfn.IFNA(INDEX($AE$6:$AE$66,MATCH(0,COUNTIF($AF$4:AF46,$AE$6:$AE$66),0),1),"")</f>
        <v/>
      </c>
      <c r="AG47" s="277" t="str">
        <f>IF(AND('1.4 Analyse &amp; Synthese'!U48=1,'1.4 Analyse &amp; Synthese'!F48="Methode"),'1.4 Analyse &amp; Synthese'!I48&amp;CHAR(13)&amp;"("&amp;'(Codierung)'!$C$3&amp;" - "&amp;'1.4 Analyse &amp; Synthese'!C48&amp;")","")</f>
        <v/>
      </c>
      <c r="AH47" s="387" t="str">
        <f t="array" ref="AH47">_xlfn.IFNA(INDEX($AG$6:$AG$66,MATCH(0,COUNTIF($AH$4:AH46,$AG$6:$AG$66),0),1),"")</f>
        <v/>
      </c>
      <c r="AI47" s="277" t="str">
        <f>IF(AND('1.4 Analyse &amp; Synthese'!U48=1,'1.4 Analyse &amp; Synthese'!F48="Werkzeug"),'1.4 Analyse &amp; Synthese'!I48&amp;CHAR(13)&amp;"("&amp;'(Codierung)'!$C$4&amp;" - "&amp;'1.4 Analyse &amp; Synthese'!C48&amp;")","")</f>
        <v/>
      </c>
      <c r="AJ47" s="387" t="str">
        <f t="array" ref="AJ47">_xlfn.IFNA(INDEX($AI$6:$AI$66,MATCH(0,COUNTIF($AJ$4:AJ46,$AI$6:$AI$66),0),1),"")</f>
        <v/>
      </c>
      <c r="AL47" s="277" t="str">
        <f>IF(AND('1.4 Analyse &amp; Synthese'!V48=1,'1.4 Analyse &amp; Synthese'!F48="Empfehlung"),'1.4 Analyse &amp; Synthese'!I48&amp;CHAR(13)&amp;"("&amp;'(Codierung)'!$C$2&amp;" - "&amp;'1.4 Analyse &amp; Synthese'!C48&amp;")","")</f>
        <v/>
      </c>
      <c r="AM47" s="387" t="str">
        <f t="array" ref="AM47">_xlfn.IFNA(INDEX($AL$6:$AL$66,MATCH(0,COUNTIF($AM$4:AM46,$AL$6:$AL$66),0),1),"")</f>
        <v/>
      </c>
      <c r="AN47" s="277" t="str">
        <f>IF(AND('1.4 Analyse &amp; Synthese'!V48=1,'1.4 Analyse &amp; Synthese'!F48="Methode"),'1.4 Analyse &amp; Synthese'!I48&amp;CHAR(13)&amp;"("&amp;'(Codierung)'!$C$3&amp;" - "&amp;'1.4 Analyse &amp; Synthese'!C48&amp;")","")</f>
        <v/>
      </c>
      <c r="AO47" s="387" t="str">
        <f t="array" ref="AO47">_xlfn.IFNA(INDEX($AN$6:$AN$66,MATCH(0,COUNTIF($AO$4:AO46,$AN$6:$AN$66),0),1),"")</f>
        <v/>
      </c>
      <c r="AP47" s="277" t="str">
        <f>IF(AND('1.4 Analyse &amp; Synthese'!V48=1,'1.4 Analyse &amp; Synthese'!F48="Werkzeug"),'1.4 Analyse &amp; Synthese'!I48&amp;CHAR(13)&amp;"("&amp;'(Codierung)'!$C$4&amp;" - "&amp;'1.4 Analyse &amp; Synthese'!C48&amp;")","")</f>
        <v/>
      </c>
      <c r="AQ47" s="387" t="str">
        <f t="array" ref="AQ47">_xlfn.IFNA(INDEX($AP$6:$AP$66,MATCH(0,COUNTIF($AQ$4:AQ46,$AP$6:$AP$66),0),1),"")</f>
        <v/>
      </c>
      <c r="AS47" s="277" t="str">
        <f>IF(AND('1.4 Analyse &amp; Synthese'!W48=1,'1.4 Analyse &amp; Synthese'!F48="Empfehlung"),'1.4 Analyse &amp; Synthese'!I48&amp;CHAR(13)&amp;"("&amp;'(Codierung)'!$C$2&amp;" - "&amp;'1.4 Analyse &amp; Synthese'!C48&amp;")","")</f>
        <v/>
      </c>
      <c r="AT47" s="387" t="str">
        <f t="array" ref="AT47">_xlfn.IFNA(INDEX($AS$6:$AS$66,MATCH(0,COUNTIF($AT$4:AT46,$AS$6:$AS$66),0),1),"")</f>
        <v/>
      </c>
      <c r="AU47" s="277" t="str">
        <f>IF(AND('1.4 Analyse &amp; Synthese'!W48=1,'1.4 Analyse &amp; Synthese'!F48="Methode"),'1.4 Analyse &amp; Synthese'!I48&amp;CHAR(13)&amp;"("&amp;'(Codierung)'!$C$3&amp;" - "&amp;'1.4 Analyse &amp; Synthese'!C48&amp;")","")</f>
        <v/>
      </c>
      <c r="AV47" s="387" t="str">
        <f t="array" ref="AV47">_xlfn.IFNA(INDEX($AU$6:$AU$66,MATCH(0,COUNTIF($AV$4:AV46,$AU$6:$AU$66),0),1),"")</f>
        <v/>
      </c>
      <c r="AW47" s="277" t="str">
        <f>IF(AND('1.4 Analyse &amp; Synthese'!W48=1,'1.4 Analyse &amp; Synthese'!F48="Werkzeug"),'1.4 Analyse &amp; Synthese'!I48&amp;CHAR(13)&amp;"("&amp;'(Codierung)'!$C$4&amp;" - "&amp;'1.4 Analyse &amp; Synthese'!C48&amp;")","")</f>
        <v/>
      </c>
      <c r="AX47" s="387" t="str">
        <f t="array" ref="AX47">_xlfn.IFNA(INDEX($AW$6:$AW$66,MATCH(0,COUNTIF($AX$4:AX46,$AW$6:$AW$66),0),1),"")</f>
        <v/>
      </c>
      <c r="AZ47" s="277" t="str">
        <f>IF(AND('1.4 Analyse &amp; Synthese'!X48=1,'1.4 Analyse &amp; Synthese'!F48="Empfehlung"),'1.4 Analyse &amp; Synthese'!I48&amp;CHAR(13)&amp;"("&amp;'(Codierung)'!$C$2&amp;" - "&amp;'1.4 Analyse &amp; Synthese'!C48&amp;")","")</f>
        <v/>
      </c>
      <c r="BA47" s="387" t="str">
        <f t="array" ref="BA47">_xlfn.IFNA(INDEX($AZ$6:$AZ$66,MATCH(0,COUNTIF($BA$4:BA46,$AZ$6:$AZ$66),0),1),"")</f>
        <v/>
      </c>
      <c r="BB47" s="277" t="str">
        <f>IF(AND('1.4 Analyse &amp; Synthese'!X48=1,'1.4 Analyse &amp; Synthese'!F48="Methode"),'1.4 Analyse &amp; Synthese'!I48&amp;CHAR(13)&amp;"("&amp;'(Codierung)'!$C$3&amp;" - "&amp;'1.4 Analyse &amp; Synthese'!C48&amp;")","")</f>
        <v/>
      </c>
      <c r="BC47" s="387" t="str">
        <f t="array" ref="BC47">_xlfn.IFNA(INDEX($BB$6:$BB$66,MATCH(0,COUNTIF($BC$4:BC46,$BB$6:$BB$66),0),1),"")</f>
        <v/>
      </c>
      <c r="BD47" s="277" t="str">
        <f>IF(AND('1.4 Analyse &amp; Synthese'!X48=1,'1.4 Analyse &amp; Synthese'!F48="Werkzeug"),'1.4 Analyse &amp; Synthese'!I48&amp;CHAR(13)&amp;"("&amp;'(Codierung)'!$C$4&amp;" - "&amp;'1.4 Analyse &amp; Synthese'!C48&amp;")","")</f>
        <v/>
      </c>
      <c r="BE47" s="387" t="str">
        <f t="array" ref="BE47">_xlfn.IFNA(INDEX($BD$6:$BD$66,MATCH(0,COUNTIF($BE$4:BE46,$BD$6:$BD$66),0),1),"")</f>
        <v/>
      </c>
      <c r="BG47" s="277" t="str">
        <f>IF(AND('1.4 Analyse &amp; Synthese'!Y48=1,'1.4 Analyse &amp; Synthese'!F48="Empfehlung"),'1.4 Analyse &amp; Synthese'!I48&amp;CHAR(13)&amp;"("&amp;'(Codierung)'!$C$2&amp;" - "&amp;'1.4 Analyse &amp; Synthese'!C48&amp;")","")</f>
        <v/>
      </c>
      <c r="BH47" s="387" t="str">
        <f t="array" ref="BH47">_xlfn.IFNA(INDEX($BG$6:$BG$66,MATCH(0,COUNTIF($BH$4:BH46,$BG$6:$BG$66),0),1),"")</f>
        <v/>
      </c>
      <c r="BI47" s="277" t="str">
        <f>IF(AND('1.4 Analyse &amp; Synthese'!Y48=1,'1.4 Analyse &amp; Synthese'!F48="Methode"),'1.4 Analyse &amp; Synthese'!I48&amp;CHAR(13)&amp;"("&amp;'(Codierung)'!$C$3&amp;" - "&amp;'1.4 Analyse &amp; Synthese'!C48&amp;")","")</f>
        <v/>
      </c>
      <c r="BJ47" s="387" t="str">
        <f t="array" ref="BJ47">_xlfn.IFNA(INDEX($BI$6:$BI$66,MATCH(0,COUNTIF($BJ$4:BJ46,$BI$6:$BI$66),0),1),"")</f>
        <v/>
      </c>
      <c r="BK47" s="277" t="str">
        <f>IF(AND('1.4 Analyse &amp; Synthese'!Y48=1,'1.4 Analyse &amp; Synthese'!F48="Werkzeug"),'1.4 Analyse &amp; Synthese'!I48&amp;CHAR(13)&amp;"("&amp;'(Codierung)'!$C$4&amp;" - "&amp;'1.4 Analyse &amp; Synthese'!C48&amp;")","")</f>
        <v/>
      </c>
      <c r="BL47" s="387" t="str">
        <f t="array" ref="BL47">_xlfn.IFNA(INDEX($BK$6:$BK$66,MATCH(0,COUNTIF($BL$4:BL46,$BK$6:$BK$66),0),1),"")</f>
        <v/>
      </c>
      <c r="BN47" s="277" t="str">
        <f>IF(AND('1.4 Analyse &amp; Synthese'!Z48=1,'1.4 Analyse &amp; Synthese'!F48="Empfehlung"),'1.4 Analyse &amp; Synthese'!I48&amp;CHAR(13)&amp;"("&amp;'(Codierung)'!$C$2&amp;" - "&amp;'1.4 Analyse &amp; Synthese'!C48&amp;")","")</f>
        <v/>
      </c>
      <c r="BO47" s="387" t="str">
        <f t="array" ref="BO47">_xlfn.IFNA(INDEX($BN$6:$BN$66,MATCH(0,COUNTIF($BO$4:BO46,$BN$6:$BN$66),0),1),"")</f>
        <v/>
      </c>
      <c r="BP47" s="277" t="str">
        <f>IF(AND('1.4 Analyse &amp; Synthese'!Z48=1,'1.4 Analyse &amp; Synthese'!F48="Methode"),'1.4 Analyse &amp; Synthese'!I48&amp;CHAR(13)&amp;"("&amp;'(Codierung)'!$C$3&amp;" - "&amp;'1.4 Analyse &amp; Synthese'!C48&amp;")","")</f>
        <v/>
      </c>
      <c r="BQ47" s="387" t="str">
        <f t="array" ref="BQ47">_xlfn.IFNA(INDEX($BP$6:$BP$66,MATCH(0,COUNTIF($BQ$4:BQ46,$BP$6:$BP$66),0),1),"")</f>
        <v/>
      </c>
      <c r="BR47" s="277" t="str">
        <f>IF(AND('1.4 Analyse &amp; Synthese'!Z48=1,'1.4 Analyse &amp; Synthese'!F48="Werkzeug"),'1.4 Analyse &amp; Synthese'!I48&amp;CHAR(13)&amp;"("&amp;'(Codierung)'!$C$4&amp;" - "&amp;'1.4 Analyse &amp; Synthese'!C48&amp;")","")</f>
        <v/>
      </c>
      <c r="BS47" s="387" t="str">
        <f t="array" ref="BS47">_xlfn.IFNA(INDEX($BR$6:$BR$66,MATCH(0,COUNTIF($BS$4:BS46,$BR$6:$BR$66),0),1),"")</f>
        <v/>
      </c>
      <c r="BU47" s="277" t="str">
        <f>IF(AND('1.4 Analyse &amp; Synthese'!AA48=1,'1.4 Analyse &amp; Synthese'!F48="Empfehlung"),'1.4 Analyse &amp; Synthese'!I48&amp;CHAR(13)&amp;"("&amp;'(Codierung)'!$C$2&amp;" - "&amp;'1.4 Analyse &amp; Synthese'!C48&amp;")","")</f>
        <v/>
      </c>
      <c r="BV47" s="387" t="str">
        <f t="array" ref="BV47">_xlfn.IFNA(INDEX($BU$6:$BU$66,MATCH(0,COUNTIF($BV$4:BV46,$BU$6:$BU$66),0),1),"")</f>
        <v/>
      </c>
      <c r="BW47" s="277" t="str">
        <f>IF(AND('1.4 Analyse &amp; Synthese'!AA48=1,'1.4 Analyse &amp; Synthese'!F48="Methode"),'1.4 Analyse &amp; Synthese'!I48&amp;CHAR(13)&amp;"("&amp;'(Codierung)'!$C$3&amp;" - "&amp;'1.4 Analyse &amp; Synthese'!C48&amp;")","")</f>
        <v/>
      </c>
      <c r="BX47" s="387" t="str">
        <f t="array" ref="BX47">_xlfn.IFNA(INDEX($BW$6:$BW$66,MATCH(0,COUNTIF($BX$4:BX46,$BW$6:$BW$66),0),1),"")</f>
        <v/>
      </c>
      <c r="BY47" s="277" t="str">
        <f>IF(AND('1.4 Analyse &amp; Synthese'!AA48=1,'1.4 Analyse &amp; Synthese'!F48="Werkzeug"),'1.4 Analyse &amp; Synthese'!I48&amp;CHAR(13)&amp;"("&amp;'(Codierung)'!$C$4&amp;" - "&amp;'1.4 Analyse &amp; Synthese'!C48&amp;")","")</f>
        <v/>
      </c>
      <c r="BZ47" s="387" t="str">
        <f t="array" ref="BZ47">_xlfn.IFNA(INDEX($BY$6:$BY$66,MATCH(0,COUNTIF($BZ$4:BZ46,$BY$6:$BY$66),0),1),"")</f>
        <v/>
      </c>
      <c r="CB47" s="277" t="str">
        <f>IF(AND('1.4 Analyse &amp; Synthese'!AB48=1,'1.4 Analyse &amp; Synthese'!F48="Empfehlung"),'1.4 Analyse &amp; Synthese'!I48&amp;CHAR(13)&amp;"("&amp;'(Codierung)'!$C$2&amp;" - "&amp;'1.4 Analyse &amp; Synthese'!C48&amp;")","")</f>
        <v/>
      </c>
      <c r="CC47" s="387" t="str">
        <f t="array" ref="CC47">_xlfn.IFNA(INDEX($CB$6:$CB$66,MATCH(0,COUNTIF($CC$4:CC46,$CB$6:$CB$66),0),1),"")</f>
        <v/>
      </c>
      <c r="CD47" s="277" t="str">
        <f>IF(AND('1.4 Analyse &amp; Synthese'!AB48=1,'1.4 Analyse &amp; Synthese'!F48="Methode"),'1.4 Analyse &amp; Synthese'!I48&amp;CHAR(13)&amp;"("&amp;'(Codierung)'!$C$3&amp;" - "&amp;'1.4 Analyse &amp; Synthese'!C48&amp;")","")</f>
        <v/>
      </c>
      <c r="CE47" s="387" t="str">
        <f t="array" ref="CE47">_xlfn.IFNA(INDEX($CD$6:$CD$66,MATCH(0,COUNTIF($CE$4:CE46,$CD$6:$CD$66),0),1),"")</f>
        <v/>
      </c>
      <c r="CF47" s="277" t="str">
        <f>IF(AND('1.4 Analyse &amp; Synthese'!AB48=1,'1.4 Analyse &amp; Synthese'!F48="Werkzeug"),'1.4 Analyse &amp; Synthese'!I48&amp;CHAR(13)&amp;"("&amp;'(Codierung)'!$C$4&amp;" - "&amp;'1.4 Analyse &amp; Synthese'!C48&amp;")","")</f>
        <v/>
      </c>
      <c r="CG47" s="387" t="str">
        <f t="array" ref="CG47">_xlfn.IFNA(INDEX($CF$6:$CF$66,MATCH(0,COUNTIF($CG$4:CG46,$CF$6:$CF$66),0),1),"")</f>
        <v/>
      </c>
      <c r="CI47" s="277" t="str">
        <f>IF(AND('1.4 Analyse &amp; Synthese'!AC48=1,'1.4 Analyse &amp; Synthese'!F48="Empfehlung"),'1.4 Analyse &amp; Synthese'!I48&amp;CHAR(13)&amp;"("&amp;'(Codierung)'!$C$2&amp;" - "&amp;'1.4 Analyse &amp; Synthese'!C48&amp;")","")</f>
        <v/>
      </c>
      <c r="CJ47" s="387" t="str">
        <f t="array" ref="CJ47">_xlfn.IFNA(INDEX($CI$6:$CI$66,MATCH(0,COUNTIF($CJ$4:CJ46,$CI$6:$CI$66),0),1),"")</f>
        <v/>
      </c>
      <c r="CK47" s="277" t="str">
        <f>IF(AND('1.4 Analyse &amp; Synthese'!AC48=1,'1.4 Analyse &amp; Synthese'!F48="Methode"),'1.4 Analyse &amp; Synthese'!I48&amp;CHAR(13)&amp;"("&amp;'(Codierung)'!$C$3&amp;" - "&amp;'1.4 Analyse &amp; Synthese'!C48&amp;")","")</f>
        <v/>
      </c>
      <c r="CL47" s="387" t="str">
        <f t="array" ref="CL47">_xlfn.IFNA(INDEX($CK$6:$CK$66,MATCH(0,COUNTIF($CL$4:CL46,$CK$6:$CK$66),0),1),"")</f>
        <v/>
      </c>
      <c r="CM47" s="277" t="str">
        <f>IF(AND('1.4 Analyse &amp; Synthese'!AC48=1,'1.4 Analyse &amp; Synthese'!F48="Werkzeug"),'1.4 Analyse &amp; Synthese'!I48&amp;CHAR(13)&amp;"("&amp;'(Codierung)'!$C$4&amp;" - "&amp;'1.4 Analyse &amp; Synthese'!C48&amp;")","")</f>
        <v/>
      </c>
      <c r="CN47" s="387" t="str">
        <f t="array" ref="CN47">_xlfn.IFNA(INDEX($CM$6:$CM$66,MATCH(0,COUNTIF($CN$4:CN46,$CM$6:$CM$66),0),1),"")</f>
        <v/>
      </c>
      <c r="CP47" s="277" t="str">
        <f>IF(AND('1.4 Analyse &amp; Synthese'!AD48=1,'1.4 Analyse &amp; Synthese'!F48="Empfehlung"),'1.4 Analyse &amp; Synthese'!I48&amp;CHAR(13)&amp;"("&amp;'(Codierung)'!$C$2&amp;" - "&amp;'1.4 Analyse &amp; Synthese'!C48&amp;")","")</f>
        <v/>
      </c>
      <c r="CQ47" s="387" t="str">
        <f t="array" ref="CQ47">_xlfn.IFNA(INDEX($CP$6:$CP$66,MATCH(0,COUNTIF($CQ$4:CQ46,$CP$6:$CP$66),0),1),"")</f>
        <v/>
      </c>
      <c r="CR47" s="277" t="str">
        <f>IF(AND('1.4 Analyse &amp; Synthese'!AD48=1,'1.4 Analyse &amp; Synthese'!F48="Methode"),'1.4 Analyse &amp; Synthese'!I48&amp;CHAR(13)&amp;"("&amp;'(Codierung)'!$C$3&amp;" - "&amp;'1.4 Analyse &amp; Synthese'!C48&amp;")","")</f>
        <v/>
      </c>
      <c r="CS47" s="387" t="str">
        <f t="array" ref="CS47">_xlfn.IFNA(INDEX($CR$6:$CR$66,MATCH(0,COUNTIF($CS$4:CS46,$CR$6:$CR$66),0),1),"")</f>
        <v/>
      </c>
      <c r="CT47" s="277" t="str">
        <f>IF(AND('1.4 Analyse &amp; Synthese'!AD48=1,'1.4 Analyse &amp; Synthese'!F48="Werkzeug"),'1.4 Analyse &amp; Synthese'!I48&amp;CHAR(13)&amp;"("&amp;'(Codierung)'!$C$4&amp;" - "&amp;'1.4 Analyse &amp; Synthese'!C48&amp;")","")</f>
        <v/>
      </c>
      <c r="CU47" s="387" t="str">
        <f t="array" ref="CU47">_xlfn.IFNA(INDEX($CT$6:$CT$66,MATCH(0,COUNTIF($CU$4:CU46,$CT$6:$CT$66),0),1),"")</f>
        <v/>
      </c>
      <c r="CW47" s="277" t="str">
        <f>IF(AND('1.4 Analyse &amp; Synthese'!AE48=1,'1.4 Analyse &amp; Synthese'!F48="Empfehlung"),'1.4 Analyse &amp; Synthese'!I48&amp;CHAR(13)&amp;"("&amp;'(Codierung)'!$C$2&amp;" - "&amp;'1.4 Analyse &amp; Synthese'!C48&amp;")","")</f>
        <v/>
      </c>
      <c r="CX47" s="387" t="str">
        <f t="array" ref="CX47">_xlfn.IFNA(INDEX($CW$6:$CW$66,MATCH(0,COUNTIF($CX$4:CX46,$CW$6:$CW$66),0),1),"")</f>
        <v/>
      </c>
      <c r="CY47" s="277" t="str">
        <f>IF(AND('1.4 Analyse &amp; Synthese'!AE48=1,'1.4 Analyse &amp; Synthese'!F48="Methode"),'1.4 Analyse &amp; Synthese'!I48&amp;CHAR(13)&amp;"("&amp;'(Codierung)'!$C$3&amp;" - "&amp;'1.4 Analyse &amp; Synthese'!C48&amp;")","")</f>
        <v/>
      </c>
      <c r="CZ47" s="387" t="str">
        <f t="array" ref="CZ47">_xlfn.IFNA(INDEX($CY$6:$CY$66,MATCH(0,COUNTIF($CZ$4:CZ46,$CY$6:$CY$66),0),1),"")</f>
        <v/>
      </c>
      <c r="DA47" s="277" t="str">
        <f>IF(AND('1.4 Analyse &amp; Synthese'!AE48=1,'1.4 Analyse &amp; Synthese'!F48="Werkzeug"),'1.4 Analyse &amp; Synthese'!I48&amp;CHAR(13)&amp;"("&amp;'(Codierung)'!$C$4&amp;" - "&amp;'1.4 Analyse &amp; Synthese'!C48&amp;")","")</f>
        <v/>
      </c>
      <c r="DB47" s="387" t="str">
        <f t="array" ref="DB47">_xlfn.IFNA(INDEX($DA$6:$DA$66,MATCH(0,COUNTIF($DB$4:DB46,$DA$6:$DA$66),0),1),"")</f>
        <v/>
      </c>
      <c r="DD47" s="277" t="str">
        <f>IF(AND('1.4 Analyse &amp; Synthese'!AF48=1,'1.4 Analyse &amp; Synthese'!F48="Empfehlung"),'1.4 Analyse &amp; Synthese'!I48&amp;CHAR(13)&amp;"("&amp;'(Codierung)'!$C$2&amp;" - "&amp;'1.4 Analyse &amp; Synthese'!C48&amp;")","")</f>
        <v/>
      </c>
      <c r="DE47" s="387" t="str">
        <f t="array" ref="DE47">_xlfn.IFNA(INDEX($DD$6:$DD$66,MATCH(0,COUNTIF($DE$4:DE46,$DD$6:$DD$66),0),1),"")</f>
        <v/>
      </c>
      <c r="DF47" s="277" t="str">
        <f>IF(AND('1.4 Analyse &amp; Synthese'!AF48=1,'1.4 Analyse &amp; Synthese'!F48="Methode"),'1.4 Analyse &amp; Synthese'!I48&amp;CHAR(13)&amp;"("&amp;'(Codierung)'!$C$3&amp;" - "&amp;'1.4 Analyse &amp; Synthese'!C48&amp;")","")</f>
        <v/>
      </c>
      <c r="DG47" s="387" t="str">
        <f t="array" ref="DG47">_xlfn.IFNA(INDEX($DF$6:$DF$66,MATCH(0,COUNTIF($DG$4:DG46,$DF$6:$DF$66),0),1),"")</f>
        <v/>
      </c>
      <c r="DH47" s="277" t="str">
        <f>IF(AND('1.4 Analyse &amp; Synthese'!AF48=1,'1.4 Analyse &amp; Synthese'!F48="Werkzeug"),'1.4 Analyse &amp; Synthese'!I48&amp;CHAR(13)&amp;"("&amp;'(Codierung)'!$C$4&amp;" - "&amp;'1.4 Analyse &amp; Synthese'!C48&amp;")","")</f>
        <v/>
      </c>
      <c r="DI47" s="387" t="str">
        <f t="array" ref="DI47">_xlfn.IFNA(INDEX($DH$6:$DH$66,MATCH(0,COUNTIF($DI$4:DI46,$DH$6:$DH$66),0),1),"")</f>
        <v/>
      </c>
      <c r="DK47" s="277" t="str">
        <f>IF(AND('1.4 Analyse &amp; Synthese'!AG48=1,'1.4 Analyse &amp; Synthese'!F48="Empfehlung"),'1.4 Analyse &amp; Synthese'!I48&amp;CHAR(13)&amp;"("&amp;'(Codierung)'!$C$2&amp;" - "&amp;'1.4 Analyse &amp; Synthese'!C48&amp;")","")</f>
        <v/>
      </c>
      <c r="DL47" s="387" t="str">
        <f t="array" ref="DL47">_xlfn.IFNA(INDEX($DK$6:$DK$66,MATCH(0,COUNTIF($DL$4:DL46,$DK$6:$DK$66),0),1),"")</f>
        <v/>
      </c>
      <c r="DM47" s="277" t="str">
        <f>IF(AND('1.4 Analyse &amp; Synthese'!AG48=1,'1.4 Analyse &amp; Synthese'!F48="Methode"),'1.4 Analyse &amp; Synthese'!I48&amp;CHAR(13)&amp;"("&amp;'(Codierung)'!$C$3&amp;" - "&amp;'1.4 Analyse &amp; Synthese'!C48&amp;")","")</f>
        <v/>
      </c>
      <c r="DN47" s="387" t="str">
        <f t="array" ref="DN47">_xlfn.IFNA(INDEX($DM$6:$DM$66,MATCH(0,COUNTIF($DN$4:DN46,$DM$6:$DM$66),0),1),"")</f>
        <v/>
      </c>
      <c r="DO47" s="277" t="str">
        <f>IF(AND('1.4 Analyse &amp; Synthese'!AG48=1,'1.4 Analyse &amp; Synthese'!F48="Werkzeug"),'1.4 Analyse &amp; Synthese'!I48&amp;CHAR(13)&amp;"("&amp;'(Codierung)'!$C$4&amp;" - "&amp;'1.4 Analyse &amp; Synthese'!C48&amp;")","")</f>
        <v/>
      </c>
      <c r="DP47" s="387" t="str">
        <f t="array" ref="DP47">_xlfn.IFNA(INDEX($DO$6:$DO$66,MATCH(0,COUNTIF($DP$4:DP46,$DO$6:$DO$66),0),1),"")</f>
        <v/>
      </c>
      <c r="DR47" s="277" t="str">
        <f>IF(AND('1.4 Analyse &amp; Synthese'!AH48=1,'1.4 Analyse &amp; Synthese'!F48="Empfehlung"),'1.4 Analyse &amp; Synthese'!I48&amp;CHAR(13)&amp;"("&amp;'(Codierung)'!$C$2&amp;" - "&amp;'1.4 Analyse &amp; Synthese'!C48&amp;")","")</f>
        <v/>
      </c>
      <c r="DS47" s="387" t="str">
        <f t="array" ref="DS47">_xlfn.IFNA(INDEX($DR$6:$DR$66,MATCH(0,COUNTIF($DS$4:DS46,$DR$6:$DR$66),0),1),"")</f>
        <v/>
      </c>
      <c r="DT47" s="277" t="str">
        <f>IF(AND('1.4 Analyse &amp; Synthese'!AH48=1,'1.4 Analyse &amp; Synthese'!F48="Methode"),'1.4 Analyse &amp; Synthese'!I48&amp;CHAR(13)&amp;"("&amp;'(Codierung)'!$C$3&amp;" - "&amp;'1.4 Analyse &amp; Synthese'!C48&amp;")","")</f>
        <v/>
      </c>
      <c r="DU47" s="387" t="str">
        <f t="array" ref="DU47">_xlfn.IFNA(INDEX($DT$6:$DT$66,MATCH(0,COUNTIF($DU$4:DU46,$DT$6:$DT$66),0),1),"")</f>
        <v/>
      </c>
      <c r="DV47" s="277" t="str">
        <f>IF(AND('1.4 Analyse &amp; Synthese'!AH48=1,'1.4 Analyse &amp; Synthese'!F48="Werkzeug"),'1.4 Analyse &amp; Synthese'!I48&amp;CHAR(13)&amp;"("&amp;'(Codierung)'!$C$4&amp;" - "&amp;'1.4 Analyse &amp; Synthese'!C48&amp;")","")</f>
        <v/>
      </c>
      <c r="DW47" s="387" t="str">
        <f t="array" ref="DW47">_xlfn.IFNA(INDEX($DV$6:$DV$66,MATCH(0,COUNTIF($DW$4:DW46,$DV$6:$DV$66),0),1),"")</f>
        <v/>
      </c>
      <c r="DY47" s="277" t="str">
        <f>IF(AND('1.4 Analyse &amp; Synthese'!AI48=1,'1.4 Analyse &amp; Synthese'!F48="Empfehlung"),'1.4 Analyse &amp; Synthese'!I48&amp;CHAR(13)&amp;"("&amp;'(Codierung)'!$C$2&amp;" - "&amp;'1.4 Analyse &amp; Synthese'!C48&amp;")","")</f>
        <v/>
      </c>
      <c r="DZ47" s="387" t="str">
        <f t="array" ref="DZ47">_xlfn.IFNA(INDEX($DY$6:$DY$66,MATCH(0,COUNTIF($DZ$4:DZ46,$DY$6:$DY$66),0),1),"")</f>
        <v/>
      </c>
      <c r="EA47" s="277" t="str">
        <f>IF(AND('1.4 Analyse &amp; Synthese'!AI48=1,'1.4 Analyse &amp; Synthese'!F48="Methode"),'1.4 Analyse &amp; Synthese'!I48&amp;CHAR(13)&amp;"("&amp;'(Codierung)'!$C$3&amp;" - "&amp;'1.4 Analyse &amp; Synthese'!C48&amp;")","")</f>
        <v/>
      </c>
      <c r="EB47" s="387" t="str">
        <f t="array" ref="EB47">_xlfn.IFNA(INDEX($EA$6:$EA$66,MATCH(0,COUNTIF($EB$4:EB46,$EA$6:$EA$66),0),1),"")</f>
        <v/>
      </c>
      <c r="EC47" s="277" t="str">
        <f>IF(AND('1.4 Analyse &amp; Synthese'!AI48=1,'1.4 Analyse &amp; Synthese'!F48="Werkzeug"),'1.4 Analyse &amp; Synthese'!I48&amp;CHAR(13)&amp;"("&amp;'(Codierung)'!$C$4&amp;" - "&amp;'1.4 Analyse &amp; Synthese'!C48&amp;")","")</f>
        <v/>
      </c>
      <c r="ED47" s="277" t="str">
        <f t="array" ref="ED47">_xlfn.IFNA(INDEX($EC$6:$EC$66,MATCH(0,COUNTIF($ED$4:ED46,$EC$6:$EC$66),0),1),"")</f>
        <v/>
      </c>
      <c r="EF47" s="277" t="str">
        <f>IF(AND('1.4 Analyse &amp; Synthese'!AJ48=1,'1.4 Analyse &amp; Synthese'!F48="Empfehlung"),'1.4 Analyse &amp; Synthese'!I48&amp;CHAR(13)&amp;"("&amp;'(Codierung)'!$C$2&amp;" - "&amp;'1.4 Analyse &amp; Synthese'!C48&amp;")","")</f>
        <v/>
      </c>
      <c r="EG47" s="277" t="str">
        <f t="array" ref="EG47">_xlfn.IFNA(INDEX($EF$6:$EF$66,MATCH(0,COUNTIF($EG$4:EG46,$EF$6:$EF$66),0),1),"")</f>
        <v/>
      </c>
      <c r="EH47" s="277" t="str">
        <f>IF(AND('1.4 Analyse &amp; Synthese'!AJ48=1,'1.4 Analyse &amp; Synthese'!F48="Methode"),'1.4 Analyse &amp; Synthese'!I48&amp;CHAR(13)&amp;"("&amp;'(Codierung)'!$C$3&amp;" - "&amp;'1.4 Analyse &amp; Synthese'!C48&amp;")","")</f>
        <v/>
      </c>
      <c r="EI47" s="387" t="str">
        <f t="array" ref="EI47">_xlfn.IFNA(INDEX($EH$6:$EH$66,MATCH(0,COUNTIF($EI$4:EI46,$EH$6:$EH$66),0),1),"")</f>
        <v/>
      </c>
      <c r="EJ47" s="277" t="str">
        <f>IF(AND('1.4 Analyse &amp; Synthese'!AJ48=1,'1.4 Analyse &amp; Synthese'!F48="Werkzeug"),'1.4 Analyse &amp; Synthese'!I48&amp;CHAR(13)&amp;"("&amp;'(Codierung)'!$C$4&amp;" - "&amp;'1.4 Analyse &amp; Synthese'!C48&amp;")","")</f>
        <v/>
      </c>
      <c r="EK47" s="387" t="str">
        <f t="array" ref="EK47">_xlfn.IFNA(INDEX($EJ$6:$EJ$66,MATCH(0,COUNTIF($EK$4:EK46,$EJ$6:$EJ$66),0),1),"")</f>
        <v/>
      </c>
      <c r="EN47" s="222" t="str">
        <f t="shared" si="60"/>
        <v/>
      </c>
      <c r="EO47" s="277" t="str">
        <f t="shared" si="61"/>
        <v/>
      </c>
      <c r="EP47" s="277" t="str">
        <f t="shared" si="62"/>
        <v/>
      </c>
      <c r="EQ47" s="277" t="str">
        <f>ZahlenInBereich(Tabelle1[[Empfehlung]:[Werkzeug]],ROW()-5)</f>
        <v/>
      </c>
      <c r="ER47" s="277" t="str">
        <f t="shared" si="63"/>
        <v/>
      </c>
      <c r="ES47" s="277" t="str">
        <f t="shared" si="64"/>
        <v/>
      </c>
      <c r="ET47" s="277" t="str">
        <f t="shared" si="65"/>
        <v/>
      </c>
      <c r="EU47" s="277" t="str">
        <f>ZahlenInBereich(Tabelle1[[Empfehlung2]:[Werkzeug4]],ROW()-5)</f>
        <v/>
      </c>
      <c r="EV47" s="277" t="str">
        <f t="shared" si="66"/>
        <v/>
      </c>
      <c r="EW47" s="277" t="str">
        <f t="shared" si="67"/>
        <v/>
      </c>
      <c r="EX47" s="277" t="str">
        <f t="shared" si="68"/>
        <v/>
      </c>
      <c r="EY47" s="277" t="str">
        <f>ZahlenInBereich(Tabelle1[[Empfehlung6]:[Werkzeug8]],ROW()-5)</f>
        <v/>
      </c>
      <c r="EZ47" s="277" t="str">
        <f t="shared" si="69"/>
        <v/>
      </c>
      <c r="FA47" s="277" t="str">
        <f t="shared" si="70"/>
        <v/>
      </c>
      <c r="FB47" s="277" t="str">
        <f t="shared" si="71"/>
        <v/>
      </c>
      <c r="FC47" s="277" t="str">
        <f>ZahlenInBereich(Tabelle1[[Empfehlung10]:[Werkzeug12]],ROW()-5)</f>
        <v/>
      </c>
      <c r="FD47" s="277" t="str">
        <f t="shared" si="72"/>
        <v/>
      </c>
      <c r="FE47" s="277" t="str">
        <f t="shared" si="73"/>
        <v/>
      </c>
      <c r="FF47" s="277" t="str">
        <f t="shared" si="74"/>
        <v/>
      </c>
      <c r="FG47" s="277" t="str">
        <f>ZahlenInBereich(Tabelle1[[Empfehlung14]:[Werkzeug16]],ROW()-5)</f>
        <v/>
      </c>
      <c r="FH47" s="277" t="str">
        <f t="shared" si="75"/>
        <v/>
      </c>
      <c r="FI47" s="277" t="str">
        <f t="shared" si="76"/>
        <v/>
      </c>
      <c r="FJ47" s="277" t="str">
        <f t="shared" si="77"/>
        <v/>
      </c>
      <c r="FK47" s="277" t="str">
        <f>ZahlenInBereich(Tabelle1[[Empfehlung18]:[Werkzeug20]],ROW()-5)</f>
        <v/>
      </c>
      <c r="FL47" s="277" t="str">
        <f t="shared" si="78"/>
        <v/>
      </c>
      <c r="FM47" s="277" t="str">
        <f t="shared" si="79"/>
        <v/>
      </c>
      <c r="FN47" s="277" t="str">
        <f t="shared" si="80"/>
        <v/>
      </c>
      <c r="FO47" s="277" t="str">
        <f>ZahlenInBereich(Tabelle1[[Empfehlung22]:[Werkzeug24]],ROW()-5)</f>
        <v/>
      </c>
      <c r="FP47" s="277" t="str">
        <f t="shared" si="81"/>
        <v/>
      </c>
      <c r="FQ47" s="277" t="str">
        <f t="shared" si="82"/>
        <v/>
      </c>
      <c r="FR47" s="277" t="str">
        <f t="shared" si="83"/>
        <v/>
      </c>
      <c r="FS47" s="277" t="str">
        <f>ZahlenInBereich(Tabelle1[[Empfehlung26]:[Werkzeug28]],ROW()-5)</f>
        <v/>
      </c>
      <c r="FT47" s="277" t="str">
        <f t="shared" si="84"/>
        <v/>
      </c>
      <c r="FU47" s="277" t="str">
        <f t="shared" si="85"/>
        <v/>
      </c>
      <c r="FV47" s="277" t="str">
        <f t="shared" si="86"/>
        <v/>
      </c>
      <c r="FW47" s="277" t="str">
        <f>ZahlenInBereich(Tabelle1[[Empfehlung30]:[Werkzeug32]],ROW()-5)</f>
        <v/>
      </c>
      <c r="FX47" s="277" t="str">
        <f t="shared" si="87"/>
        <v/>
      </c>
      <c r="FY47" s="277" t="str">
        <f t="shared" si="88"/>
        <v/>
      </c>
      <c r="FZ47" s="277" t="str">
        <f t="shared" si="89"/>
        <v/>
      </c>
      <c r="GA47" s="277" t="str">
        <f>ZahlenInBereich(Tabelle1[[Empfehlung34]:[Werkzeug36]],ROW()-5)</f>
        <v/>
      </c>
      <c r="GB47" s="277" t="str">
        <f t="shared" si="90"/>
        <v/>
      </c>
      <c r="GC47" s="277" t="str">
        <f t="shared" si="91"/>
        <v/>
      </c>
      <c r="GD47" s="277" t="str">
        <f t="shared" si="92"/>
        <v/>
      </c>
      <c r="GE47" s="277" t="str">
        <f>ZahlenInBereich(Tabelle1[[Empfehlung38]:[Werkzeug40]],ROW()-5)</f>
        <v/>
      </c>
      <c r="GF47" s="277" t="str">
        <f t="shared" si="93"/>
        <v/>
      </c>
      <c r="GG47" s="277" t="str">
        <f t="shared" si="94"/>
        <v/>
      </c>
      <c r="GH47" s="277" t="str">
        <f t="shared" si="95"/>
        <v/>
      </c>
      <c r="GI47" s="277" t="str">
        <f>ZahlenInBereich(Tabelle1[[Empfehlung42]:[Werkzeug44]],ROW()-5)</f>
        <v/>
      </c>
      <c r="GJ47" s="277" t="str">
        <f t="shared" si="96"/>
        <v/>
      </c>
      <c r="GK47" s="277" t="str">
        <f t="shared" si="97"/>
        <v/>
      </c>
      <c r="GL47" s="277" t="str">
        <f t="shared" si="98"/>
        <v/>
      </c>
      <c r="GM47" s="277" t="str">
        <f>ZahlenInBereich(Tabelle1[[Empfehlung46]:[Werkzeug48]],ROW()-5)</f>
        <v/>
      </c>
      <c r="GN47" s="277" t="str">
        <f t="shared" si="99"/>
        <v/>
      </c>
      <c r="GO47" s="277" t="str">
        <f t="shared" si="100"/>
        <v/>
      </c>
      <c r="GP47" s="277" t="str">
        <f t="shared" si="101"/>
        <v/>
      </c>
      <c r="GQ47" s="277" t="str">
        <f>ZahlenInBereich(Tabelle1[[Empfehlung50]:[Werkzeug52]],ROW()-5)</f>
        <v/>
      </c>
      <c r="GR47" s="277" t="str">
        <f t="shared" si="102"/>
        <v/>
      </c>
      <c r="GS47" s="277" t="str">
        <f t="shared" si="103"/>
        <v/>
      </c>
      <c r="GT47" s="277" t="str">
        <f t="shared" si="104"/>
        <v/>
      </c>
      <c r="GU47" s="277" t="str">
        <f>ZahlenInBereich(Tabelle1[[Empfehlung54]:[Werkzeug56]],ROW()-5)</f>
        <v/>
      </c>
      <c r="GV47" s="277" t="str">
        <f t="shared" si="105"/>
        <v/>
      </c>
      <c r="GW47" s="277" t="str">
        <f t="shared" si="106"/>
        <v/>
      </c>
      <c r="GX47" s="277" t="str">
        <f t="shared" si="107"/>
        <v/>
      </c>
      <c r="GY47" s="277" t="str">
        <f>ZahlenInBereich(Tabelle1[[Empfehlung58]:[Werkzeug60]],ROW()-5)</f>
        <v/>
      </c>
      <c r="GZ47" s="277" t="str">
        <f t="shared" si="108"/>
        <v/>
      </c>
      <c r="HA47" s="277" t="str">
        <f t="shared" si="109"/>
        <v/>
      </c>
      <c r="HB47" s="277" t="str">
        <f t="shared" si="110"/>
        <v/>
      </c>
      <c r="HC47" s="277" t="str">
        <f>ZahlenInBereich(Tabelle1[[Empfehlung62]:[Werkzeug64]],ROW()-5)</f>
        <v/>
      </c>
      <c r="HD47" s="277" t="str">
        <f t="shared" si="111"/>
        <v/>
      </c>
      <c r="HE47" s="277" t="str">
        <f t="shared" si="112"/>
        <v/>
      </c>
      <c r="HF47" s="277" t="str">
        <f t="shared" si="113"/>
        <v/>
      </c>
      <c r="HG47" s="277" t="str">
        <f>ZahlenInBereich(Tabelle1[[Empfehlung66]:[Werkzeug68]],ROW()-5)</f>
        <v/>
      </c>
      <c r="HH47" s="277" t="str">
        <f t="shared" si="114"/>
        <v/>
      </c>
      <c r="HI47" s="277" t="str">
        <f t="shared" si="115"/>
        <v/>
      </c>
      <c r="HJ47" s="277" t="str">
        <f t="shared" si="116"/>
        <v/>
      </c>
      <c r="HK47" s="277" t="str">
        <f>ZahlenInBereich(Tabelle1[[Empfehlung70]:[Werkzeug72]],ROW()-5)</f>
        <v/>
      </c>
      <c r="HL47" s="277" t="str">
        <f t="shared" si="117"/>
        <v/>
      </c>
      <c r="HM47" s="277" t="str">
        <f t="shared" si="118"/>
        <v/>
      </c>
      <c r="HN47" s="277" t="str">
        <f t="shared" si="119"/>
        <v/>
      </c>
      <c r="HO47" s="277" t="str">
        <f>ZahlenInBereich(Tabelle1[[Empfehlung74]:[Werkzeug76]],ROW()-5)</f>
        <v/>
      </c>
    </row>
    <row r="48" spans="2:223" x14ac:dyDescent="0.2">
      <c r="B48" s="135">
        <f>'1.4 Analyse &amp; Synthese'!B49</f>
        <v>0</v>
      </c>
      <c r="C48" s="277" t="str">
        <f>IF(AND('1.4 Analyse &amp; Synthese'!Q49=1,'1.4 Analyse &amp; Synthese'!F49="Empfehlung"),'1.4 Analyse &amp; Synthese'!I49&amp;CHAR(13)&amp;"("&amp;'(Codierung)'!$C$2&amp;" - "&amp;'1.4 Analyse &amp; Synthese'!C49&amp;")","")</f>
        <v/>
      </c>
      <c r="D48" s="222" t="str">
        <f t="array" ref="D48">_xlfn.IFNA(INDEX($C$6:$C$66,MATCH(0,COUNTIF($D$4:D47,$C$6:$C$66),0),1),"")</f>
        <v/>
      </c>
      <c r="E48" s="277" t="str">
        <f>IF(AND('1.4 Analyse &amp; Synthese'!Q49=1,'1.4 Analyse &amp; Synthese'!F49="Methode"),'1.4 Analyse &amp; Synthese'!I49&amp;CHAR(13)&amp;"("&amp;'(Codierung)'!$C$3&amp;" - "&amp;'1.4 Analyse &amp; Synthese'!C49&amp;")","")</f>
        <v/>
      </c>
      <c r="F48" s="387" t="str">
        <f t="array" ref="F48">_xlfn.IFNA(INDEX($E$6:$E$66,MATCH(0,COUNTIF($F$4:F47,$E$6:$E$66),0),1),"")</f>
        <v/>
      </c>
      <c r="G48" s="277" t="str">
        <f>IF(AND('1.4 Analyse &amp; Synthese'!Q49=1,'1.4 Analyse &amp; Synthese'!F49="Werkzeug"),'1.4 Analyse &amp; Synthese'!I49&amp;CHAR(13)&amp;"("&amp;'(Codierung)'!$C$4&amp;" - "&amp;'1.4 Analyse &amp; Synthese'!C49&amp;")","")</f>
        <v/>
      </c>
      <c r="H48" s="387" t="str">
        <f t="array" ref="H48">_xlfn.IFNA(INDEX($G$6:$G$66,MATCH(0,COUNTIF($H$4:H47,$G$6:$G$66),0),1),"")</f>
        <v/>
      </c>
      <c r="J48" s="277" t="str">
        <f>IF(AND('1.4 Analyse &amp; Synthese'!R49=1,'1.4 Analyse &amp; Synthese'!F49="Empfehlung"),'1.4 Analyse &amp; Synthese'!I49&amp;CHAR(13)&amp;"("&amp;'(Codierung)'!$C$2&amp;" - "&amp;'1.4 Analyse &amp; Synthese'!C49&amp;")","")</f>
        <v/>
      </c>
      <c r="K48" s="387" t="str">
        <f t="array" ref="K48">_xlfn.IFNA(INDEX($J$6:$J$66,MATCH(0,COUNTIF($K$4:K47,$J$6:$J$66),0),1),"")</f>
        <v/>
      </c>
      <c r="L48" s="277" t="str">
        <f>IF(AND('1.4 Analyse &amp; Synthese'!R49=1,'1.4 Analyse &amp; Synthese'!F49="Methode"),'1.4 Analyse &amp; Synthese'!I49&amp;CHAR(13)&amp;"("&amp;'(Codierung)'!$C$3&amp;" - "&amp;'1.4 Analyse &amp; Synthese'!C49&amp;")","")</f>
        <v/>
      </c>
      <c r="M48" s="387" t="str">
        <f t="array" ref="M48">_xlfn.IFNA(INDEX($L$6:$L$66,MATCH(0,COUNTIF($M$4:M47,$L$6:$L$66),0),1),"")</f>
        <v/>
      </c>
      <c r="N48" s="277" t="str">
        <f>IF(AND('1.4 Analyse &amp; Synthese'!R49=1,'1.4 Analyse &amp; Synthese'!F49="Werkzeug"),'1.4 Analyse &amp; Synthese'!I49&amp;CHAR(13)&amp;"("&amp;'(Codierung)'!$C$4&amp;" - "&amp;'1.4 Analyse &amp; Synthese'!C49&amp;")","")</f>
        <v/>
      </c>
      <c r="O48" s="387" t="str">
        <f t="array" ref="O48">_xlfn.IFNA(INDEX($N$6:$N$66,MATCH(0,COUNTIF($O$4:O47,$N$6:$N$66),0),1),"")</f>
        <v/>
      </c>
      <c r="Q48" s="277" t="str">
        <f>IF(AND('1.4 Analyse &amp; Synthese'!S49=1,'1.4 Analyse &amp; Synthese'!F49="Empfehlung"),'1.4 Analyse &amp; Synthese'!I49&amp;CHAR(13)&amp;"("&amp;'(Codierung)'!$C$2&amp;" - "&amp;'1.4 Analyse &amp; Synthese'!C49&amp;")","")</f>
        <v/>
      </c>
      <c r="R48" s="387" t="str">
        <f t="array" ref="R48">_xlfn.IFNA(INDEX($Q$6:$Q$66,MATCH(0,COUNTIF($R$4:R47,$Q$6:$Q$66),0),1),"")</f>
        <v/>
      </c>
      <c r="S48" s="277" t="str">
        <f>IF(AND('1.4 Analyse &amp; Synthese'!S49=1,'1.4 Analyse &amp; Synthese'!F49="Methode"),'1.4 Analyse &amp; Synthese'!I49&amp;CHAR(13)&amp;"("&amp;'(Codierung)'!$C$3&amp;" - "&amp;'1.4 Analyse &amp; Synthese'!C49&amp;")","")</f>
        <v/>
      </c>
      <c r="T48" s="387" t="str">
        <f t="array" ref="T48">_xlfn.IFNA(INDEX($S$6:$S$66,MATCH(0,COUNTIF($T$4:T47,$S$6:$S$66),0),1),"")</f>
        <v/>
      </c>
      <c r="U48" s="277" t="str">
        <f>IF(AND('1.4 Analyse &amp; Synthese'!S49=1,'1.4 Analyse &amp; Synthese'!F49="Werkzeug"),'1.4 Analyse &amp; Synthese'!I49&amp;CHAR(13)&amp;"("&amp;'(Codierung)'!$C$4&amp;" - "&amp;'1.4 Analyse &amp; Synthese'!C49&amp;")","")</f>
        <v/>
      </c>
      <c r="V48" s="387" t="str">
        <f t="array" ref="V48">_xlfn.IFNA(INDEX($U$6:$U$66,MATCH(0,COUNTIF($V$4:V47,$U$6:$U$66),0),1),"")</f>
        <v/>
      </c>
      <c r="X48" s="277" t="str">
        <f>IF(AND('1.4 Analyse &amp; Synthese'!T49=1,'1.4 Analyse &amp; Synthese'!F49="Empfehlung"),'1.4 Analyse &amp; Synthese'!I49&amp;CHAR(13)&amp;"("&amp;'(Codierung)'!$C$2&amp;" - "&amp;'1.4 Analyse &amp; Synthese'!C49&amp;")","")</f>
        <v/>
      </c>
      <c r="Y48" s="387" t="str">
        <f t="array" ref="Y48">_xlfn.IFNA(INDEX($X$6:$X$66,MATCH(0,COUNTIF($Y$4:Y47,$X$6:$X$66),0),1),"")</f>
        <v/>
      </c>
      <c r="Z48" s="277" t="str">
        <f>IF(AND('1.4 Analyse &amp; Synthese'!T49=1,'1.4 Analyse &amp; Synthese'!F49="Methode"),'1.4 Analyse &amp; Synthese'!I49&amp;CHAR(13)&amp;"("&amp;'(Codierung)'!$C$3&amp;" - "&amp;'1.4 Analyse &amp; Synthese'!C49&amp;")","")</f>
        <v/>
      </c>
      <c r="AA48" s="387" t="str">
        <f t="array" ref="AA48">_xlfn.IFNA(INDEX($Z$6:$Z$66,MATCH(0,COUNTIF($AA$4:AA47,$Z$6:$Z$66),0),1),"")</f>
        <v/>
      </c>
      <c r="AB48" s="277" t="str">
        <f>IF(AND('1.4 Analyse &amp; Synthese'!T49=1,'1.4 Analyse &amp; Synthese'!F49="Werkzeug"),'1.4 Analyse &amp; Synthese'!I49&amp;CHAR(13)&amp;"("&amp;'(Codierung)'!$C$4&amp;" - "&amp;'1.4 Analyse &amp; Synthese'!C49&amp;")","")</f>
        <v/>
      </c>
      <c r="AC48" s="387" t="str">
        <f t="array" ref="AC48">_xlfn.IFNA(INDEX($AB$6:$AB$66,MATCH(0,COUNTIF($AC$4:AC47,$AB$6:$AB$66),0),1),"")</f>
        <v/>
      </c>
      <c r="AE48" s="277" t="str">
        <f>IF(AND('1.4 Analyse &amp; Synthese'!U49=1,'1.4 Analyse &amp; Synthese'!F49="Empfehlung"),'1.4 Analyse &amp; Synthese'!I49&amp;CHAR(13)&amp;"("&amp;'(Codierung)'!$C$2&amp;" - "&amp;'1.4 Analyse &amp; Synthese'!C49&amp;")","")</f>
        <v/>
      </c>
      <c r="AF48" s="387" t="str">
        <f t="array" ref="AF48">_xlfn.IFNA(INDEX($AE$6:$AE$66,MATCH(0,COUNTIF($AF$4:AF47,$AE$6:$AE$66),0),1),"")</f>
        <v/>
      </c>
      <c r="AG48" s="277" t="str">
        <f>IF(AND('1.4 Analyse &amp; Synthese'!U49=1,'1.4 Analyse &amp; Synthese'!F49="Methode"),'1.4 Analyse &amp; Synthese'!I49&amp;CHAR(13)&amp;"("&amp;'(Codierung)'!$C$3&amp;" - "&amp;'1.4 Analyse &amp; Synthese'!C49&amp;")","")</f>
        <v/>
      </c>
      <c r="AH48" s="387" t="str">
        <f t="array" ref="AH48">_xlfn.IFNA(INDEX($AG$6:$AG$66,MATCH(0,COUNTIF($AH$4:AH47,$AG$6:$AG$66),0),1),"")</f>
        <v/>
      </c>
      <c r="AI48" s="277" t="str">
        <f>IF(AND('1.4 Analyse &amp; Synthese'!U49=1,'1.4 Analyse &amp; Synthese'!F49="Werkzeug"),'1.4 Analyse &amp; Synthese'!I49&amp;CHAR(13)&amp;"("&amp;'(Codierung)'!$C$4&amp;" - "&amp;'1.4 Analyse &amp; Synthese'!C49&amp;")","")</f>
        <v/>
      </c>
      <c r="AJ48" s="387" t="str">
        <f t="array" ref="AJ48">_xlfn.IFNA(INDEX($AI$6:$AI$66,MATCH(0,COUNTIF($AJ$4:AJ47,$AI$6:$AI$66),0),1),"")</f>
        <v/>
      </c>
      <c r="AL48" s="277" t="str">
        <f>IF(AND('1.4 Analyse &amp; Synthese'!V49=1,'1.4 Analyse &amp; Synthese'!F49="Empfehlung"),'1.4 Analyse &amp; Synthese'!I49&amp;CHAR(13)&amp;"("&amp;'(Codierung)'!$C$2&amp;" - "&amp;'1.4 Analyse &amp; Synthese'!C49&amp;")","")</f>
        <v/>
      </c>
      <c r="AM48" s="387" t="str">
        <f t="array" ref="AM48">_xlfn.IFNA(INDEX($AL$6:$AL$66,MATCH(0,COUNTIF($AM$4:AM47,$AL$6:$AL$66),0),1),"")</f>
        <v/>
      </c>
      <c r="AN48" s="277" t="str">
        <f>IF(AND('1.4 Analyse &amp; Synthese'!V49=1,'1.4 Analyse &amp; Synthese'!F49="Methode"),'1.4 Analyse &amp; Synthese'!I49&amp;CHAR(13)&amp;"("&amp;'(Codierung)'!$C$3&amp;" - "&amp;'1.4 Analyse &amp; Synthese'!C49&amp;")","")</f>
        <v/>
      </c>
      <c r="AO48" s="387" t="str">
        <f t="array" ref="AO48">_xlfn.IFNA(INDEX($AN$6:$AN$66,MATCH(0,COUNTIF($AO$4:AO47,$AN$6:$AN$66),0),1),"")</f>
        <v/>
      </c>
      <c r="AP48" s="277" t="str">
        <f>IF(AND('1.4 Analyse &amp; Synthese'!V49=1,'1.4 Analyse &amp; Synthese'!F49="Werkzeug"),'1.4 Analyse &amp; Synthese'!I49&amp;CHAR(13)&amp;"("&amp;'(Codierung)'!$C$4&amp;" - "&amp;'1.4 Analyse &amp; Synthese'!C49&amp;")","")</f>
        <v/>
      </c>
      <c r="AQ48" s="387" t="str">
        <f t="array" ref="AQ48">_xlfn.IFNA(INDEX($AP$6:$AP$66,MATCH(0,COUNTIF($AQ$4:AQ47,$AP$6:$AP$66),0),1),"")</f>
        <v/>
      </c>
      <c r="AS48" s="277" t="str">
        <f>IF(AND('1.4 Analyse &amp; Synthese'!W49=1,'1.4 Analyse &amp; Synthese'!F49="Empfehlung"),'1.4 Analyse &amp; Synthese'!I49&amp;CHAR(13)&amp;"("&amp;'(Codierung)'!$C$2&amp;" - "&amp;'1.4 Analyse &amp; Synthese'!C49&amp;")","")</f>
        <v/>
      </c>
      <c r="AT48" s="387" t="str">
        <f t="array" ref="AT48">_xlfn.IFNA(INDEX($AS$6:$AS$66,MATCH(0,COUNTIF($AT$4:AT47,$AS$6:$AS$66),0),1),"")</f>
        <v/>
      </c>
      <c r="AU48" s="277" t="str">
        <f>IF(AND('1.4 Analyse &amp; Synthese'!W49=1,'1.4 Analyse &amp; Synthese'!F49="Methode"),'1.4 Analyse &amp; Synthese'!I49&amp;CHAR(13)&amp;"("&amp;'(Codierung)'!$C$3&amp;" - "&amp;'1.4 Analyse &amp; Synthese'!C49&amp;")","")</f>
        <v/>
      </c>
      <c r="AV48" s="387" t="str">
        <f t="array" ref="AV48">_xlfn.IFNA(INDEX($AU$6:$AU$66,MATCH(0,COUNTIF($AV$4:AV47,$AU$6:$AU$66),0),1),"")</f>
        <v/>
      </c>
      <c r="AW48" s="277" t="str">
        <f>IF(AND('1.4 Analyse &amp; Synthese'!W49=1,'1.4 Analyse &amp; Synthese'!F49="Werkzeug"),'1.4 Analyse &amp; Synthese'!I49&amp;CHAR(13)&amp;"("&amp;'(Codierung)'!$C$4&amp;" - "&amp;'1.4 Analyse &amp; Synthese'!C49&amp;")","")</f>
        <v/>
      </c>
      <c r="AX48" s="387" t="str">
        <f t="array" ref="AX48">_xlfn.IFNA(INDEX($AW$6:$AW$66,MATCH(0,COUNTIF($AX$4:AX47,$AW$6:$AW$66),0),1),"")</f>
        <v/>
      </c>
      <c r="AZ48" s="277" t="str">
        <f>IF(AND('1.4 Analyse &amp; Synthese'!X49=1,'1.4 Analyse &amp; Synthese'!F49="Empfehlung"),'1.4 Analyse &amp; Synthese'!I49&amp;CHAR(13)&amp;"("&amp;'(Codierung)'!$C$2&amp;" - "&amp;'1.4 Analyse &amp; Synthese'!C49&amp;")","")</f>
        <v/>
      </c>
      <c r="BA48" s="387" t="str">
        <f t="array" ref="BA48">_xlfn.IFNA(INDEX($AZ$6:$AZ$66,MATCH(0,COUNTIF($BA$4:BA47,$AZ$6:$AZ$66),0),1),"")</f>
        <v/>
      </c>
      <c r="BB48" s="277" t="str">
        <f>IF(AND('1.4 Analyse &amp; Synthese'!X49=1,'1.4 Analyse &amp; Synthese'!F49="Methode"),'1.4 Analyse &amp; Synthese'!I49&amp;CHAR(13)&amp;"("&amp;'(Codierung)'!$C$3&amp;" - "&amp;'1.4 Analyse &amp; Synthese'!C49&amp;")","")</f>
        <v/>
      </c>
      <c r="BC48" s="387" t="str">
        <f t="array" ref="BC48">_xlfn.IFNA(INDEX($BB$6:$BB$66,MATCH(0,COUNTIF($BC$4:BC47,$BB$6:$BB$66),0),1),"")</f>
        <v/>
      </c>
      <c r="BD48" s="277" t="str">
        <f>IF(AND('1.4 Analyse &amp; Synthese'!X49=1,'1.4 Analyse &amp; Synthese'!F49="Werkzeug"),'1.4 Analyse &amp; Synthese'!I49&amp;CHAR(13)&amp;"("&amp;'(Codierung)'!$C$4&amp;" - "&amp;'1.4 Analyse &amp; Synthese'!C49&amp;")","")</f>
        <v/>
      </c>
      <c r="BE48" s="387" t="str">
        <f t="array" ref="BE48">_xlfn.IFNA(INDEX($BD$6:$BD$66,MATCH(0,COUNTIF($BE$4:BE47,$BD$6:$BD$66),0),1),"")</f>
        <v/>
      </c>
      <c r="BG48" s="277" t="str">
        <f>IF(AND('1.4 Analyse &amp; Synthese'!Y49=1,'1.4 Analyse &amp; Synthese'!F49="Empfehlung"),'1.4 Analyse &amp; Synthese'!I49&amp;CHAR(13)&amp;"("&amp;'(Codierung)'!$C$2&amp;" - "&amp;'1.4 Analyse &amp; Synthese'!C49&amp;")","")</f>
        <v/>
      </c>
      <c r="BH48" s="387" t="str">
        <f t="array" ref="BH48">_xlfn.IFNA(INDEX($BG$6:$BG$66,MATCH(0,COUNTIF($BH$4:BH47,$BG$6:$BG$66),0),1),"")</f>
        <v/>
      </c>
      <c r="BI48" s="277" t="str">
        <f>IF(AND('1.4 Analyse &amp; Synthese'!Y49=1,'1.4 Analyse &amp; Synthese'!F49="Methode"),'1.4 Analyse &amp; Synthese'!I49&amp;CHAR(13)&amp;"("&amp;'(Codierung)'!$C$3&amp;" - "&amp;'1.4 Analyse &amp; Synthese'!C49&amp;")","")</f>
        <v/>
      </c>
      <c r="BJ48" s="387" t="str">
        <f t="array" ref="BJ48">_xlfn.IFNA(INDEX($BI$6:$BI$66,MATCH(0,COUNTIF($BJ$4:BJ47,$BI$6:$BI$66),0),1),"")</f>
        <v/>
      </c>
      <c r="BK48" s="277" t="str">
        <f>IF(AND('1.4 Analyse &amp; Synthese'!Y49=1,'1.4 Analyse &amp; Synthese'!F49="Werkzeug"),'1.4 Analyse &amp; Synthese'!I49&amp;CHAR(13)&amp;"("&amp;'(Codierung)'!$C$4&amp;" - "&amp;'1.4 Analyse &amp; Synthese'!C49&amp;")","")</f>
        <v/>
      </c>
      <c r="BL48" s="387" t="str">
        <f t="array" ref="BL48">_xlfn.IFNA(INDEX($BK$6:$BK$66,MATCH(0,COUNTIF($BL$4:BL47,$BK$6:$BK$66),0),1),"")</f>
        <v/>
      </c>
      <c r="BN48" s="277" t="str">
        <f>IF(AND('1.4 Analyse &amp; Synthese'!Z49=1,'1.4 Analyse &amp; Synthese'!F49="Empfehlung"),'1.4 Analyse &amp; Synthese'!I49&amp;CHAR(13)&amp;"("&amp;'(Codierung)'!$C$2&amp;" - "&amp;'1.4 Analyse &amp; Synthese'!C49&amp;")","")</f>
        <v/>
      </c>
      <c r="BO48" s="387" t="str">
        <f t="array" ref="BO48">_xlfn.IFNA(INDEX($BN$6:$BN$66,MATCH(0,COUNTIF($BO$4:BO47,$BN$6:$BN$66),0),1),"")</f>
        <v/>
      </c>
      <c r="BP48" s="277" t="str">
        <f>IF(AND('1.4 Analyse &amp; Synthese'!Z49=1,'1.4 Analyse &amp; Synthese'!F49="Methode"),'1.4 Analyse &amp; Synthese'!I49&amp;CHAR(13)&amp;"("&amp;'(Codierung)'!$C$3&amp;" - "&amp;'1.4 Analyse &amp; Synthese'!C49&amp;")","")</f>
        <v/>
      </c>
      <c r="BQ48" s="387" t="str">
        <f t="array" ref="BQ48">_xlfn.IFNA(INDEX($BP$6:$BP$66,MATCH(0,COUNTIF($BQ$4:BQ47,$BP$6:$BP$66),0),1),"")</f>
        <v/>
      </c>
      <c r="BR48" s="277" t="str">
        <f>IF(AND('1.4 Analyse &amp; Synthese'!Z49=1,'1.4 Analyse &amp; Synthese'!F49="Werkzeug"),'1.4 Analyse &amp; Synthese'!I49&amp;CHAR(13)&amp;"("&amp;'(Codierung)'!$C$4&amp;" - "&amp;'1.4 Analyse &amp; Synthese'!C49&amp;")","")</f>
        <v/>
      </c>
      <c r="BS48" s="387" t="str">
        <f t="array" ref="BS48">_xlfn.IFNA(INDEX($BR$6:$BR$66,MATCH(0,COUNTIF($BS$4:BS47,$BR$6:$BR$66),0),1),"")</f>
        <v/>
      </c>
      <c r="BU48" s="277" t="str">
        <f>IF(AND('1.4 Analyse &amp; Synthese'!AA49=1,'1.4 Analyse &amp; Synthese'!F49="Empfehlung"),'1.4 Analyse &amp; Synthese'!I49&amp;CHAR(13)&amp;"("&amp;'(Codierung)'!$C$2&amp;" - "&amp;'1.4 Analyse &amp; Synthese'!C49&amp;")","")</f>
        <v/>
      </c>
      <c r="BV48" s="387" t="str">
        <f t="array" ref="BV48">_xlfn.IFNA(INDEX($BU$6:$BU$66,MATCH(0,COUNTIF($BV$4:BV47,$BU$6:$BU$66),0),1),"")</f>
        <v/>
      </c>
      <c r="BW48" s="277" t="str">
        <f>IF(AND('1.4 Analyse &amp; Synthese'!AA49=1,'1.4 Analyse &amp; Synthese'!F49="Methode"),'1.4 Analyse &amp; Synthese'!I49&amp;CHAR(13)&amp;"("&amp;'(Codierung)'!$C$3&amp;" - "&amp;'1.4 Analyse &amp; Synthese'!C49&amp;")","")</f>
        <v/>
      </c>
      <c r="BX48" s="387" t="str">
        <f t="array" ref="BX48">_xlfn.IFNA(INDEX($BW$6:$BW$66,MATCH(0,COUNTIF($BX$4:BX47,$BW$6:$BW$66),0),1),"")</f>
        <v/>
      </c>
      <c r="BY48" s="277" t="str">
        <f>IF(AND('1.4 Analyse &amp; Synthese'!AA49=1,'1.4 Analyse &amp; Synthese'!F49="Werkzeug"),'1.4 Analyse &amp; Synthese'!I49&amp;CHAR(13)&amp;"("&amp;'(Codierung)'!$C$4&amp;" - "&amp;'1.4 Analyse &amp; Synthese'!C49&amp;")","")</f>
        <v/>
      </c>
      <c r="BZ48" s="387" t="str">
        <f t="array" ref="BZ48">_xlfn.IFNA(INDEX($BY$6:$BY$66,MATCH(0,COUNTIF($BZ$4:BZ47,$BY$6:$BY$66),0),1),"")</f>
        <v/>
      </c>
      <c r="CB48" s="277" t="str">
        <f>IF(AND('1.4 Analyse &amp; Synthese'!AB49=1,'1.4 Analyse &amp; Synthese'!F49="Empfehlung"),'1.4 Analyse &amp; Synthese'!I49&amp;CHAR(13)&amp;"("&amp;'(Codierung)'!$C$2&amp;" - "&amp;'1.4 Analyse &amp; Synthese'!C49&amp;")","")</f>
        <v/>
      </c>
      <c r="CC48" s="387" t="str">
        <f t="array" ref="CC48">_xlfn.IFNA(INDEX($CB$6:$CB$66,MATCH(0,COUNTIF($CC$4:CC47,$CB$6:$CB$66),0),1),"")</f>
        <v/>
      </c>
      <c r="CD48" s="277" t="str">
        <f>IF(AND('1.4 Analyse &amp; Synthese'!AB49=1,'1.4 Analyse &amp; Synthese'!F49="Methode"),'1.4 Analyse &amp; Synthese'!I49&amp;CHAR(13)&amp;"("&amp;'(Codierung)'!$C$3&amp;" - "&amp;'1.4 Analyse &amp; Synthese'!C49&amp;")","")</f>
        <v/>
      </c>
      <c r="CE48" s="387" t="str">
        <f t="array" ref="CE48">_xlfn.IFNA(INDEX($CD$6:$CD$66,MATCH(0,COUNTIF($CE$4:CE47,$CD$6:$CD$66),0),1),"")</f>
        <v/>
      </c>
      <c r="CF48" s="277" t="str">
        <f>IF(AND('1.4 Analyse &amp; Synthese'!AB49=1,'1.4 Analyse &amp; Synthese'!F49="Werkzeug"),'1.4 Analyse &amp; Synthese'!I49&amp;CHAR(13)&amp;"("&amp;'(Codierung)'!$C$4&amp;" - "&amp;'1.4 Analyse &amp; Synthese'!C49&amp;")","")</f>
        <v/>
      </c>
      <c r="CG48" s="387" t="str">
        <f t="array" ref="CG48">_xlfn.IFNA(INDEX($CF$6:$CF$66,MATCH(0,COUNTIF($CG$4:CG47,$CF$6:$CF$66),0),1),"")</f>
        <v/>
      </c>
      <c r="CI48" s="277" t="str">
        <f>IF(AND('1.4 Analyse &amp; Synthese'!AC49=1,'1.4 Analyse &amp; Synthese'!F49="Empfehlung"),'1.4 Analyse &amp; Synthese'!I49&amp;CHAR(13)&amp;"("&amp;'(Codierung)'!$C$2&amp;" - "&amp;'1.4 Analyse &amp; Synthese'!C49&amp;")","")</f>
        <v/>
      </c>
      <c r="CJ48" s="387" t="str">
        <f t="array" ref="CJ48">_xlfn.IFNA(INDEX($CI$6:$CI$66,MATCH(0,COUNTIF($CJ$4:CJ47,$CI$6:$CI$66),0),1),"")</f>
        <v/>
      </c>
      <c r="CK48" s="277" t="str">
        <f>IF(AND('1.4 Analyse &amp; Synthese'!AC49=1,'1.4 Analyse &amp; Synthese'!F49="Methode"),'1.4 Analyse &amp; Synthese'!I49&amp;CHAR(13)&amp;"("&amp;'(Codierung)'!$C$3&amp;" - "&amp;'1.4 Analyse &amp; Synthese'!C49&amp;")","")</f>
        <v/>
      </c>
      <c r="CL48" s="387" t="str">
        <f t="array" ref="CL48">_xlfn.IFNA(INDEX($CK$6:$CK$66,MATCH(0,COUNTIF($CL$4:CL47,$CK$6:$CK$66),0),1),"")</f>
        <v/>
      </c>
      <c r="CM48" s="277" t="str">
        <f>IF(AND('1.4 Analyse &amp; Synthese'!AC49=1,'1.4 Analyse &amp; Synthese'!F49="Werkzeug"),'1.4 Analyse &amp; Synthese'!I49&amp;CHAR(13)&amp;"("&amp;'(Codierung)'!$C$4&amp;" - "&amp;'1.4 Analyse &amp; Synthese'!C49&amp;")","")</f>
        <v/>
      </c>
      <c r="CN48" s="387" t="str">
        <f t="array" ref="CN48">_xlfn.IFNA(INDEX($CM$6:$CM$66,MATCH(0,COUNTIF($CN$4:CN47,$CM$6:$CM$66),0),1),"")</f>
        <v/>
      </c>
      <c r="CP48" s="277" t="str">
        <f>IF(AND('1.4 Analyse &amp; Synthese'!AD49=1,'1.4 Analyse &amp; Synthese'!F49="Empfehlung"),'1.4 Analyse &amp; Synthese'!I49&amp;CHAR(13)&amp;"("&amp;'(Codierung)'!$C$2&amp;" - "&amp;'1.4 Analyse &amp; Synthese'!C49&amp;")","")</f>
        <v/>
      </c>
      <c r="CQ48" s="387" t="str">
        <f t="array" ref="CQ48">_xlfn.IFNA(INDEX($CP$6:$CP$66,MATCH(0,COUNTIF($CQ$4:CQ47,$CP$6:$CP$66),0),1),"")</f>
        <v/>
      </c>
      <c r="CR48" s="277" t="str">
        <f>IF(AND('1.4 Analyse &amp; Synthese'!AD49=1,'1.4 Analyse &amp; Synthese'!F49="Methode"),'1.4 Analyse &amp; Synthese'!I49&amp;CHAR(13)&amp;"("&amp;'(Codierung)'!$C$3&amp;" - "&amp;'1.4 Analyse &amp; Synthese'!C49&amp;")","")</f>
        <v/>
      </c>
      <c r="CS48" s="387" t="str">
        <f t="array" ref="CS48">_xlfn.IFNA(INDEX($CR$6:$CR$66,MATCH(0,COUNTIF($CS$4:CS47,$CR$6:$CR$66),0),1),"")</f>
        <v/>
      </c>
      <c r="CT48" s="277" t="str">
        <f>IF(AND('1.4 Analyse &amp; Synthese'!AD49=1,'1.4 Analyse &amp; Synthese'!F49="Werkzeug"),'1.4 Analyse &amp; Synthese'!I49&amp;CHAR(13)&amp;"("&amp;'(Codierung)'!$C$4&amp;" - "&amp;'1.4 Analyse &amp; Synthese'!C49&amp;")","")</f>
        <v/>
      </c>
      <c r="CU48" s="387" t="str">
        <f t="array" ref="CU48">_xlfn.IFNA(INDEX($CT$6:$CT$66,MATCH(0,COUNTIF($CU$4:CU47,$CT$6:$CT$66),0),1),"")</f>
        <v/>
      </c>
      <c r="CW48" s="277" t="str">
        <f>IF(AND('1.4 Analyse &amp; Synthese'!AE49=1,'1.4 Analyse &amp; Synthese'!F49="Empfehlung"),'1.4 Analyse &amp; Synthese'!I49&amp;CHAR(13)&amp;"("&amp;'(Codierung)'!$C$2&amp;" - "&amp;'1.4 Analyse &amp; Synthese'!C49&amp;")","")</f>
        <v/>
      </c>
      <c r="CX48" s="387" t="str">
        <f t="array" ref="CX48">_xlfn.IFNA(INDEX($CW$6:$CW$66,MATCH(0,COUNTIF($CX$4:CX47,$CW$6:$CW$66),0),1),"")</f>
        <v/>
      </c>
      <c r="CY48" s="277" t="str">
        <f>IF(AND('1.4 Analyse &amp; Synthese'!AE49=1,'1.4 Analyse &amp; Synthese'!F49="Methode"),'1.4 Analyse &amp; Synthese'!I49&amp;CHAR(13)&amp;"("&amp;'(Codierung)'!$C$3&amp;" - "&amp;'1.4 Analyse &amp; Synthese'!C49&amp;")","")</f>
        <v/>
      </c>
      <c r="CZ48" s="387" t="str">
        <f t="array" ref="CZ48">_xlfn.IFNA(INDEX($CY$6:$CY$66,MATCH(0,COUNTIF($CZ$4:CZ47,$CY$6:$CY$66),0),1),"")</f>
        <v/>
      </c>
      <c r="DA48" s="277" t="str">
        <f>IF(AND('1.4 Analyse &amp; Synthese'!AE49=1,'1.4 Analyse &amp; Synthese'!F49="Werkzeug"),'1.4 Analyse &amp; Synthese'!I49&amp;CHAR(13)&amp;"("&amp;'(Codierung)'!$C$4&amp;" - "&amp;'1.4 Analyse &amp; Synthese'!C49&amp;")","")</f>
        <v/>
      </c>
      <c r="DB48" s="387" t="str">
        <f t="array" ref="DB48">_xlfn.IFNA(INDEX($DA$6:$DA$66,MATCH(0,COUNTIF($DB$4:DB47,$DA$6:$DA$66),0),1),"")</f>
        <v/>
      </c>
      <c r="DD48" s="277" t="str">
        <f>IF(AND('1.4 Analyse &amp; Synthese'!AF49=1,'1.4 Analyse &amp; Synthese'!F49="Empfehlung"),'1.4 Analyse &amp; Synthese'!I49&amp;CHAR(13)&amp;"("&amp;'(Codierung)'!$C$2&amp;" - "&amp;'1.4 Analyse &amp; Synthese'!C49&amp;")","")</f>
        <v/>
      </c>
      <c r="DE48" s="387" t="str">
        <f t="array" ref="DE48">_xlfn.IFNA(INDEX($DD$6:$DD$66,MATCH(0,COUNTIF($DE$4:DE47,$DD$6:$DD$66),0),1),"")</f>
        <v/>
      </c>
      <c r="DF48" s="277" t="str">
        <f>IF(AND('1.4 Analyse &amp; Synthese'!AF49=1,'1.4 Analyse &amp; Synthese'!F49="Methode"),'1.4 Analyse &amp; Synthese'!I49&amp;CHAR(13)&amp;"("&amp;'(Codierung)'!$C$3&amp;" - "&amp;'1.4 Analyse &amp; Synthese'!C49&amp;")","")</f>
        <v/>
      </c>
      <c r="DG48" s="387" t="str">
        <f t="array" ref="DG48">_xlfn.IFNA(INDEX($DF$6:$DF$66,MATCH(0,COUNTIF($DG$4:DG47,$DF$6:$DF$66),0),1),"")</f>
        <v/>
      </c>
      <c r="DH48" s="277" t="str">
        <f>IF(AND('1.4 Analyse &amp; Synthese'!AF49=1,'1.4 Analyse &amp; Synthese'!F49="Werkzeug"),'1.4 Analyse &amp; Synthese'!I49&amp;CHAR(13)&amp;"("&amp;'(Codierung)'!$C$4&amp;" - "&amp;'1.4 Analyse &amp; Synthese'!C49&amp;")","")</f>
        <v/>
      </c>
      <c r="DI48" s="387" t="str">
        <f t="array" ref="DI48">_xlfn.IFNA(INDEX($DH$6:$DH$66,MATCH(0,COUNTIF($DI$4:DI47,$DH$6:$DH$66),0),1),"")</f>
        <v/>
      </c>
      <c r="DK48" s="277" t="str">
        <f>IF(AND('1.4 Analyse &amp; Synthese'!AG49=1,'1.4 Analyse &amp; Synthese'!F49="Empfehlung"),'1.4 Analyse &amp; Synthese'!I49&amp;CHAR(13)&amp;"("&amp;'(Codierung)'!$C$2&amp;" - "&amp;'1.4 Analyse &amp; Synthese'!C49&amp;")","")</f>
        <v/>
      </c>
      <c r="DL48" s="387" t="str">
        <f t="array" ref="DL48">_xlfn.IFNA(INDEX($DK$6:$DK$66,MATCH(0,COUNTIF($DL$4:DL47,$DK$6:$DK$66),0),1),"")</f>
        <v/>
      </c>
      <c r="DM48" s="277" t="str">
        <f>IF(AND('1.4 Analyse &amp; Synthese'!AG49=1,'1.4 Analyse &amp; Synthese'!F49="Methode"),'1.4 Analyse &amp; Synthese'!I49&amp;CHAR(13)&amp;"("&amp;'(Codierung)'!$C$3&amp;" - "&amp;'1.4 Analyse &amp; Synthese'!C49&amp;")","")</f>
        <v/>
      </c>
      <c r="DN48" s="387" t="str">
        <f t="array" ref="DN48">_xlfn.IFNA(INDEX($DM$6:$DM$66,MATCH(0,COUNTIF($DN$4:DN47,$DM$6:$DM$66),0),1),"")</f>
        <v/>
      </c>
      <c r="DO48" s="277" t="str">
        <f>IF(AND('1.4 Analyse &amp; Synthese'!AG49=1,'1.4 Analyse &amp; Synthese'!F49="Werkzeug"),'1.4 Analyse &amp; Synthese'!I49&amp;CHAR(13)&amp;"("&amp;'(Codierung)'!$C$4&amp;" - "&amp;'1.4 Analyse &amp; Synthese'!C49&amp;")","")</f>
        <v/>
      </c>
      <c r="DP48" s="387" t="str">
        <f t="array" ref="DP48">_xlfn.IFNA(INDEX($DO$6:$DO$66,MATCH(0,COUNTIF($DP$4:DP47,$DO$6:$DO$66),0),1),"")</f>
        <v/>
      </c>
      <c r="DR48" s="277" t="str">
        <f>IF(AND('1.4 Analyse &amp; Synthese'!AH49=1,'1.4 Analyse &amp; Synthese'!F49="Empfehlung"),'1.4 Analyse &amp; Synthese'!I49&amp;CHAR(13)&amp;"("&amp;'(Codierung)'!$C$2&amp;" - "&amp;'1.4 Analyse &amp; Synthese'!C49&amp;")","")</f>
        <v/>
      </c>
      <c r="DS48" s="387" t="str">
        <f t="array" ref="DS48">_xlfn.IFNA(INDEX($DR$6:$DR$66,MATCH(0,COUNTIF($DS$4:DS47,$DR$6:$DR$66),0),1),"")</f>
        <v/>
      </c>
      <c r="DT48" s="277" t="str">
        <f>IF(AND('1.4 Analyse &amp; Synthese'!AH49=1,'1.4 Analyse &amp; Synthese'!F49="Methode"),'1.4 Analyse &amp; Synthese'!I49&amp;CHAR(13)&amp;"("&amp;'(Codierung)'!$C$3&amp;" - "&amp;'1.4 Analyse &amp; Synthese'!C49&amp;")","")</f>
        <v/>
      </c>
      <c r="DU48" s="387" t="str">
        <f t="array" ref="DU48">_xlfn.IFNA(INDEX($DT$6:$DT$66,MATCH(0,COUNTIF($DU$4:DU47,$DT$6:$DT$66),0),1),"")</f>
        <v/>
      </c>
      <c r="DV48" s="277" t="str">
        <f>IF(AND('1.4 Analyse &amp; Synthese'!AH49=1,'1.4 Analyse &amp; Synthese'!F49="Werkzeug"),'1.4 Analyse &amp; Synthese'!I49&amp;CHAR(13)&amp;"("&amp;'(Codierung)'!$C$4&amp;" - "&amp;'1.4 Analyse &amp; Synthese'!C49&amp;")","")</f>
        <v/>
      </c>
      <c r="DW48" s="387" t="str">
        <f t="array" ref="DW48">_xlfn.IFNA(INDEX($DV$6:$DV$66,MATCH(0,COUNTIF($DW$4:DW47,$DV$6:$DV$66),0),1),"")</f>
        <v/>
      </c>
      <c r="DY48" s="277" t="str">
        <f>IF(AND('1.4 Analyse &amp; Synthese'!AI49=1,'1.4 Analyse &amp; Synthese'!F49="Empfehlung"),'1.4 Analyse &amp; Synthese'!I49&amp;CHAR(13)&amp;"("&amp;'(Codierung)'!$C$2&amp;" - "&amp;'1.4 Analyse &amp; Synthese'!C49&amp;")","")</f>
        <v/>
      </c>
      <c r="DZ48" s="387" t="str">
        <f t="array" ref="DZ48">_xlfn.IFNA(INDEX($DY$6:$DY$66,MATCH(0,COUNTIF($DZ$4:DZ47,$DY$6:$DY$66),0),1),"")</f>
        <v/>
      </c>
      <c r="EA48" s="277" t="str">
        <f>IF(AND('1.4 Analyse &amp; Synthese'!AI49=1,'1.4 Analyse &amp; Synthese'!F49="Methode"),'1.4 Analyse &amp; Synthese'!I49&amp;CHAR(13)&amp;"("&amp;'(Codierung)'!$C$3&amp;" - "&amp;'1.4 Analyse &amp; Synthese'!C49&amp;")","")</f>
        <v/>
      </c>
      <c r="EB48" s="387" t="str">
        <f t="array" ref="EB48">_xlfn.IFNA(INDEX($EA$6:$EA$66,MATCH(0,COUNTIF($EB$4:EB47,$EA$6:$EA$66),0),1),"")</f>
        <v/>
      </c>
      <c r="EC48" s="277" t="str">
        <f>IF(AND('1.4 Analyse &amp; Synthese'!AI49=1,'1.4 Analyse &amp; Synthese'!F49="Werkzeug"),'1.4 Analyse &amp; Synthese'!I49&amp;CHAR(13)&amp;"("&amp;'(Codierung)'!$C$4&amp;" - "&amp;'1.4 Analyse &amp; Synthese'!C49&amp;")","")</f>
        <v/>
      </c>
      <c r="ED48" s="277" t="str">
        <f t="array" ref="ED48">_xlfn.IFNA(INDEX($EC$6:$EC$66,MATCH(0,COUNTIF($ED$4:ED47,$EC$6:$EC$66),0),1),"")</f>
        <v/>
      </c>
      <c r="EF48" s="277" t="str">
        <f>IF(AND('1.4 Analyse &amp; Synthese'!AJ49=1,'1.4 Analyse &amp; Synthese'!F49="Empfehlung"),'1.4 Analyse &amp; Synthese'!I49&amp;CHAR(13)&amp;"("&amp;'(Codierung)'!$C$2&amp;" - "&amp;'1.4 Analyse &amp; Synthese'!C49&amp;")","")</f>
        <v/>
      </c>
      <c r="EG48" s="277" t="str">
        <f t="array" ref="EG48">_xlfn.IFNA(INDEX($EF$6:$EF$66,MATCH(0,COUNTIF($EG$4:EG47,$EF$6:$EF$66),0),1),"")</f>
        <v/>
      </c>
      <c r="EH48" s="277" t="str">
        <f>IF(AND('1.4 Analyse &amp; Synthese'!AJ49=1,'1.4 Analyse &amp; Synthese'!F49="Methode"),'1.4 Analyse &amp; Synthese'!I49&amp;CHAR(13)&amp;"("&amp;'(Codierung)'!$C$3&amp;" - "&amp;'1.4 Analyse &amp; Synthese'!C49&amp;")","")</f>
        <v/>
      </c>
      <c r="EI48" s="387" t="str">
        <f t="array" ref="EI48">_xlfn.IFNA(INDEX($EH$6:$EH$66,MATCH(0,COUNTIF($EI$4:EI47,$EH$6:$EH$66),0),1),"")</f>
        <v/>
      </c>
      <c r="EJ48" s="277" t="str">
        <f>IF(AND('1.4 Analyse &amp; Synthese'!AJ49=1,'1.4 Analyse &amp; Synthese'!F49="Werkzeug"),'1.4 Analyse &amp; Synthese'!I49&amp;CHAR(13)&amp;"("&amp;'(Codierung)'!$C$4&amp;" - "&amp;'1.4 Analyse &amp; Synthese'!C49&amp;")","")</f>
        <v/>
      </c>
      <c r="EK48" s="387" t="str">
        <f t="array" ref="EK48">_xlfn.IFNA(INDEX($EJ$6:$EJ$66,MATCH(0,COUNTIF($EK$4:EK47,$EJ$6:$EJ$66),0),1),"")</f>
        <v/>
      </c>
      <c r="EN48" s="222" t="str">
        <f t="shared" si="60"/>
        <v/>
      </c>
      <c r="EO48" s="277" t="str">
        <f t="shared" si="61"/>
        <v/>
      </c>
      <c r="EP48" s="277" t="str">
        <f t="shared" si="62"/>
        <v/>
      </c>
      <c r="EQ48" s="277" t="str">
        <f>ZahlenInBereich(Tabelle1[[Empfehlung]:[Werkzeug]],ROW()-5)</f>
        <v/>
      </c>
      <c r="ER48" s="277" t="str">
        <f t="shared" si="63"/>
        <v/>
      </c>
      <c r="ES48" s="277" t="str">
        <f t="shared" si="64"/>
        <v/>
      </c>
      <c r="ET48" s="277" t="str">
        <f t="shared" si="65"/>
        <v/>
      </c>
      <c r="EU48" s="277" t="str">
        <f>ZahlenInBereich(Tabelle1[[Empfehlung2]:[Werkzeug4]],ROW()-5)</f>
        <v/>
      </c>
      <c r="EV48" s="277" t="str">
        <f t="shared" si="66"/>
        <v/>
      </c>
      <c r="EW48" s="277" t="str">
        <f t="shared" si="67"/>
        <v/>
      </c>
      <c r="EX48" s="277" t="str">
        <f t="shared" si="68"/>
        <v/>
      </c>
      <c r="EY48" s="277" t="str">
        <f>ZahlenInBereich(Tabelle1[[Empfehlung6]:[Werkzeug8]],ROW()-5)</f>
        <v/>
      </c>
      <c r="EZ48" s="277" t="str">
        <f t="shared" si="69"/>
        <v/>
      </c>
      <c r="FA48" s="277" t="str">
        <f t="shared" si="70"/>
        <v/>
      </c>
      <c r="FB48" s="277" t="str">
        <f t="shared" si="71"/>
        <v/>
      </c>
      <c r="FC48" s="277" t="str">
        <f>ZahlenInBereich(Tabelle1[[Empfehlung10]:[Werkzeug12]],ROW()-5)</f>
        <v/>
      </c>
      <c r="FD48" s="277" t="str">
        <f t="shared" si="72"/>
        <v/>
      </c>
      <c r="FE48" s="277" t="str">
        <f t="shared" si="73"/>
        <v/>
      </c>
      <c r="FF48" s="277" t="str">
        <f t="shared" si="74"/>
        <v/>
      </c>
      <c r="FG48" s="277" t="str">
        <f>ZahlenInBereich(Tabelle1[[Empfehlung14]:[Werkzeug16]],ROW()-5)</f>
        <v/>
      </c>
      <c r="FH48" s="277" t="str">
        <f t="shared" si="75"/>
        <v/>
      </c>
      <c r="FI48" s="277" t="str">
        <f t="shared" si="76"/>
        <v/>
      </c>
      <c r="FJ48" s="277" t="str">
        <f t="shared" si="77"/>
        <v/>
      </c>
      <c r="FK48" s="277" t="str">
        <f>ZahlenInBereich(Tabelle1[[Empfehlung18]:[Werkzeug20]],ROW()-5)</f>
        <v/>
      </c>
      <c r="FL48" s="277" t="str">
        <f t="shared" si="78"/>
        <v/>
      </c>
      <c r="FM48" s="277" t="str">
        <f t="shared" si="79"/>
        <v/>
      </c>
      <c r="FN48" s="277" t="str">
        <f t="shared" si="80"/>
        <v/>
      </c>
      <c r="FO48" s="277" t="str">
        <f>ZahlenInBereich(Tabelle1[[Empfehlung22]:[Werkzeug24]],ROW()-5)</f>
        <v/>
      </c>
      <c r="FP48" s="277" t="str">
        <f t="shared" si="81"/>
        <v/>
      </c>
      <c r="FQ48" s="277" t="str">
        <f t="shared" si="82"/>
        <v/>
      </c>
      <c r="FR48" s="277" t="str">
        <f t="shared" si="83"/>
        <v/>
      </c>
      <c r="FS48" s="277" t="str">
        <f>ZahlenInBereich(Tabelle1[[Empfehlung26]:[Werkzeug28]],ROW()-5)</f>
        <v/>
      </c>
      <c r="FT48" s="277" t="str">
        <f t="shared" si="84"/>
        <v/>
      </c>
      <c r="FU48" s="277" t="str">
        <f t="shared" si="85"/>
        <v/>
      </c>
      <c r="FV48" s="277" t="str">
        <f t="shared" si="86"/>
        <v/>
      </c>
      <c r="FW48" s="277" t="str">
        <f>ZahlenInBereich(Tabelle1[[Empfehlung30]:[Werkzeug32]],ROW()-5)</f>
        <v/>
      </c>
      <c r="FX48" s="277" t="str">
        <f t="shared" si="87"/>
        <v/>
      </c>
      <c r="FY48" s="277" t="str">
        <f t="shared" si="88"/>
        <v/>
      </c>
      <c r="FZ48" s="277" t="str">
        <f t="shared" si="89"/>
        <v/>
      </c>
      <c r="GA48" s="277" t="str">
        <f>ZahlenInBereich(Tabelle1[[Empfehlung34]:[Werkzeug36]],ROW()-5)</f>
        <v/>
      </c>
      <c r="GB48" s="277" t="str">
        <f t="shared" si="90"/>
        <v/>
      </c>
      <c r="GC48" s="277" t="str">
        <f t="shared" si="91"/>
        <v/>
      </c>
      <c r="GD48" s="277" t="str">
        <f t="shared" si="92"/>
        <v/>
      </c>
      <c r="GE48" s="277" t="str">
        <f>ZahlenInBereich(Tabelle1[[Empfehlung38]:[Werkzeug40]],ROW()-5)</f>
        <v/>
      </c>
      <c r="GF48" s="277" t="str">
        <f t="shared" si="93"/>
        <v/>
      </c>
      <c r="GG48" s="277" t="str">
        <f t="shared" si="94"/>
        <v/>
      </c>
      <c r="GH48" s="277" t="str">
        <f t="shared" si="95"/>
        <v/>
      </c>
      <c r="GI48" s="277" t="str">
        <f>ZahlenInBereich(Tabelle1[[Empfehlung42]:[Werkzeug44]],ROW()-5)</f>
        <v/>
      </c>
      <c r="GJ48" s="277" t="str">
        <f t="shared" si="96"/>
        <v/>
      </c>
      <c r="GK48" s="277" t="str">
        <f t="shared" si="97"/>
        <v/>
      </c>
      <c r="GL48" s="277" t="str">
        <f t="shared" si="98"/>
        <v/>
      </c>
      <c r="GM48" s="277" t="str">
        <f>ZahlenInBereich(Tabelle1[[Empfehlung46]:[Werkzeug48]],ROW()-5)</f>
        <v/>
      </c>
      <c r="GN48" s="277" t="str">
        <f t="shared" si="99"/>
        <v/>
      </c>
      <c r="GO48" s="277" t="str">
        <f t="shared" si="100"/>
        <v/>
      </c>
      <c r="GP48" s="277" t="str">
        <f t="shared" si="101"/>
        <v/>
      </c>
      <c r="GQ48" s="277" t="str">
        <f>ZahlenInBereich(Tabelle1[[Empfehlung50]:[Werkzeug52]],ROW()-5)</f>
        <v/>
      </c>
      <c r="GR48" s="277" t="str">
        <f t="shared" si="102"/>
        <v/>
      </c>
      <c r="GS48" s="277" t="str">
        <f t="shared" si="103"/>
        <v/>
      </c>
      <c r="GT48" s="277" t="str">
        <f t="shared" si="104"/>
        <v/>
      </c>
      <c r="GU48" s="277" t="str">
        <f>ZahlenInBereich(Tabelle1[[Empfehlung54]:[Werkzeug56]],ROW()-5)</f>
        <v/>
      </c>
      <c r="GV48" s="277" t="str">
        <f t="shared" si="105"/>
        <v/>
      </c>
      <c r="GW48" s="277" t="str">
        <f t="shared" si="106"/>
        <v/>
      </c>
      <c r="GX48" s="277" t="str">
        <f t="shared" si="107"/>
        <v/>
      </c>
      <c r="GY48" s="277" t="str">
        <f>ZahlenInBereich(Tabelle1[[Empfehlung58]:[Werkzeug60]],ROW()-5)</f>
        <v/>
      </c>
      <c r="GZ48" s="277" t="str">
        <f t="shared" si="108"/>
        <v/>
      </c>
      <c r="HA48" s="277" t="str">
        <f t="shared" si="109"/>
        <v/>
      </c>
      <c r="HB48" s="277" t="str">
        <f t="shared" si="110"/>
        <v/>
      </c>
      <c r="HC48" s="277" t="str">
        <f>ZahlenInBereich(Tabelle1[[Empfehlung62]:[Werkzeug64]],ROW()-5)</f>
        <v/>
      </c>
      <c r="HD48" s="277" t="str">
        <f t="shared" si="111"/>
        <v/>
      </c>
      <c r="HE48" s="277" t="str">
        <f t="shared" si="112"/>
        <v/>
      </c>
      <c r="HF48" s="277" t="str">
        <f t="shared" si="113"/>
        <v/>
      </c>
      <c r="HG48" s="277" t="str">
        <f>ZahlenInBereich(Tabelle1[[Empfehlung66]:[Werkzeug68]],ROW()-5)</f>
        <v/>
      </c>
      <c r="HH48" s="277" t="str">
        <f t="shared" si="114"/>
        <v/>
      </c>
      <c r="HI48" s="277" t="str">
        <f t="shared" si="115"/>
        <v/>
      </c>
      <c r="HJ48" s="277" t="str">
        <f t="shared" si="116"/>
        <v/>
      </c>
      <c r="HK48" s="277" t="str">
        <f>ZahlenInBereich(Tabelle1[[Empfehlung70]:[Werkzeug72]],ROW()-5)</f>
        <v/>
      </c>
      <c r="HL48" s="277" t="str">
        <f t="shared" si="117"/>
        <v/>
      </c>
      <c r="HM48" s="277" t="str">
        <f t="shared" si="118"/>
        <v/>
      </c>
      <c r="HN48" s="277" t="str">
        <f t="shared" si="119"/>
        <v/>
      </c>
      <c r="HO48" s="277" t="str">
        <f>ZahlenInBereich(Tabelle1[[Empfehlung74]:[Werkzeug76]],ROW()-5)</f>
        <v/>
      </c>
    </row>
    <row r="49" spans="2:223" x14ac:dyDescent="0.2">
      <c r="B49" s="135">
        <f>'1.4 Analyse &amp; Synthese'!B50</f>
        <v>0</v>
      </c>
      <c r="C49" s="277" t="str">
        <f>IF(AND('1.4 Analyse &amp; Synthese'!Q50=1,'1.4 Analyse &amp; Synthese'!F50="Empfehlung"),'1.4 Analyse &amp; Synthese'!I50&amp;CHAR(13)&amp;"("&amp;'(Codierung)'!$C$2&amp;" - "&amp;'1.4 Analyse &amp; Synthese'!C50&amp;")","")</f>
        <v/>
      </c>
      <c r="D49" s="222" t="str">
        <f t="array" ref="D49">_xlfn.IFNA(INDEX($C$6:$C$66,MATCH(0,COUNTIF($D$4:D48,$C$6:$C$66),0),1),"")</f>
        <v/>
      </c>
      <c r="E49" s="277" t="str">
        <f>IF(AND('1.4 Analyse &amp; Synthese'!Q50=1,'1.4 Analyse &amp; Synthese'!F50="Methode"),'1.4 Analyse &amp; Synthese'!I50&amp;CHAR(13)&amp;"("&amp;'(Codierung)'!$C$3&amp;" - "&amp;'1.4 Analyse &amp; Synthese'!C50&amp;")","")</f>
        <v/>
      </c>
      <c r="F49" s="387" t="str">
        <f t="array" ref="F49">_xlfn.IFNA(INDEX($E$6:$E$66,MATCH(0,COUNTIF($F$4:F48,$E$6:$E$66),0),1),"")</f>
        <v/>
      </c>
      <c r="G49" s="277" t="str">
        <f>IF(AND('1.4 Analyse &amp; Synthese'!Q50=1,'1.4 Analyse &amp; Synthese'!F50="Werkzeug"),'1.4 Analyse &amp; Synthese'!I50&amp;CHAR(13)&amp;"("&amp;'(Codierung)'!$C$4&amp;" - "&amp;'1.4 Analyse &amp; Synthese'!C50&amp;")","")</f>
        <v/>
      </c>
      <c r="H49" s="387" t="str">
        <f t="array" ref="H49">_xlfn.IFNA(INDEX($G$6:$G$66,MATCH(0,COUNTIF($H$4:H48,$G$6:$G$66),0),1),"")</f>
        <v/>
      </c>
      <c r="J49" s="277" t="str">
        <f>IF(AND('1.4 Analyse &amp; Synthese'!R50=1,'1.4 Analyse &amp; Synthese'!F50="Empfehlung"),'1.4 Analyse &amp; Synthese'!I50&amp;CHAR(13)&amp;"("&amp;'(Codierung)'!$C$2&amp;" - "&amp;'1.4 Analyse &amp; Synthese'!C50&amp;")","")</f>
        <v/>
      </c>
      <c r="K49" s="387" t="str">
        <f t="array" ref="K49">_xlfn.IFNA(INDEX($J$6:$J$66,MATCH(0,COUNTIF($K$4:K48,$J$6:$J$66),0),1),"")</f>
        <v/>
      </c>
      <c r="L49" s="277" t="str">
        <f>IF(AND('1.4 Analyse &amp; Synthese'!R50=1,'1.4 Analyse &amp; Synthese'!F50="Methode"),'1.4 Analyse &amp; Synthese'!I50&amp;CHAR(13)&amp;"("&amp;'(Codierung)'!$C$3&amp;" - "&amp;'1.4 Analyse &amp; Synthese'!C50&amp;")","")</f>
        <v/>
      </c>
      <c r="M49" s="387" t="str">
        <f t="array" ref="M49">_xlfn.IFNA(INDEX($L$6:$L$66,MATCH(0,COUNTIF($M$4:M48,$L$6:$L$66),0),1),"")</f>
        <v/>
      </c>
      <c r="N49" s="277" t="str">
        <f>IF(AND('1.4 Analyse &amp; Synthese'!R50=1,'1.4 Analyse &amp; Synthese'!F50="Werkzeug"),'1.4 Analyse &amp; Synthese'!I50&amp;CHAR(13)&amp;"("&amp;'(Codierung)'!$C$4&amp;" - "&amp;'1.4 Analyse &amp; Synthese'!C50&amp;")","")</f>
        <v/>
      </c>
      <c r="O49" s="387" t="str">
        <f t="array" ref="O49">_xlfn.IFNA(INDEX($N$6:$N$66,MATCH(0,COUNTIF($O$4:O48,$N$6:$N$66),0),1),"")</f>
        <v/>
      </c>
      <c r="Q49" s="277" t="str">
        <f>IF(AND('1.4 Analyse &amp; Synthese'!S50=1,'1.4 Analyse &amp; Synthese'!F50="Empfehlung"),'1.4 Analyse &amp; Synthese'!I50&amp;CHAR(13)&amp;"("&amp;'(Codierung)'!$C$2&amp;" - "&amp;'1.4 Analyse &amp; Synthese'!C50&amp;")","")</f>
        <v/>
      </c>
      <c r="R49" s="387" t="str">
        <f t="array" ref="R49">_xlfn.IFNA(INDEX($Q$6:$Q$66,MATCH(0,COUNTIF($R$4:R48,$Q$6:$Q$66),0),1),"")</f>
        <v/>
      </c>
      <c r="S49" s="277" t="str">
        <f>IF(AND('1.4 Analyse &amp; Synthese'!S50=1,'1.4 Analyse &amp; Synthese'!F50="Methode"),'1.4 Analyse &amp; Synthese'!I50&amp;CHAR(13)&amp;"("&amp;'(Codierung)'!$C$3&amp;" - "&amp;'1.4 Analyse &amp; Synthese'!C50&amp;")","")</f>
        <v/>
      </c>
      <c r="T49" s="387" t="str">
        <f t="array" ref="T49">_xlfn.IFNA(INDEX($S$6:$S$66,MATCH(0,COUNTIF($T$4:T48,$S$6:$S$66),0),1),"")</f>
        <v/>
      </c>
      <c r="U49" s="277" t="str">
        <f>IF(AND('1.4 Analyse &amp; Synthese'!S50=1,'1.4 Analyse &amp; Synthese'!F50="Werkzeug"),'1.4 Analyse &amp; Synthese'!I50&amp;CHAR(13)&amp;"("&amp;'(Codierung)'!$C$4&amp;" - "&amp;'1.4 Analyse &amp; Synthese'!C50&amp;")","")</f>
        <v/>
      </c>
      <c r="V49" s="387" t="str">
        <f t="array" ref="V49">_xlfn.IFNA(INDEX($U$6:$U$66,MATCH(0,COUNTIF($V$4:V48,$U$6:$U$66),0),1),"")</f>
        <v/>
      </c>
      <c r="X49" s="277" t="str">
        <f>IF(AND('1.4 Analyse &amp; Synthese'!T50=1,'1.4 Analyse &amp; Synthese'!F50="Empfehlung"),'1.4 Analyse &amp; Synthese'!I50&amp;CHAR(13)&amp;"("&amp;'(Codierung)'!$C$2&amp;" - "&amp;'1.4 Analyse &amp; Synthese'!C50&amp;")","")</f>
        <v/>
      </c>
      <c r="Y49" s="387" t="str">
        <f t="array" ref="Y49">_xlfn.IFNA(INDEX($X$6:$X$66,MATCH(0,COUNTIF($Y$4:Y48,$X$6:$X$66),0),1),"")</f>
        <v/>
      </c>
      <c r="Z49" s="277" t="str">
        <f>IF(AND('1.4 Analyse &amp; Synthese'!T50=1,'1.4 Analyse &amp; Synthese'!F50="Methode"),'1.4 Analyse &amp; Synthese'!I50&amp;CHAR(13)&amp;"("&amp;'(Codierung)'!$C$3&amp;" - "&amp;'1.4 Analyse &amp; Synthese'!C50&amp;")","")</f>
        <v/>
      </c>
      <c r="AA49" s="387" t="str">
        <f t="array" ref="AA49">_xlfn.IFNA(INDEX($Z$6:$Z$66,MATCH(0,COUNTIF($AA$4:AA48,$Z$6:$Z$66),0),1),"")</f>
        <v/>
      </c>
      <c r="AB49" s="277" t="str">
        <f>IF(AND('1.4 Analyse &amp; Synthese'!T50=1,'1.4 Analyse &amp; Synthese'!F50="Werkzeug"),'1.4 Analyse &amp; Synthese'!I50&amp;CHAR(13)&amp;"("&amp;'(Codierung)'!$C$4&amp;" - "&amp;'1.4 Analyse &amp; Synthese'!C50&amp;")","")</f>
        <v/>
      </c>
      <c r="AC49" s="387" t="str">
        <f t="array" ref="AC49">_xlfn.IFNA(INDEX($AB$6:$AB$66,MATCH(0,COUNTIF($AC$4:AC48,$AB$6:$AB$66),0),1),"")</f>
        <v/>
      </c>
      <c r="AE49" s="277" t="str">
        <f>IF(AND('1.4 Analyse &amp; Synthese'!U50=1,'1.4 Analyse &amp; Synthese'!F50="Empfehlung"),'1.4 Analyse &amp; Synthese'!I50&amp;CHAR(13)&amp;"("&amp;'(Codierung)'!$C$2&amp;" - "&amp;'1.4 Analyse &amp; Synthese'!C50&amp;")","")</f>
        <v/>
      </c>
      <c r="AF49" s="387" t="str">
        <f t="array" ref="AF49">_xlfn.IFNA(INDEX($AE$6:$AE$66,MATCH(0,COUNTIF($AF$4:AF48,$AE$6:$AE$66),0),1),"")</f>
        <v/>
      </c>
      <c r="AG49" s="277" t="str">
        <f>IF(AND('1.4 Analyse &amp; Synthese'!U50=1,'1.4 Analyse &amp; Synthese'!F50="Methode"),'1.4 Analyse &amp; Synthese'!I50&amp;CHAR(13)&amp;"("&amp;'(Codierung)'!$C$3&amp;" - "&amp;'1.4 Analyse &amp; Synthese'!C50&amp;")","")</f>
        <v/>
      </c>
      <c r="AH49" s="387" t="str">
        <f t="array" ref="AH49">_xlfn.IFNA(INDEX($AG$6:$AG$66,MATCH(0,COUNTIF($AH$4:AH48,$AG$6:$AG$66),0),1),"")</f>
        <v/>
      </c>
      <c r="AI49" s="277" t="str">
        <f>IF(AND('1.4 Analyse &amp; Synthese'!U50=1,'1.4 Analyse &amp; Synthese'!F50="Werkzeug"),'1.4 Analyse &amp; Synthese'!I50&amp;CHAR(13)&amp;"("&amp;'(Codierung)'!$C$4&amp;" - "&amp;'1.4 Analyse &amp; Synthese'!C50&amp;")","")</f>
        <v/>
      </c>
      <c r="AJ49" s="387" t="str">
        <f t="array" ref="AJ49">_xlfn.IFNA(INDEX($AI$6:$AI$66,MATCH(0,COUNTIF($AJ$4:AJ48,$AI$6:$AI$66),0),1),"")</f>
        <v/>
      </c>
      <c r="AL49" s="277" t="str">
        <f>IF(AND('1.4 Analyse &amp; Synthese'!V50=1,'1.4 Analyse &amp; Synthese'!F50="Empfehlung"),'1.4 Analyse &amp; Synthese'!I50&amp;CHAR(13)&amp;"("&amp;'(Codierung)'!$C$2&amp;" - "&amp;'1.4 Analyse &amp; Synthese'!C50&amp;")","")</f>
        <v/>
      </c>
      <c r="AM49" s="387" t="str">
        <f t="array" ref="AM49">_xlfn.IFNA(INDEX($AL$6:$AL$66,MATCH(0,COUNTIF($AM$4:AM48,$AL$6:$AL$66),0),1),"")</f>
        <v/>
      </c>
      <c r="AN49" s="277" t="str">
        <f>IF(AND('1.4 Analyse &amp; Synthese'!V50=1,'1.4 Analyse &amp; Synthese'!F50="Methode"),'1.4 Analyse &amp; Synthese'!I50&amp;CHAR(13)&amp;"("&amp;'(Codierung)'!$C$3&amp;" - "&amp;'1.4 Analyse &amp; Synthese'!C50&amp;")","")</f>
        <v/>
      </c>
      <c r="AO49" s="387" t="str">
        <f t="array" ref="AO49">_xlfn.IFNA(INDEX($AN$6:$AN$66,MATCH(0,COUNTIF($AO$4:AO48,$AN$6:$AN$66),0),1),"")</f>
        <v/>
      </c>
      <c r="AP49" s="277" t="str">
        <f>IF(AND('1.4 Analyse &amp; Synthese'!V50=1,'1.4 Analyse &amp; Synthese'!F50="Werkzeug"),'1.4 Analyse &amp; Synthese'!I50&amp;CHAR(13)&amp;"("&amp;'(Codierung)'!$C$4&amp;" - "&amp;'1.4 Analyse &amp; Synthese'!C50&amp;")","")</f>
        <v/>
      </c>
      <c r="AQ49" s="387" t="str">
        <f t="array" ref="AQ49">_xlfn.IFNA(INDEX($AP$6:$AP$66,MATCH(0,COUNTIF($AQ$4:AQ48,$AP$6:$AP$66),0),1),"")</f>
        <v/>
      </c>
      <c r="AS49" s="277" t="str">
        <f>IF(AND('1.4 Analyse &amp; Synthese'!W50=1,'1.4 Analyse &amp; Synthese'!F50="Empfehlung"),'1.4 Analyse &amp; Synthese'!I50&amp;CHAR(13)&amp;"("&amp;'(Codierung)'!$C$2&amp;" - "&amp;'1.4 Analyse &amp; Synthese'!C50&amp;")","")</f>
        <v/>
      </c>
      <c r="AT49" s="387" t="str">
        <f t="array" ref="AT49">_xlfn.IFNA(INDEX($AS$6:$AS$66,MATCH(0,COUNTIF($AT$4:AT48,$AS$6:$AS$66),0),1),"")</f>
        <v/>
      </c>
      <c r="AU49" s="277" t="str">
        <f>IF(AND('1.4 Analyse &amp; Synthese'!W50=1,'1.4 Analyse &amp; Synthese'!F50="Methode"),'1.4 Analyse &amp; Synthese'!I50&amp;CHAR(13)&amp;"("&amp;'(Codierung)'!$C$3&amp;" - "&amp;'1.4 Analyse &amp; Synthese'!C50&amp;")","")</f>
        <v/>
      </c>
      <c r="AV49" s="387" t="str">
        <f t="array" ref="AV49">_xlfn.IFNA(INDEX($AU$6:$AU$66,MATCH(0,COUNTIF($AV$4:AV48,$AU$6:$AU$66),0),1),"")</f>
        <v/>
      </c>
      <c r="AW49" s="277" t="str">
        <f>IF(AND('1.4 Analyse &amp; Synthese'!W50=1,'1.4 Analyse &amp; Synthese'!F50="Werkzeug"),'1.4 Analyse &amp; Synthese'!I50&amp;CHAR(13)&amp;"("&amp;'(Codierung)'!$C$4&amp;" - "&amp;'1.4 Analyse &amp; Synthese'!C50&amp;")","")</f>
        <v/>
      </c>
      <c r="AX49" s="387" t="str">
        <f t="array" ref="AX49">_xlfn.IFNA(INDEX($AW$6:$AW$66,MATCH(0,COUNTIF($AX$4:AX48,$AW$6:$AW$66),0),1),"")</f>
        <v/>
      </c>
      <c r="AZ49" s="277" t="str">
        <f>IF(AND('1.4 Analyse &amp; Synthese'!X50=1,'1.4 Analyse &amp; Synthese'!F50="Empfehlung"),'1.4 Analyse &amp; Synthese'!I50&amp;CHAR(13)&amp;"("&amp;'(Codierung)'!$C$2&amp;" - "&amp;'1.4 Analyse &amp; Synthese'!C50&amp;")","")</f>
        <v/>
      </c>
      <c r="BA49" s="387" t="str">
        <f t="array" ref="BA49">_xlfn.IFNA(INDEX($AZ$6:$AZ$66,MATCH(0,COUNTIF($BA$4:BA48,$AZ$6:$AZ$66),0),1),"")</f>
        <v/>
      </c>
      <c r="BB49" s="277" t="str">
        <f>IF(AND('1.4 Analyse &amp; Synthese'!X50=1,'1.4 Analyse &amp; Synthese'!F50="Methode"),'1.4 Analyse &amp; Synthese'!I50&amp;CHAR(13)&amp;"("&amp;'(Codierung)'!$C$3&amp;" - "&amp;'1.4 Analyse &amp; Synthese'!C50&amp;")","")</f>
        <v/>
      </c>
      <c r="BC49" s="387" t="str">
        <f t="array" ref="BC49">_xlfn.IFNA(INDEX($BB$6:$BB$66,MATCH(0,COUNTIF($BC$4:BC48,$BB$6:$BB$66),0),1),"")</f>
        <v/>
      </c>
      <c r="BD49" s="277" t="str">
        <f>IF(AND('1.4 Analyse &amp; Synthese'!X50=1,'1.4 Analyse &amp; Synthese'!F50="Werkzeug"),'1.4 Analyse &amp; Synthese'!I50&amp;CHAR(13)&amp;"("&amp;'(Codierung)'!$C$4&amp;" - "&amp;'1.4 Analyse &amp; Synthese'!C50&amp;")","")</f>
        <v/>
      </c>
      <c r="BE49" s="387" t="str">
        <f t="array" ref="BE49">_xlfn.IFNA(INDEX($BD$6:$BD$66,MATCH(0,COUNTIF($BE$4:BE48,$BD$6:$BD$66),0),1),"")</f>
        <v/>
      </c>
      <c r="BG49" s="277" t="str">
        <f>IF(AND('1.4 Analyse &amp; Synthese'!Y50=1,'1.4 Analyse &amp; Synthese'!F50="Empfehlung"),'1.4 Analyse &amp; Synthese'!I50&amp;CHAR(13)&amp;"("&amp;'(Codierung)'!$C$2&amp;" - "&amp;'1.4 Analyse &amp; Synthese'!C50&amp;")","")</f>
        <v/>
      </c>
      <c r="BH49" s="387" t="str">
        <f t="array" ref="BH49">_xlfn.IFNA(INDEX($BG$6:$BG$66,MATCH(0,COUNTIF($BH$4:BH48,$BG$6:$BG$66),0),1),"")</f>
        <v/>
      </c>
      <c r="BI49" s="277" t="str">
        <f>IF(AND('1.4 Analyse &amp; Synthese'!Y50=1,'1.4 Analyse &amp; Synthese'!F50="Methode"),'1.4 Analyse &amp; Synthese'!I50&amp;CHAR(13)&amp;"("&amp;'(Codierung)'!$C$3&amp;" - "&amp;'1.4 Analyse &amp; Synthese'!C50&amp;")","")</f>
        <v/>
      </c>
      <c r="BJ49" s="387" t="str">
        <f t="array" ref="BJ49">_xlfn.IFNA(INDEX($BI$6:$BI$66,MATCH(0,COUNTIF($BJ$4:BJ48,$BI$6:$BI$66),0),1),"")</f>
        <v/>
      </c>
      <c r="BK49" s="277" t="str">
        <f>IF(AND('1.4 Analyse &amp; Synthese'!Y50=1,'1.4 Analyse &amp; Synthese'!F50="Werkzeug"),'1.4 Analyse &amp; Synthese'!I50&amp;CHAR(13)&amp;"("&amp;'(Codierung)'!$C$4&amp;" - "&amp;'1.4 Analyse &amp; Synthese'!C50&amp;")","")</f>
        <v/>
      </c>
      <c r="BL49" s="387" t="str">
        <f t="array" ref="BL49">_xlfn.IFNA(INDEX($BK$6:$BK$66,MATCH(0,COUNTIF($BL$4:BL48,$BK$6:$BK$66),0),1),"")</f>
        <v/>
      </c>
      <c r="BN49" s="277" t="str">
        <f>IF(AND('1.4 Analyse &amp; Synthese'!Z50=1,'1.4 Analyse &amp; Synthese'!F50="Empfehlung"),'1.4 Analyse &amp; Synthese'!I50&amp;CHAR(13)&amp;"("&amp;'(Codierung)'!$C$2&amp;" - "&amp;'1.4 Analyse &amp; Synthese'!C50&amp;")","")</f>
        <v/>
      </c>
      <c r="BO49" s="387" t="str">
        <f t="array" ref="BO49">_xlfn.IFNA(INDEX($BN$6:$BN$66,MATCH(0,COUNTIF($BO$4:BO48,$BN$6:$BN$66),0),1),"")</f>
        <v/>
      </c>
      <c r="BP49" s="277" t="str">
        <f>IF(AND('1.4 Analyse &amp; Synthese'!Z50=1,'1.4 Analyse &amp; Synthese'!F50="Methode"),'1.4 Analyse &amp; Synthese'!I50&amp;CHAR(13)&amp;"("&amp;'(Codierung)'!$C$3&amp;" - "&amp;'1.4 Analyse &amp; Synthese'!C50&amp;")","")</f>
        <v/>
      </c>
      <c r="BQ49" s="387" t="str">
        <f t="array" ref="BQ49">_xlfn.IFNA(INDEX($BP$6:$BP$66,MATCH(0,COUNTIF($BQ$4:BQ48,$BP$6:$BP$66),0),1),"")</f>
        <v/>
      </c>
      <c r="BR49" s="277" t="str">
        <f>IF(AND('1.4 Analyse &amp; Synthese'!Z50=1,'1.4 Analyse &amp; Synthese'!F50="Werkzeug"),'1.4 Analyse &amp; Synthese'!I50&amp;CHAR(13)&amp;"("&amp;'(Codierung)'!$C$4&amp;" - "&amp;'1.4 Analyse &amp; Synthese'!C50&amp;")","")</f>
        <v/>
      </c>
      <c r="BS49" s="387" t="str">
        <f t="array" ref="BS49">_xlfn.IFNA(INDEX($BR$6:$BR$66,MATCH(0,COUNTIF($BS$4:BS48,$BR$6:$BR$66),0),1),"")</f>
        <v/>
      </c>
      <c r="BU49" s="277" t="str">
        <f>IF(AND('1.4 Analyse &amp; Synthese'!AA50=1,'1.4 Analyse &amp; Synthese'!F50="Empfehlung"),'1.4 Analyse &amp; Synthese'!I50&amp;CHAR(13)&amp;"("&amp;'(Codierung)'!$C$2&amp;" - "&amp;'1.4 Analyse &amp; Synthese'!C50&amp;")","")</f>
        <v/>
      </c>
      <c r="BV49" s="387" t="str">
        <f t="array" ref="BV49">_xlfn.IFNA(INDEX($BU$6:$BU$66,MATCH(0,COUNTIF($BV$4:BV48,$BU$6:$BU$66),0),1),"")</f>
        <v/>
      </c>
      <c r="BW49" s="277" t="str">
        <f>IF(AND('1.4 Analyse &amp; Synthese'!AA50=1,'1.4 Analyse &amp; Synthese'!F50="Methode"),'1.4 Analyse &amp; Synthese'!I50&amp;CHAR(13)&amp;"("&amp;'(Codierung)'!$C$3&amp;" - "&amp;'1.4 Analyse &amp; Synthese'!C50&amp;")","")</f>
        <v/>
      </c>
      <c r="BX49" s="387" t="str">
        <f t="array" ref="BX49">_xlfn.IFNA(INDEX($BW$6:$BW$66,MATCH(0,COUNTIF($BX$4:BX48,$BW$6:$BW$66),0),1),"")</f>
        <v/>
      </c>
      <c r="BY49" s="277" t="str">
        <f>IF(AND('1.4 Analyse &amp; Synthese'!AA50=1,'1.4 Analyse &amp; Synthese'!F50="Werkzeug"),'1.4 Analyse &amp; Synthese'!I50&amp;CHAR(13)&amp;"("&amp;'(Codierung)'!$C$4&amp;" - "&amp;'1.4 Analyse &amp; Synthese'!C50&amp;")","")</f>
        <v/>
      </c>
      <c r="BZ49" s="387" t="str">
        <f t="array" ref="BZ49">_xlfn.IFNA(INDEX($BY$6:$BY$66,MATCH(0,COUNTIF($BZ$4:BZ48,$BY$6:$BY$66),0),1),"")</f>
        <v/>
      </c>
      <c r="CB49" s="277" t="str">
        <f>IF(AND('1.4 Analyse &amp; Synthese'!AB50=1,'1.4 Analyse &amp; Synthese'!F50="Empfehlung"),'1.4 Analyse &amp; Synthese'!I50&amp;CHAR(13)&amp;"("&amp;'(Codierung)'!$C$2&amp;" - "&amp;'1.4 Analyse &amp; Synthese'!C50&amp;")","")</f>
        <v/>
      </c>
      <c r="CC49" s="387" t="str">
        <f t="array" ref="CC49">_xlfn.IFNA(INDEX($CB$6:$CB$66,MATCH(0,COUNTIF($CC$4:CC48,$CB$6:$CB$66),0),1),"")</f>
        <v/>
      </c>
      <c r="CD49" s="277" t="str">
        <f>IF(AND('1.4 Analyse &amp; Synthese'!AB50=1,'1.4 Analyse &amp; Synthese'!F50="Methode"),'1.4 Analyse &amp; Synthese'!I50&amp;CHAR(13)&amp;"("&amp;'(Codierung)'!$C$3&amp;" - "&amp;'1.4 Analyse &amp; Synthese'!C50&amp;")","")</f>
        <v/>
      </c>
      <c r="CE49" s="387" t="str">
        <f t="array" ref="CE49">_xlfn.IFNA(INDEX($CD$6:$CD$66,MATCH(0,COUNTIF($CE$4:CE48,$CD$6:$CD$66),0),1),"")</f>
        <v/>
      </c>
      <c r="CF49" s="277" t="str">
        <f>IF(AND('1.4 Analyse &amp; Synthese'!AB50=1,'1.4 Analyse &amp; Synthese'!F50="Werkzeug"),'1.4 Analyse &amp; Synthese'!I50&amp;CHAR(13)&amp;"("&amp;'(Codierung)'!$C$4&amp;" - "&amp;'1.4 Analyse &amp; Synthese'!C50&amp;")","")</f>
        <v/>
      </c>
      <c r="CG49" s="387" t="str">
        <f t="array" ref="CG49">_xlfn.IFNA(INDEX($CF$6:$CF$66,MATCH(0,COUNTIF($CG$4:CG48,$CF$6:$CF$66),0),1),"")</f>
        <v/>
      </c>
      <c r="CI49" s="277" t="str">
        <f>IF(AND('1.4 Analyse &amp; Synthese'!AC50=1,'1.4 Analyse &amp; Synthese'!F50="Empfehlung"),'1.4 Analyse &amp; Synthese'!I50&amp;CHAR(13)&amp;"("&amp;'(Codierung)'!$C$2&amp;" - "&amp;'1.4 Analyse &amp; Synthese'!C50&amp;")","")</f>
        <v/>
      </c>
      <c r="CJ49" s="387" t="str">
        <f t="array" ref="CJ49">_xlfn.IFNA(INDEX($CI$6:$CI$66,MATCH(0,COUNTIF($CJ$4:CJ48,$CI$6:$CI$66),0),1),"")</f>
        <v/>
      </c>
      <c r="CK49" s="277" t="str">
        <f>IF(AND('1.4 Analyse &amp; Synthese'!AC50=1,'1.4 Analyse &amp; Synthese'!F50="Methode"),'1.4 Analyse &amp; Synthese'!I50&amp;CHAR(13)&amp;"("&amp;'(Codierung)'!$C$3&amp;" - "&amp;'1.4 Analyse &amp; Synthese'!C50&amp;")","")</f>
        <v/>
      </c>
      <c r="CL49" s="387" t="str">
        <f t="array" ref="CL49">_xlfn.IFNA(INDEX($CK$6:$CK$66,MATCH(0,COUNTIF($CL$4:CL48,$CK$6:$CK$66),0),1),"")</f>
        <v/>
      </c>
      <c r="CM49" s="277" t="str">
        <f>IF(AND('1.4 Analyse &amp; Synthese'!AC50=1,'1.4 Analyse &amp; Synthese'!F50="Werkzeug"),'1.4 Analyse &amp; Synthese'!I50&amp;CHAR(13)&amp;"("&amp;'(Codierung)'!$C$4&amp;" - "&amp;'1.4 Analyse &amp; Synthese'!C50&amp;")","")</f>
        <v/>
      </c>
      <c r="CN49" s="387" t="str">
        <f t="array" ref="CN49">_xlfn.IFNA(INDEX($CM$6:$CM$66,MATCH(0,COUNTIF($CN$4:CN48,$CM$6:$CM$66),0),1),"")</f>
        <v/>
      </c>
      <c r="CP49" s="277" t="str">
        <f>IF(AND('1.4 Analyse &amp; Synthese'!AD50=1,'1.4 Analyse &amp; Synthese'!F50="Empfehlung"),'1.4 Analyse &amp; Synthese'!I50&amp;CHAR(13)&amp;"("&amp;'(Codierung)'!$C$2&amp;" - "&amp;'1.4 Analyse &amp; Synthese'!C50&amp;")","")</f>
        <v/>
      </c>
      <c r="CQ49" s="387" t="str">
        <f t="array" ref="CQ49">_xlfn.IFNA(INDEX($CP$6:$CP$66,MATCH(0,COUNTIF($CQ$4:CQ48,$CP$6:$CP$66),0),1),"")</f>
        <v/>
      </c>
      <c r="CR49" s="277" t="str">
        <f>IF(AND('1.4 Analyse &amp; Synthese'!AD50=1,'1.4 Analyse &amp; Synthese'!F50="Methode"),'1.4 Analyse &amp; Synthese'!I50&amp;CHAR(13)&amp;"("&amp;'(Codierung)'!$C$3&amp;" - "&amp;'1.4 Analyse &amp; Synthese'!C50&amp;")","")</f>
        <v/>
      </c>
      <c r="CS49" s="387" t="str">
        <f t="array" ref="CS49">_xlfn.IFNA(INDEX($CR$6:$CR$66,MATCH(0,COUNTIF($CS$4:CS48,$CR$6:$CR$66),0),1),"")</f>
        <v/>
      </c>
      <c r="CT49" s="277" t="str">
        <f>IF(AND('1.4 Analyse &amp; Synthese'!AD50=1,'1.4 Analyse &amp; Synthese'!F50="Werkzeug"),'1.4 Analyse &amp; Synthese'!I50&amp;CHAR(13)&amp;"("&amp;'(Codierung)'!$C$4&amp;" - "&amp;'1.4 Analyse &amp; Synthese'!C50&amp;")","")</f>
        <v/>
      </c>
      <c r="CU49" s="387" t="str">
        <f t="array" ref="CU49">_xlfn.IFNA(INDEX($CT$6:$CT$66,MATCH(0,COUNTIF($CU$4:CU48,$CT$6:$CT$66),0),1),"")</f>
        <v/>
      </c>
      <c r="CW49" s="277" t="str">
        <f>IF(AND('1.4 Analyse &amp; Synthese'!AE50=1,'1.4 Analyse &amp; Synthese'!F50="Empfehlung"),'1.4 Analyse &amp; Synthese'!I50&amp;CHAR(13)&amp;"("&amp;'(Codierung)'!$C$2&amp;" - "&amp;'1.4 Analyse &amp; Synthese'!C50&amp;")","")</f>
        <v/>
      </c>
      <c r="CX49" s="387" t="str">
        <f t="array" ref="CX49">_xlfn.IFNA(INDEX($CW$6:$CW$66,MATCH(0,COUNTIF($CX$4:CX48,$CW$6:$CW$66),0),1),"")</f>
        <v/>
      </c>
      <c r="CY49" s="277" t="str">
        <f>IF(AND('1.4 Analyse &amp; Synthese'!AE50=1,'1.4 Analyse &amp; Synthese'!F50="Methode"),'1.4 Analyse &amp; Synthese'!I50&amp;CHAR(13)&amp;"("&amp;'(Codierung)'!$C$3&amp;" - "&amp;'1.4 Analyse &amp; Synthese'!C50&amp;")","")</f>
        <v/>
      </c>
      <c r="CZ49" s="387" t="str">
        <f t="array" ref="CZ49">_xlfn.IFNA(INDEX($CY$6:$CY$66,MATCH(0,COUNTIF($CZ$4:CZ48,$CY$6:$CY$66),0),1),"")</f>
        <v/>
      </c>
      <c r="DA49" s="277" t="str">
        <f>IF(AND('1.4 Analyse &amp; Synthese'!AE50=1,'1.4 Analyse &amp; Synthese'!F50="Werkzeug"),'1.4 Analyse &amp; Synthese'!I50&amp;CHAR(13)&amp;"("&amp;'(Codierung)'!$C$4&amp;" - "&amp;'1.4 Analyse &amp; Synthese'!C50&amp;")","")</f>
        <v/>
      </c>
      <c r="DB49" s="387" t="str">
        <f t="array" ref="DB49">_xlfn.IFNA(INDEX($DA$6:$DA$66,MATCH(0,COUNTIF($DB$4:DB48,$DA$6:$DA$66),0),1),"")</f>
        <v/>
      </c>
      <c r="DD49" s="277" t="str">
        <f>IF(AND('1.4 Analyse &amp; Synthese'!AF50=1,'1.4 Analyse &amp; Synthese'!F50="Empfehlung"),'1.4 Analyse &amp; Synthese'!I50&amp;CHAR(13)&amp;"("&amp;'(Codierung)'!$C$2&amp;" - "&amp;'1.4 Analyse &amp; Synthese'!C50&amp;")","")</f>
        <v/>
      </c>
      <c r="DE49" s="387" t="str">
        <f t="array" ref="DE49">_xlfn.IFNA(INDEX($DD$6:$DD$66,MATCH(0,COUNTIF($DE$4:DE48,$DD$6:$DD$66),0),1),"")</f>
        <v/>
      </c>
      <c r="DF49" s="277" t="str">
        <f>IF(AND('1.4 Analyse &amp; Synthese'!AF50=1,'1.4 Analyse &amp; Synthese'!F50="Methode"),'1.4 Analyse &amp; Synthese'!I50&amp;CHAR(13)&amp;"("&amp;'(Codierung)'!$C$3&amp;" - "&amp;'1.4 Analyse &amp; Synthese'!C50&amp;")","")</f>
        <v/>
      </c>
      <c r="DG49" s="387" t="str">
        <f t="array" ref="DG49">_xlfn.IFNA(INDEX($DF$6:$DF$66,MATCH(0,COUNTIF($DG$4:DG48,$DF$6:$DF$66),0),1),"")</f>
        <v/>
      </c>
      <c r="DH49" s="277" t="str">
        <f>IF(AND('1.4 Analyse &amp; Synthese'!AF50=1,'1.4 Analyse &amp; Synthese'!F50="Werkzeug"),'1.4 Analyse &amp; Synthese'!I50&amp;CHAR(13)&amp;"("&amp;'(Codierung)'!$C$4&amp;" - "&amp;'1.4 Analyse &amp; Synthese'!C50&amp;")","")</f>
        <v/>
      </c>
      <c r="DI49" s="387" t="str">
        <f t="array" ref="DI49">_xlfn.IFNA(INDEX($DH$6:$DH$66,MATCH(0,COUNTIF($DI$4:DI48,$DH$6:$DH$66),0),1),"")</f>
        <v/>
      </c>
      <c r="DK49" s="277" t="str">
        <f>IF(AND('1.4 Analyse &amp; Synthese'!AG50=1,'1.4 Analyse &amp; Synthese'!F50="Empfehlung"),'1.4 Analyse &amp; Synthese'!I50&amp;CHAR(13)&amp;"("&amp;'(Codierung)'!$C$2&amp;" - "&amp;'1.4 Analyse &amp; Synthese'!C50&amp;")","")</f>
        <v/>
      </c>
      <c r="DL49" s="387" t="str">
        <f t="array" ref="DL49">_xlfn.IFNA(INDEX($DK$6:$DK$66,MATCH(0,COUNTIF($DL$4:DL48,$DK$6:$DK$66),0),1),"")</f>
        <v/>
      </c>
      <c r="DM49" s="277" t="str">
        <f>IF(AND('1.4 Analyse &amp; Synthese'!AG50=1,'1.4 Analyse &amp; Synthese'!F50="Methode"),'1.4 Analyse &amp; Synthese'!I50&amp;CHAR(13)&amp;"("&amp;'(Codierung)'!$C$3&amp;" - "&amp;'1.4 Analyse &amp; Synthese'!C50&amp;")","")</f>
        <v/>
      </c>
      <c r="DN49" s="387" t="str">
        <f t="array" ref="DN49">_xlfn.IFNA(INDEX($DM$6:$DM$66,MATCH(0,COUNTIF($DN$4:DN48,$DM$6:$DM$66),0),1),"")</f>
        <v/>
      </c>
      <c r="DO49" s="277" t="str">
        <f>IF(AND('1.4 Analyse &amp; Synthese'!AG50=1,'1.4 Analyse &amp; Synthese'!F50="Werkzeug"),'1.4 Analyse &amp; Synthese'!I50&amp;CHAR(13)&amp;"("&amp;'(Codierung)'!$C$4&amp;" - "&amp;'1.4 Analyse &amp; Synthese'!C50&amp;")","")</f>
        <v/>
      </c>
      <c r="DP49" s="387" t="str">
        <f t="array" ref="DP49">_xlfn.IFNA(INDEX($DO$6:$DO$66,MATCH(0,COUNTIF($DP$4:DP48,$DO$6:$DO$66),0),1),"")</f>
        <v/>
      </c>
      <c r="DR49" s="277" t="str">
        <f>IF(AND('1.4 Analyse &amp; Synthese'!AH50=1,'1.4 Analyse &amp; Synthese'!F50="Empfehlung"),'1.4 Analyse &amp; Synthese'!I50&amp;CHAR(13)&amp;"("&amp;'(Codierung)'!$C$2&amp;" - "&amp;'1.4 Analyse &amp; Synthese'!C50&amp;")","")</f>
        <v/>
      </c>
      <c r="DS49" s="387" t="str">
        <f t="array" ref="DS49">_xlfn.IFNA(INDEX($DR$6:$DR$66,MATCH(0,COUNTIF($DS$4:DS48,$DR$6:$DR$66),0),1),"")</f>
        <v/>
      </c>
      <c r="DT49" s="277" t="str">
        <f>IF(AND('1.4 Analyse &amp; Synthese'!AH50=1,'1.4 Analyse &amp; Synthese'!F50="Methode"),'1.4 Analyse &amp; Synthese'!I50&amp;CHAR(13)&amp;"("&amp;'(Codierung)'!$C$3&amp;" - "&amp;'1.4 Analyse &amp; Synthese'!C50&amp;")","")</f>
        <v/>
      </c>
      <c r="DU49" s="387" t="str">
        <f t="array" ref="DU49">_xlfn.IFNA(INDEX($DT$6:$DT$66,MATCH(0,COUNTIF($DU$4:DU48,$DT$6:$DT$66),0),1),"")</f>
        <v/>
      </c>
      <c r="DV49" s="277" t="str">
        <f>IF(AND('1.4 Analyse &amp; Synthese'!AH50=1,'1.4 Analyse &amp; Synthese'!F50="Werkzeug"),'1.4 Analyse &amp; Synthese'!I50&amp;CHAR(13)&amp;"("&amp;'(Codierung)'!$C$4&amp;" - "&amp;'1.4 Analyse &amp; Synthese'!C50&amp;")","")</f>
        <v/>
      </c>
      <c r="DW49" s="387" t="str">
        <f t="array" ref="DW49">_xlfn.IFNA(INDEX($DV$6:$DV$66,MATCH(0,COUNTIF($DW$4:DW48,$DV$6:$DV$66),0),1),"")</f>
        <v/>
      </c>
      <c r="DY49" s="277" t="str">
        <f>IF(AND('1.4 Analyse &amp; Synthese'!AI50=1,'1.4 Analyse &amp; Synthese'!F50="Empfehlung"),'1.4 Analyse &amp; Synthese'!I50&amp;CHAR(13)&amp;"("&amp;'(Codierung)'!$C$2&amp;" - "&amp;'1.4 Analyse &amp; Synthese'!C50&amp;")","")</f>
        <v/>
      </c>
      <c r="DZ49" s="387" t="str">
        <f t="array" ref="DZ49">_xlfn.IFNA(INDEX($DY$6:$DY$66,MATCH(0,COUNTIF($DZ$4:DZ48,$DY$6:$DY$66),0),1),"")</f>
        <v/>
      </c>
      <c r="EA49" s="277" t="str">
        <f>IF(AND('1.4 Analyse &amp; Synthese'!AI50=1,'1.4 Analyse &amp; Synthese'!F50="Methode"),'1.4 Analyse &amp; Synthese'!I50&amp;CHAR(13)&amp;"("&amp;'(Codierung)'!$C$3&amp;" - "&amp;'1.4 Analyse &amp; Synthese'!C50&amp;")","")</f>
        <v/>
      </c>
      <c r="EB49" s="387" t="str">
        <f t="array" ref="EB49">_xlfn.IFNA(INDEX($EA$6:$EA$66,MATCH(0,COUNTIF($EB$4:EB48,$EA$6:$EA$66),0),1),"")</f>
        <v/>
      </c>
      <c r="EC49" s="277" t="str">
        <f>IF(AND('1.4 Analyse &amp; Synthese'!AI50=1,'1.4 Analyse &amp; Synthese'!F50="Werkzeug"),'1.4 Analyse &amp; Synthese'!I50&amp;CHAR(13)&amp;"("&amp;'(Codierung)'!$C$4&amp;" - "&amp;'1.4 Analyse &amp; Synthese'!C50&amp;")","")</f>
        <v/>
      </c>
      <c r="ED49" s="277" t="str">
        <f t="array" ref="ED49">_xlfn.IFNA(INDEX($EC$6:$EC$66,MATCH(0,COUNTIF($ED$4:ED48,$EC$6:$EC$66),0),1),"")</f>
        <v/>
      </c>
      <c r="EF49" s="277" t="str">
        <f>IF(AND('1.4 Analyse &amp; Synthese'!AJ50=1,'1.4 Analyse &amp; Synthese'!F50="Empfehlung"),'1.4 Analyse &amp; Synthese'!I50&amp;CHAR(13)&amp;"("&amp;'(Codierung)'!$C$2&amp;" - "&amp;'1.4 Analyse &amp; Synthese'!C50&amp;")","")</f>
        <v/>
      </c>
      <c r="EG49" s="277" t="str">
        <f t="array" ref="EG49">_xlfn.IFNA(INDEX($EF$6:$EF$66,MATCH(0,COUNTIF($EG$4:EG48,$EF$6:$EF$66),0),1),"")</f>
        <v/>
      </c>
      <c r="EH49" s="277" t="str">
        <f>IF(AND('1.4 Analyse &amp; Synthese'!AJ50=1,'1.4 Analyse &amp; Synthese'!F50="Methode"),'1.4 Analyse &amp; Synthese'!I50&amp;CHAR(13)&amp;"("&amp;'(Codierung)'!$C$3&amp;" - "&amp;'1.4 Analyse &amp; Synthese'!C50&amp;")","")</f>
        <v/>
      </c>
      <c r="EI49" s="387" t="str">
        <f t="array" ref="EI49">_xlfn.IFNA(INDEX($EH$6:$EH$66,MATCH(0,COUNTIF($EI$4:EI48,$EH$6:$EH$66),0),1),"")</f>
        <v/>
      </c>
      <c r="EJ49" s="277" t="str">
        <f>IF(AND('1.4 Analyse &amp; Synthese'!AJ50=1,'1.4 Analyse &amp; Synthese'!F50="Werkzeug"),'1.4 Analyse &amp; Synthese'!I50&amp;CHAR(13)&amp;"("&amp;'(Codierung)'!$C$4&amp;" - "&amp;'1.4 Analyse &amp; Synthese'!C50&amp;")","")</f>
        <v/>
      </c>
      <c r="EK49" s="387" t="str">
        <f t="array" ref="EK49">_xlfn.IFNA(INDEX($EJ$6:$EJ$66,MATCH(0,COUNTIF($EK$4:EK48,$EJ$6:$EJ$66),0),1),"")</f>
        <v/>
      </c>
      <c r="EN49" s="222" t="str">
        <f t="shared" si="60"/>
        <v/>
      </c>
      <c r="EO49" s="277" t="str">
        <f t="shared" si="61"/>
        <v/>
      </c>
      <c r="EP49" s="277" t="str">
        <f t="shared" si="62"/>
        <v/>
      </c>
      <c r="EQ49" s="277" t="str">
        <f>ZahlenInBereich(Tabelle1[[Empfehlung]:[Werkzeug]],ROW()-5)</f>
        <v/>
      </c>
      <c r="ER49" s="277" t="str">
        <f t="shared" si="63"/>
        <v/>
      </c>
      <c r="ES49" s="277" t="str">
        <f t="shared" si="64"/>
        <v/>
      </c>
      <c r="ET49" s="277" t="str">
        <f t="shared" si="65"/>
        <v/>
      </c>
      <c r="EU49" s="277" t="str">
        <f>ZahlenInBereich(Tabelle1[[Empfehlung2]:[Werkzeug4]],ROW()-5)</f>
        <v/>
      </c>
      <c r="EV49" s="277" t="str">
        <f t="shared" si="66"/>
        <v/>
      </c>
      <c r="EW49" s="277" t="str">
        <f t="shared" si="67"/>
        <v/>
      </c>
      <c r="EX49" s="277" t="str">
        <f t="shared" si="68"/>
        <v/>
      </c>
      <c r="EY49" s="277" t="str">
        <f>ZahlenInBereich(Tabelle1[[Empfehlung6]:[Werkzeug8]],ROW()-5)</f>
        <v/>
      </c>
      <c r="EZ49" s="277" t="str">
        <f t="shared" si="69"/>
        <v/>
      </c>
      <c r="FA49" s="277" t="str">
        <f t="shared" si="70"/>
        <v/>
      </c>
      <c r="FB49" s="277" t="str">
        <f t="shared" si="71"/>
        <v/>
      </c>
      <c r="FC49" s="277" t="str">
        <f>ZahlenInBereich(Tabelle1[[Empfehlung10]:[Werkzeug12]],ROW()-5)</f>
        <v/>
      </c>
      <c r="FD49" s="277" t="str">
        <f t="shared" si="72"/>
        <v/>
      </c>
      <c r="FE49" s="277" t="str">
        <f t="shared" si="73"/>
        <v/>
      </c>
      <c r="FF49" s="277" t="str">
        <f t="shared" si="74"/>
        <v/>
      </c>
      <c r="FG49" s="277" t="str">
        <f>ZahlenInBereich(Tabelle1[[Empfehlung14]:[Werkzeug16]],ROW()-5)</f>
        <v/>
      </c>
      <c r="FH49" s="277" t="str">
        <f t="shared" si="75"/>
        <v/>
      </c>
      <c r="FI49" s="277" t="str">
        <f t="shared" si="76"/>
        <v/>
      </c>
      <c r="FJ49" s="277" t="str">
        <f t="shared" si="77"/>
        <v/>
      </c>
      <c r="FK49" s="277" t="str">
        <f>ZahlenInBereich(Tabelle1[[Empfehlung18]:[Werkzeug20]],ROW()-5)</f>
        <v/>
      </c>
      <c r="FL49" s="277" t="str">
        <f t="shared" si="78"/>
        <v/>
      </c>
      <c r="FM49" s="277" t="str">
        <f t="shared" si="79"/>
        <v/>
      </c>
      <c r="FN49" s="277" t="str">
        <f t="shared" si="80"/>
        <v/>
      </c>
      <c r="FO49" s="277" t="str">
        <f>ZahlenInBereich(Tabelle1[[Empfehlung22]:[Werkzeug24]],ROW()-5)</f>
        <v/>
      </c>
      <c r="FP49" s="277" t="str">
        <f t="shared" si="81"/>
        <v/>
      </c>
      <c r="FQ49" s="277" t="str">
        <f t="shared" si="82"/>
        <v/>
      </c>
      <c r="FR49" s="277" t="str">
        <f t="shared" si="83"/>
        <v/>
      </c>
      <c r="FS49" s="277" t="str">
        <f>ZahlenInBereich(Tabelle1[[Empfehlung26]:[Werkzeug28]],ROW()-5)</f>
        <v/>
      </c>
      <c r="FT49" s="277" t="str">
        <f t="shared" si="84"/>
        <v/>
      </c>
      <c r="FU49" s="277" t="str">
        <f t="shared" si="85"/>
        <v/>
      </c>
      <c r="FV49" s="277" t="str">
        <f t="shared" si="86"/>
        <v/>
      </c>
      <c r="FW49" s="277" t="str">
        <f>ZahlenInBereich(Tabelle1[[Empfehlung30]:[Werkzeug32]],ROW()-5)</f>
        <v/>
      </c>
      <c r="FX49" s="277" t="str">
        <f t="shared" si="87"/>
        <v/>
      </c>
      <c r="FY49" s="277" t="str">
        <f t="shared" si="88"/>
        <v/>
      </c>
      <c r="FZ49" s="277" t="str">
        <f t="shared" si="89"/>
        <v/>
      </c>
      <c r="GA49" s="277" t="str">
        <f>ZahlenInBereich(Tabelle1[[Empfehlung34]:[Werkzeug36]],ROW()-5)</f>
        <v/>
      </c>
      <c r="GB49" s="277" t="str">
        <f t="shared" si="90"/>
        <v/>
      </c>
      <c r="GC49" s="277" t="str">
        <f t="shared" si="91"/>
        <v/>
      </c>
      <c r="GD49" s="277" t="str">
        <f t="shared" si="92"/>
        <v/>
      </c>
      <c r="GE49" s="277" t="str">
        <f>ZahlenInBereich(Tabelle1[[Empfehlung38]:[Werkzeug40]],ROW()-5)</f>
        <v/>
      </c>
      <c r="GF49" s="277" t="str">
        <f t="shared" si="93"/>
        <v/>
      </c>
      <c r="GG49" s="277" t="str">
        <f t="shared" si="94"/>
        <v/>
      </c>
      <c r="GH49" s="277" t="str">
        <f t="shared" si="95"/>
        <v/>
      </c>
      <c r="GI49" s="277" t="str">
        <f>ZahlenInBereich(Tabelle1[[Empfehlung42]:[Werkzeug44]],ROW()-5)</f>
        <v/>
      </c>
      <c r="GJ49" s="277" t="str">
        <f t="shared" si="96"/>
        <v/>
      </c>
      <c r="GK49" s="277" t="str">
        <f t="shared" si="97"/>
        <v/>
      </c>
      <c r="GL49" s="277" t="str">
        <f t="shared" si="98"/>
        <v/>
      </c>
      <c r="GM49" s="277" t="str">
        <f>ZahlenInBereich(Tabelle1[[Empfehlung46]:[Werkzeug48]],ROW()-5)</f>
        <v/>
      </c>
      <c r="GN49" s="277" t="str">
        <f t="shared" si="99"/>
        <v/>
      </c>
      <c r="GO49" s="277" t="str">
        <f t="shared" si="100"/>
        <v/>
      </c>
      <c r="GP49" s="277" t="str">
        <f t="shared" si="101"/>
        <v/>
      </c>
      <c r="GQ49" s="277" t="str">
        <f>ZahlenInBereich(Tabelle1[[Empfehlung50]:[Werkzeug52]],ROW()-5)</f>
        <v/>
      </c>
      <c r="GR49" s="277" t="str">
        <f t="shared" si="102"/>
        <v/>
      </c>
      <c r="GS49" s="277" t="str">
        <f t="shared" si="103"/>
        <v/>
      </c>
      <c r="GT49" s="277" t="str">
        <f t="shared" si="104"/>
        <v/>
      </c>
      <c r="GU49" s="277" t="str">
        <f>ZahlenInBereich(Tabelle1[[Empfehlung54]:[Werkzeug56]],ROW()-5)</f>
        <v/>
      </c>
      <c r="GV49" s="277" t="str">
        <f t="shared" si="105"/>
        <v/>
      </c>
      <c r="GW49" s="277" t="str">
        <f t="shared" si="106"/>
        <v/>
      </c>
      <c r="GX49" s="277" t="str">
        <f t="shared" si="107"/>
        <v/>
      </c>
      <c r="GY49" s="277" t="str">
        <f>ZahlenInBereich(Tabelle1[[Empfehlung58]:[Werkzeug60]],ROW()-5)</f>
        <v/>
      </c>
      <c r="GZ49" s="277" t="str">
        <f t="shared" si="108"/>
        <v/>
      </c>
      <c r="HA49" s="277" t="str">
        <f t="shared" si="109"/>
        <v/>
      </c>
      <c r="HB49" s="277" t="str">
        <f t="shared" si="110"/>
        <v/>
      </c>
      <c r="HC49" s="277" t="str">
        <f>ZahlenInBereich(Tabelle1[[Empfehlung62]:[Werkzeug64]],ROW()-5)</f>
        <v/>
      </c>
      <c r="HD49" s="277" t="str">
        <f t="shared" si="111"/>
        <v/>
      </c>
      <c r="HE49" s="277" t="str">
        <f t="shared" si="112"/>
        <v/>
      </c>
      <c r="HF49" s="277" t="str">
        <f t="shared" si="113"/>
        <v/>
      </c>
      <c r="HG49" s="277" t="str">
        <f>ZahlenInBereich(Tabelle1[[Empfehlung66]:[Werkzeug68]],ROW()-5)</f>
        <v/>
      </c>
      <c r="HH49" s="277" t="str">
        <f t="shared" si="114"/>
        <v/>
      </c>
      <c r="HI49" s="277" t="str">
        <f t="shared" si="115"/>
        <v/>
      </c>
      <c r="HJ49" s="277" t="str">
        <f t="shared" si="116"/>
        <v/>
      </c>
      <c r="HK49" s="277" t="str">
        <f>ZahlenInBereich(Tabelle1[[Empfehlung70]:[Werkzeug72]],ROW()-5)</f>
        <v/>
      </c>
      <c r="HL49" s="277" t="str">
        <f t="shared" si="117"/>
        <v/>
      </c>
      <c r="HM49" s="277" t="str">
        <f t="shared" si="118"/>
        <v/>
      </c>
      <c r="HN49" s="277" t="str">
        <f t="shared" si="119"/>
        <v/>
      </c>
      <c r="HO49" s="277" t="str">
        <f>ZahlenInBereich(Tabelle1[[Empfehlung74]:[Werkzeug76]],ROW()-5)</f>
        <v/>
      </c>
    </row>
    <row r="50" spans="2:223" x14ac:dyDescent="0.2">
      <c r="B50" s="135">
        <f>'1.4 Analyse &amp; Synthese'!B51</f>
        <v>0</v>
      </c>
      <c r="C50" s="277" t="str">
        <f>IF(AND('1.4 Analyse &amp; Synthese'!Q51=1,'1.4 Analyse &amp; Synthese'!F51="Empfehlung"),'1.4 Analyse &amp; Synthese'!I51&amp;CHAR(13)&amp;"("&amp;'(Codierung)'!$C$2&amp;" - "&amp;'1.4 Analyse &amp; Synthese'!C51&amp;")","")</f>
        <v/>
      </c>
      <c r="D50" s="222" t="str">
        <f t="array" ref="D50">_xlfn.IFNA(INDEX($C$6:$C$66,MATCH(0,COUNTIF($D$4:D49,$C$6:$C$66),0),1),"")</f>
        <v/>
      </c>
      <c r="E50" s="277" t="str">
        <f>IF(AND('1.4 Analyse &amp; Synthese'!Q51=1,'1.4 Analyse &amp; Synthese'!F51="Methode"),'1.4 Analyse &amp; Synthese'!I51&amp;CHAR(13)&amp;"("&amp;'(Codierung)'!$C$3&amp;" - "&amp;'1.4 Analyse &amp; Synthese'!C51&amp;")","")</f>
        <v/>
      </c>
      <c r="F50" s="387" t="str">
        <f t="array" ref="F50">_xlfn.IFNA(INDEX($E$6:$E$66,MATCH(0,COUNTIF($F$4:F49,$E$6:$E$66),0),1),"")</f>
        <v/>
      </c>
      <c r="G50" s="277" t="str">
        <f>IF(AND('1.4 Analyse &amp; Synthese'!Q51=1,'1.4 Analyse &amp; Synthese'!F51="Werkzeug"),'1.4 Analyse &amp; Synthese'!I51&amp;CHAR(13)&amp;"("&amp;'(Codierung)'!$C$4&amp;" - "&amp;'1.4 Analyse &amp; Synthese'!C51&amp;")","")</f>
        <v/>
      </c>
      <c r="H50" s="387" t="str">
        <f t="array" ref="H50">_xlfn.IFNA(INDEX($G$6:$G$66,MATCH(0,COUNTIF($H$4:H49,$G$6:$G$66),0),1),"")</f>
        <v/>
      </c>
      <c r="J50" s="277" t="str">
        <f>IF(AND('1.4 Analyse &amp; Synthese'!R51=1,'1.4 Analyse &amp; Synthese'!F51="Empfehlung"),'1.4 Analyse &amp; Synthese'!I51&amp;CHAR(13)&amp;"("&amp;'(Codierung)'!$C$2&amp;" - "&amp;'1.4 Analyse &amp; Synthese'!C51&amp;")","")</f>
        <v/>
      </c>
      <c r="K50" s="387" t="str">
        <f t="array" ref="K50">_xlfn.IFNA(INDEX($J$6:$J$66,MATCH(0,COUNTIF($K$4:K49,$J$6:$J$66),0),1),"")</f>
        <v/>
      </c>
      <c r="L50" s="277" t="str">
        <f>IF(AND('1.4 Analyse &amp; Synthese'!R51=1,'1.4 Analyse &amp; Synthese'!F51="Methode"),'1.4 Analyse &amp; Synthese'!I51&amp;CHAR(13)&amp;"("&amp;'(Codierung)'!$C$3&amp;" - "&amp;'1.4 Analyse &amp; Synthese'!C51&amp;")","")</f>
        <v/>
      </c>
      <c r="M50" s="387" t="str">
        <f t="array" ref="M50">_xlfn.IFNA(INDEX($L$6:$L$66,MATCH(0,COUNTIF($M$4:M49,$L$6:$L$66),0),1),"")</f>
        <v/>
      </c>
      <c r="N50" s="277" t="str">
        <f>IF(AND('1.4 Analyse &amp; Synthese'!R51=1,'1.4 Analyse &amp; Synthese'!F51="Werkzeug"),'1.4 Analyse &amp; Synthese'!I51&amp;CHAR(13)&amp;"("&amp;'(Codierung)'!$C$4&amp;" - "&amp;'1.4 Analyse &amp; Synthese'!C51&amp;")","")</f>
        <v/>
      </c>
      <c r="O50" s="387" t="str">
        <f t="array" ref="O50">_xlfn.IFNA(INDEX($N$6:$N$66,MATCH(0,COUNTIF($O$4:O49,$N$6:$N$66),0),1),"")</f>
        <v/>
      </c>
      <c r="Q50" s="277" t="str">
        <f>IF(AND('1.4 Analyse &amp; Synthese'!S51=1,'1.4 Analyse &amp; Synthese'!F51="Empfehlung"),'1.4 Analyse &amp; Synthese'!I51&amp;CHAR(13)&amp;"("&amp;'(Codierung)'!$C$2&amp;" - "&amp;'1.4 Analyse &amp; Synthese'!C51&amp;")","")</f>
        <v/>
      </c>
      <c r="R50" s="387" t="str">
        <f t="array" ref="R50">_xlfn.IFNA(INDEX($Q$6:$Q$66,MATCH(0,COUNTIF($R$4:R49,$Q$6:$Q$66),0),1),"")</f>
        <v/>
      </c>
      <c r="S50" s="277" t="str">
        <f>IF(AND('1.4 Analyse &amp; Synthese'!S51=1,'1.4 Analyse &amp; Synthese'!F51="Methode"),'1.4 Analyse &amp; Synthese'!I51&amp;CHAR(13)&amp;"("&amp;'(Codierung)'!$C$3&amp;" - "&amp;'1.4 Analyse &amp; Synthese'!C51&amp;")","")</f>
        <v/>
      </c>
      <c r="T50" s="387" t="str">
        <f t="array" ref="T50">_xlfn.IFNA(INDEX($S$6:$S$66,MATCH(0,COUNTIF($T$4:T49,$S$6:$S$66),0),1),"")</f>
        <v/>
      </c>
      <c r="U50" s="277" t="str">
        <f>IF(AND('1.4 Analyse &amp; Synthese'!S51=1,'1.4 Analyse &amp; Synthese'!F51="Werkzeug"),'1.4 Analyse &amp; Synthese'!I51&amp;CHAR(13)&amp;"("&amp;'(Codierung)'!$C$4&amp;" - "&amp;'1.4 Analyse &amp; Synthese'!C51&amp;")","")</f>
        <v/>
      </c>
      <c r="V50" s="387" t="str">
        <f t="array" ref="V50">_xlfn.IFNA(INDEX($U$6:$U$66,MATCH(0,COUNTIF($V$4:V49,$U$6:$U$66),0),1),"")</f>
        <v/>
      </c>
      <c r="X50" s="277" t="str">
        <f>IF(AND('1.4 Analyse &amp; Synthese'!T51=1,'1.4 Analyse &amp; Synthese'!F51="Empfehlung"),'1.4 Analyse &amp; Synthese'!I51&amp;CHAR(13)&amp;"("&amp;'(Codierung)'!$C$2&amp;" - "&amp;'1.4 Analyse &amp; Synthese'!C51&amp;")","")</f>
        <v/>
      </c>
      <c r="Y50" s="387" t="str">
        <f t="array" ref="Y50">_xlfn.IFNA(INDEX($X$6:$X$66,MATCH(0,COUNTIF($Y$4:Y49,$X$6:$X$66),0),1),"")</f>
        <v/>
      </c>
      <c r="Z50" s="277" t="str">
        <f>IF(AND('1.4 Analyse &amp; Synthese'!T51=1,'1.4 Analyse &amp; Synthese'!F51="Methode"),'1.4 Analyse &amp; Synthese'!I51&amp;CHAR(13)&amp;"("&amp;'(Codierung)'!$C$3&amp;" - "&amp;'1.4 Analyse &amp; Synthese'!C51&amp;")","")</f>
        <v/>
      </c>
      <c r="AA50" s="387" t="str">
        <f t="array" ref="AA50">_xlfn.IFNA(INDEX($Z$6:$Z$66,MATCH(0,COUNTIF($AA$4:AA49,$Z$6:$Z$66),0),1),"")</f>
        <v/>
      </c>
      <c r="AB50" s="277" t="str">
        <f>IF(AND('1.4 Analyse &amp; Synthese'!T51=1,'1.4 Analyse &amp; Synthese'!F51="Werkzeug"),'1.4 Analyse &amp; Synthese'!I51&amp;CHAR(13)&amp;"("&amp;'(Codierung)'!$C$4&amp;" - "&amp;'1.4 Analyse &amp; Synthese'!C51&amp;")","")</f>
        <v/>
      </c>
      <c r="AC50" s="387" t="str">
        <f t="array" ref="AC50">_xlfn.IFNA(INDEX($AB$6:$AB$66,MATCH(0,COUNTIF($AC$4:AC49,$AB$6:$AB$66),0),1),"")</f>
        <v/>
      </c>
      <c r="AE50" s="277" t="str">
        <f>IF(AND('1.4 Analyse &amp; Synthese'!U51=1,'1.4 Analyse &amp; Synthese'!F51="Empfehlung"),'1.4 Analyse &amp; Synthese'!I51&amp;CHAR(13)&amp;"("&amp;'(Codierung)'!$C$2&amp;" - "&amp;'1.4 Analyse &amp; Synthese'!C51&amp;")","")</f>
        <v/>
      </c>
      <c r="AF50" s="387" t="str">
        <f t="array" ref="AF50">_xlfn.IFNA(INDEX($AE$6:$AE$66,MATCH(0,COUNTIF($AF$4:AF49,$AE$6:$AE$66),0),1),"")</f>
        <v/>
      </c>
      <c r="AG50" s="277" t="str">
        <f>IF(AND('1.4 Analyse &amp; Synthese'!U51=1,'1.4 Analyse &amp; Synthese'!F51="Methode"),'1.4 Analyse &amp; Synthese'!I51&amp;CHAR(13)&amp;"("&amp;'(Codierung)'!$C$3&amp;" - "&amp;'1.4 Analyse &amp; Synthese'!C51&amp;")","")</f>
        <v/>
      </c>
      <c r="AH50" s="387" t="str">
        <f t="array" ref="AH50">_xlfn.IFNA(INDEX($AG$6:$AG$66,MATCH(0,COUNTIF($AH$4:AH49,$AG$6:$AG$66),0),1),"")</f>
        <v/>
      </c>
      <c r="AI50" s="277" t="str">
        <f>IF(AND('1.4 Analyse &amp; Synthese'!U51=1,'1.4 Analyse &amp; Synthese'!F51="Werkzeug"),'1.4 Analyse &amp; Synthese'!I51&amp;CHAR(13)&amp;"("&amp;'(Codierung)'!$C$4&amp;" - "&amp;'1.4 Analyse &amp; Synthese'!C51&amp;")","")</f>
        <v/>
      </c>
      <c r="AJ50" s="387" t="str">
        <f t="array" ref="AJ50">_xlfn.IFNA(INDEX($AI$6:$AI$66,MATCH(0,COUNTIF($AJ$4:AJ49,$AI$6:$AI$66),0),1),"")</f>
        <v/>
      </c>
      <c r="AL50" s="277" t="str">
        <f>IF(AND('1.4 Analyse &amp; Synthese'!V51=1,'1.4 Analyse &amp; Synthese'!F51="Empfehlung"),'1.4 Analyse &amp; Synthese'!I51&amp;CHAR(13)&amp;"("&amp;'(Codierung)'!$C$2&amp;" - "&amp;'1.4 Analyse &amp; Synthese'!C51&amp;")","")</f>
        <v/>
      </c>
      <c r="AM50" s="387" t="str">
        <f t="array" ref="AM50">_xlfn.IFNA(INDEX($AL$6:$AL$66,MATCH(0,COUNTIF($AM$4:AM49,$AL$6:$AL$66),0),1),"")</f>
        <v/>
      </c>
      <c r="AN50" s="277" t="str">
        <f>IF(AND('1.4 Analyse &amp; Synthese'!V51=1,'1.4 Analyse &amp; Synthese'!F51="Methode"),'1.4 Analyse &amp; Synthese'!I51&amp;CHAR(13)&amp;"("&amp;'(Codierung)'!$C$3&amp;" - "&amp;'1.4 Analyse &amp; Synthese'!C51&amp;")","")</f>
        <v/>
      </c>
      <c r="AO50" s="387" t="str">
        <f t="array" ref="AO50">_xlfn.IFNA(INDEX($AN$6:$AN$66,MATCH(0,COUNTIF($AO$4:AO49,$AN$6:$AN$66),0),1),"")</f>
        <v/>
      </c>
      <c r="AP50" s="277" t="str">
        <f>IF(AND('1.4 Analyse &amp; Synthese'!V51=1,'1.4 Analyse &amp; Synthese'!F51="Werkzeug"),'1.4 Analyse &amp; Synthese'!I51&amp;CHAR(13)&amp;"("&amp;'(Codierung)'!$C$4&amp;" - "&amp;'1.4 Analyse &amp; Synthese'!C51&amp;")","")</f>
        <v/>
      </c>
      <c r="AQ50" s="387" t="str">
        <f t="array" ref="AQ50">_xlfn.IFNA(INDEX($AP$6:$AP$66,MATCH(0,COUNTIF($AQ$4:AQ49,$AP$6:$AP$66),0),1),"")</f>
        <v/>
      </c>
      <c r="AS50" s="277" t="str">
        <f>IF(AND('1.4 Analyse &amp; Synthese'!W51=1,'1.4 Analyse &amp; Synthese'!F51="Empfehlung"),'1.4 Analyse &amp; Synthese'!I51&amp;CHAR(13)&amp;"("&amp;'(Codierung)'!$C$2&amp;" - "&amp;'1.4 Analyse &amp; Synthese'!C51&amp;")","")</f>
        <v/>
      </c>
      <c r="AT50" s="387" t="str">
        <f t="array" ref="AT50">_xlfn.IFNA(INDEX($AS$6:$AS$66,MATCH(0,COUNTIF($AT$4:AT49,$AS$6:$AS$66),0),1),"")</f>
        <v/>
      </c>
      <c r="AU50" s="277" t="str">
        <f>IF(AND('1.4 Analyse &amp; Synthese'!W51=1,'1.4 Analyse &amp; Synthese'!F51="Methode"),'1.4 Analyse &amp; Synthese'!I51&amp;CHAR(13)&amp;"("&amp;'(Codierung)'!$C$3&amp;" - "&amp;'1.4 Analyse &amp; Synthese'!C51&amp;")","")</f>
        <v/>
      </c>
      <c r="AV50" s="387" t="str">
        <f t="array" ref="AV50">_xlfn.IFNA(INDEX($AU$6:$AU$66,MATCH(0,COUNTIF($AV$4:AV49,$AU$6:$AU$66),0),1),"")</f>
        <v/>
      </c>
      <c r="AW50" s="277" t="str">
        <f>IF(AND('1.4 Analyse &amp; Synthese'!W51=1,'1.4 Analyse &amp; Synthese'!F51="Werkzeug"),'1.4 Analyse &amp; Synthese'!I51&amp;CHAR(13)&amp;"("&amp;'(Codierung)'!$C$4&amp;" - "&amp;'1.4 Analyse &amp; Synthese'!C51&amp;")","")</f>
        <v/>
      </c>
      <c r="AX50" s="387" t="str">
        <f t="array" ref="AX50">_xlfn.IFNA(INDEX($AW$6:$AW$66,MATCH(0,COUNTIF($AX$4:AX49,$AW$6:$AW$66),0),1),"")</f>
        <v/>
      </c>
      <c r="AZ50" s="277" t="str">
        <f>IF(AND('1.4 Analyse &amp; Synthese'!X51=1,'1.4 Analyse &amp; Synthese'!F51="Empfehlung"),'1.4 Analyse &amp; Synthese'!I51&amp;CHAR(13)&amp;"("&amp;'(Codierung)'!$C$2&amp;" - "&amp;'1.4 Analyse &amp; Synthese'!C51&amp;")","")</f>
        <v/>
      </c>
      <c r="BA50" s="387" t="str">
        <f t="array" ref="BA50">_xlfn.IFNA(INDEX($AZ$6:$AZ$66,MATCH(0,COUNTIF($BA$4:BA49,$AZ$6:$AZ$66),0),1),"")</f>
        <v/>
      </c>
      <c r="BB50" s="277" t="str">
        <f>IF(AND('1.4 Analyse &amp; Synthese'!X51=1,'1.4 Analyse &amp; Synthese'!F51="Methode"),'1.4 Analyse &amp; Synthese'!I51&amp;CHAR(13)&amp;"("&amp;'(Codierung)'!$C$3&amp;" - "&amp;'1.4 Analyse &amp; Synthese'!C51&amp;")","")</f>
        <v/>
      </c>
      <c r="BC50" s="387" t="str">
        <f t="array" ref="BC50">_xlfn.IFNA(INDEX($BB$6:$BB$66,MATCH(0,COUNTIF($BC$4:BC49,$BB$6:$BB$66),0),1),"")</f>
        <v/>
      </c>
      <c r="BD50" s="277" t="str">
        <f>IF(AND('1.4 Analyse &amp; Synthese'!X51=1,'1.4 Analyse &amp; Synthese'!F51="Werkzeug"),'1.4 Analyse &amp; Synthese'!I51&amp;CHAR(13)&amp;"("&amp;'(Codierung)'!$C$4&amp;" - "&amp;'1.4 Analyse &amp; Synthese'!C51&amp;")","")</f>
        <v/>
      </c>
      <c r="BE50" s="387" t="str">
        <f t="array" ref="BE50">_xlfn.IFNA(INDEX($BD$6:$BD$66,MATCH(0,COUNTIF($BE$4:BE49,$BD$6:$BD$66),0),1),"")</f>
        <v/>
      </c>
      <c r="BG50" s="277" t="str">
        <f>IF(AND('1.4 Analyse &amp; Synthese'!Y51=1,'1.4 Analyse &amp; Synthese'!F51="Empfehlung"),'1.4 Analyse &amp; Synthese'!I51&amp;CHAR(13)&amp;"("&amp;'(Codierung)'!$C$2&amp;" - "&amp;'1.4 Analyse &amp; Synthese'!C51&amp;")","")</f>
        <v/>
      </c>
      <c r="BH50" s="387" t="str">
        <f t="array" ref="BH50">_xlfn.IFNA(INDEX($BG$6:$BG$66,MATCH(0,COUNTIF($BH$4:BH49,$BG$6:$BG$66),0),1),"")</f>
        <v/>
      </c>
      <c r="BI50" s="277" t="str">
        <f>IF(AND('1.4 Analyse &amp; Synthese'!Y51=1,'1.4 Analyse &amp; Synthese'!F51="Methode"),'1.4 Analyse &amp; Synthese'!I51&amp;CHAR(13)&amp;"("&amp;'(Codierung)'!$C$3&amp;" - "&amp;'1.4 Analyse &amp; Synthese'!C51&amp;")","")</f>
        <v/>
      </c>
      <c r="BJ50" s="387" t="str">
        <f t="array" ref="BJ50">_xlfn.IFNA(INDEX($BI$6:$BI$66,MATCH(0,COUNTIF($BJ$4:BJ49,$BI$6:$BI$66),0),1),"")</f>
        <v/>
      </c>
      <c r="BK50" s="277" t="str">
        <f>IF(AND('1.4 Analyse &amp; Synthese'!Y51=1,'1.4 Analyse &amp; Synthese'!F51="Werkzeug"),'1.4 Analyse &amp; Synthese'!I51&amp;CHAR(13)&amp;"("&amp;'(Codierung)'!$C$4&amp;" - "&amp;'1.4 Analyse &amp; Synthese'!C51&amp;")","")</f>
        <v/>
      </c>
      <c r="BL50" s="387" t="str">
        <f t="array" ref="BL50">_xlfn.IFNA(INDEX($BK$6:$BK$66,MATCH(0,COUNTIF($BL$4:BL49,$BK$6:$BK$66),0),1),"")</f>
        <v/>
      </c>
      <c r="BN50" s="277" t="str">
        <f>IF(AND('1.4 Analyse &amp; Synthese'!Z51=1,'1.4 Analyse &amp; Synthese'!F51="Empfehlung"),'1.4 Analyse &amp; Synthese'!I51&amp;CHAR(13)&amp;"("&amp;'(Codierung)'!$C$2&amp;" - "&amp;'1.4 Analyse &amp; Synthese'!C51&amp;")","")</f>
        <v/>
      </c>
      <c r="BO50" s="387" t="str">
        <f t="array" ref="BO50">_xlfn.IFNA(INDEX($BN$6:$BN$66,MATCH(0,COUNTIF($BO$4:BO49,$BN$6:$BN$66),0),1),"")</f>
        <v/>
      </c>
      <c r="BP50" s="277" t="str">
        <f>IF(AND('1.4 Analyse &amp; Synthese'!Z51=1,'1.4 Analyse &amp; Synthese'!F51="Methode"),'1.4 Analyse &amp; Synthese'!I51&amp;CHAR(13)&amp;"("&amp;'(Codierung)'!$C$3&amp;" - "&amp;'1.4 Analyse &amp; Synthese'!C51&amp;")","")</f>
        <v/>
      </c>
      <c r="BQ50" s="387" t="str">
        <f t="array" ref="BQ50">_xlfn.IFNA(INDEX($BP$6:$BP$66,MATCH(0,COUNTIF($BQ$4:BQ49,$BP$6:$BP$66),0),1),"")</f>
        <v/>
      </c>
      <c r="BR50" s="277" t="str">
        <f>IF(AND('1.4 Analyse &amp; Synthese'!Z51=1,'1.4 Analyse &amp; Synthese'!F51="Werkzeug"),'1.4 Analyse &amp; Synthese'!I51&amp;CHAR(13)&amp;"("&amp;'(Codierung)'!$C$4&amp;" - "&amp;'1.4 Analyse &amp; Synthese'!C51&amp;")","")</f>
        <v/>
      </c>
      <c r="BS50" s="387" t="str">
        <f t="array" ref="BS50">_xlfn.IFNA(INDEX($BR$6:$BR$66,MATCH(0,COUNTIF($BS$4:BS49,$BR$6:$BR$66),0),1),"")</f>
        <v/>
      </c>
      <c r="BU50" s="277" t="str">
        <f>IF(AND('1.4 Analyse &amp; Synthese'!AA51=1,'1.4 Analyse &amp; Synthese'!F51="Empfehlung"),'1.4 Analyse &amp; Synthese'!I51&amp;CHAR(13)&amp;"("&amp;'(Codierung)'!$C$2&amp;" - "&amp;'1.4 Analyse &amp; Synthese'!C51&amp;")","")</f>
        <v/>
      </c>
      <c r="BV50" s="387" t="str">
        <f t="array" ref="BV50">_xlfn.IFNA(INDEX($BU$6:$BU$66,MATCH(0,COUNTIF($BV$4:BV49,$BU$6:$BU$66),0),1),"")</f>
        <v/>
      </c>
      <c r="BW50" s="277" t="str">
        <f>IF(AND('1.4 Analyse &amp; Synthese'!AA51=1,'1.4 Analyse &amp; Synthese'!F51="Methode"),'1.4 Analyse &amp; Synthese'!I51&amp;CHAR(13)&amp;"("&amp;'(Codierung)'!$C$3&amp;" - "&amp;'1.4 Analyse &amp; Synthese'!C51&amp;")","")</f>
        <v/>
      </c>
      <c r="BX50" s="387" t="str">
        <f t="array" ref="BX50">_xlfn.IFNA(INDEX($BW$6:$BW$66,MATCH(0,COUNTIF($BX$4:BX49,$BW$6:$BW$66),0),1),"")</f>
        <v/>
      </c>
      <c r="BY50" s="277" t="str">
        <f>IF(AND('1.4 Analyse &amp; Synthese'!AA51=1,'1.4 Analyse &amp; Synthese'!F51="Werkzeug"),'1.4 Analyse &amp; Synthese'!I51&amp;CHAR(13)&amp;"("&amp;'(Codierung)'!$C$4&amp;" - "&amp;'1.4 Analyse &amp; Synthese'!C51&amp;")","")</f>
        <v/>
      </c>
      <c r="BZ50" s="387" t="str">
        <f t="array" ref="BZ50">_xlfn.IFNA(INDEX($BY$6:$BY$66,MATCH(0,COUNTIF($BZ$4:BZ49,$BY$6:$BY$66),0),1),"")</f>
        <v/>
      </c>
      <c r="CB50" s="277" t="str">
        <f>IF(AND('1.4 Analyse &amp; Synthese'!AB51=1,'1.4 Analyse &amp; Synthese'!F51="Empfehlung"),'1.4 Analyse &amp; Synthese'!I51&amp;CHAR(13)&amp;"("&amp;'(Codierung)'!$C$2&amp;" - "&amp;'1.4 Analyse &amp; Synthese'!C51&amp;")","")</f>
        <v/>
      </c>
      <c r="CC50" s="387" t="str">
        <f t="array" ref="CC50">_xlfn.IFNA(INDEX($CB$6:$CB$66,MATCH(0,COUNTIF($CC$4:CC49,$CB$6:$CB$66),0),1),"")</f>
        <v/>
      </c>
      <c r="CD50" s="277" t="str">
        <f>IF(AND('1.4 Analyse &amp; Synthese'!AB51=1,'1.4 Analyse &amp; Synthese'!F51="Methode"),'1.4 Analyse &amp; Synthese'!I51&amp;CHAR(13)&amp;"("&amp;'(Codierung)'!$C$3&amp;" - "&amp;'1.4 Analyse &amp; Synthese'!C51&amp;")","")</f>
        <v/>
      </c>
      <c r="CE50" s="387" t="str">
        <f t="array" ref="CE50">_xlfn.IFNA(INDEX($CD$6:$CD$66,MATCH(0,COUNTIF($CE$4:CE49,$CD$6:$CD$66),0),1),"")</f>
        <v/>
      </c>
      <c r="CF50" s="277" t="str">
        <f>IF(AND('1.4 Analyse &amp; Synthese'!AB51=1,'1.4 Analyse &amp; Synthese'!F51="Werkzeug"),'1.4 Analyse &amp; Synthese'!I51&amp;CHAR(13)&amp;"("&amp;'(Codierung)'!$C$4&amp;" - "&amp;'1.4 Analyse &amp; Synthese'!C51&amp;")","")</f>
        <v/>
      </c>
      <c r="CG50" s="387" t="str">
        <f t="array" ref="CG50">_xlfn.IFNA(INDEX($CF$6:$CF$66,MATCH(0,COUNTIF($CG$4:CG49,$CF$6:$CF$66),0),1),"")</f>
        <v/>
      </c>
      <c r="CI50" s="277" t="str">
        <f>IF(AND('1.4 Analyse &amp; Synthese'!AC51=1,'1.4 Analyse &amp; Synthese'!F51="Empfehlung"),'1.4 Analyse &amp; Synthese'!I51&amp;CHAR(13)&amp;"("&amp;'(Codierung)'!$C$2&amp;" - "&amp;'1.4 Analyse &amp; Synthese'!C51&amp;")","")</f>
        <v/>
      </c>
      <c r="CJ50" s="387" t="str">
        <f t="array" ref="CJ50">_xlfn.IFNA(INDEX($CI$6:$CI$66,MATCH(0,COUNTIF($CJ$4:CJ49,$CI$6:$CI$66),0),1),"")</f>
        <v/>
      </c>
      <c r="CK50" s="277" t="str">
        <f>IF(AND('1.4 Analyse &amp; Synthese'!AC51=1,'1.4 Analyse &amp; Synthese'!F51="Methode"),'1.4 Analyse &amp; Synthese'!I51&amp;CHAR(13)&amp;"("&amp;'(Codierung)'!$C$3&amp;" - "&amp;'1.4 Analyse &amp; Synthese'!C51&amp;")","")</f>
        <v/>
      </c>
      <c r="CL50" s="387" t="str">
        <f t="array" ref="CL50">_xlfn.IFNA(INDEX($CK$6:$CK$66,MATCH(0,COUNTIF($CL$4:CL49,$CK$6:$CK$66),0),1),"")</f>
        <v/>
      </c>
      <c r="CM50" s="277" t="str">
        <f>IF(AND('1.4 Analyse &amp; Synthese'!AC51=1,'1.4 Analyse &amp; Synthese'!F51="Werkzeug"),'1.4 Analyse &amp; Synthese'!I51&amp;CHAR(13)&amp;"("&amp;'(Codierung)'!$C$4&amp;" - "&amp;'1.4 Analyse &amp; Synthese'!C51&amp;")","")</f>
        <v/>
      </c>
      <c r="CN50" s="387" t="str">
        <f t="array" ref="CN50">_xlfn.IFNA(INDEX($CM$6:$CM$66,MATCH(0,COUNTIF($CN$4:CN49,$CM$6:$CM$66),0),1),"")</f>
        <v/>
      </c>
      <c r="CP50" s="277" t="str">
        <f>IF(AND('1.4 Analyse &amp; Synthese'!AD51=1,'1.4 Analyse &amp; Synthese'!F51="Empfehlung"),'1.4 Analyse &amp; Synthese'!I51&amp;CHAR(13)&amp;"("&amp;'(Codierung)'!$C$2&amp;" - "&amp;'1.4 Analyse &amp; Synthese'!C51&amp;")","")</f>
        <v/>
      </c>
      <c r="CQ50" s="387" t="str">
        <f t="array" ref="CQ50">_xlfn.IFNA(INDEX($CP$6:$CP$66,MATCH(0,COUNTIF($CQ$4:CQ49,$CP$6:$CP$66),0),1),"")</f>
        <v/>
      </c>
      <c r="CR50" s="277" t="str">
        <f>IF(AND('1.4 Analyse &amp; Synthese'!AD51=1,'1.4 Analyse &amp; Synthese'!F51="Methode"),'1.4 Analyse &amp; Synthese'!I51&amp;CHAR(13)&amp;"("&amp;'(Codierung)'!$C$3&amp;" - "&amp;'1.4 Analyse &amp; Synthese'!C51&amp;")","")</f>
        <v/>
      </c>
      <c r="CS50" s="387" t="str">
        <f t="array" ref="CS50">_xlfn.IFNA(INDEX($CR$6:$CR$66,MATCH(0,COUNTIF($CS$4:CS49,$CR$6:$CR$66),0),1),"")</f>
        <v/>
      </c>
      <c r="CT50" s="277" t="str">
        <f>IF(AND('1.4 Analyse &amp; Synthese'!AD51=1,'1.4 Analyse &amp; Synthese'!F51="Werkzeug"),'1.4 Analyse &amp; Synthese'!I51&amp;CHAR(13)&amp;"("&amp;'(Codierung)'!$C$4&amp;" - "&amp;'1.4 Analyse &amp; Synthese'!C51&amp;")","")</f>
        <v/>
      </c>
      <c r="CU50" s="387" t="str">
        <f t="array" ref="CU50">_xlfn.IFNA(INDEX($CT$6:$CT$66,MATCH(0,COUNTIF($CU$4:CU49,$CT$6:$CT$66),0),1),"")</f>
        <v/>
      </c>
      <c r="CW50" s="277" t="str">
        <f>IF(AND('1.4 Analyse &amp; Synthese'!AE51=1,'1.4 Analyse &amp; Synthese'!F51="Empfehlung"),'1.4 Analyse &amp; Synthese'!I51&amp;CHAR(13)&amp;"("&amp;'(Codierung)'!$C$2&amp;" - "&amp;'1.4 Analyse &amp; Synthese'!C51&amp;")","")</f>
        <v/>
      </c>
      <c r="CX50" s="387" t="str">
        <f t="array" ref="CX50">_xlfn.IFNA(INDEX($CW$6:$CW$66,MATCH(0,COUNTIF($CX$4:CX49,$CW$6:$CW$66),0),1),"")</f>
        <v/>
      </c>
      <c r="CY50" s="277" t="str">
        <f>IF(AND('1.4 Analyse &amp; Synthese'!AE51=1,'1.4 Analyse &amp; Synthese'!F51="Methode"),'1.4 Analyse &amp; Synthese'!I51&amp;CHAR(13)&amp;"("&amp;'(Codierung)'!$C$3&amp;" - "&amp;'1.4 Analyse &amp; Synthese'!C51&amp;")","")</f>
        <v/>
      </c>
      <c r="CZ50" s="387" t="str">
        <f t="array" ref="CZ50">_xlfn.IFNA(INDEX($CY$6:$CY$66,MATCH(0,COUNTIF($CZ$4:CZ49,$CY$6:$CY$66),0),1),"")</f>
        <v/>
      </c>
      <c r="DA50" s="277" t="str">
        <f>IF(AND('1.4 Analyse &amp; Synthese'!AE51=1,'1.4 Analyse &amp; Synthese'!F51="Werkzeug"),'1.4 Analyse &amp; Synthese'!I51&amp;CHAR(13)&amp;"("&amp;'(Codierung)'!$C$4&amp;" - "&amp;'1.4 Analyse &amp; Synthese'!C51&amp;")","")</f>
        <v/>
      </c>
      <c r="DB50" s="387" t="str">
        <f t="array" ref="DB50">_xlfn.IFNA(INDEX($DA$6:$DA$66,MATCH(0,COUNTIF($DB$4:DB49,$DA$6:$DA$66),0),1),"")</f>
        <v/>
      </c>
      <c r="DD50" s="277" t="str">
        <f>IF(AND('1.4 Analyse &amp; Synthese'!AF51=1,'1.4 Analyse &amp; Synthese'!F51="Empfehlung"),'1.4 Analyse &amp; Synthese'!I51&amp;CHAR(13)&amp;"("&amp;'(Codierung)'!$C$2&amp;" - "&amp;'1.4 Analyse &amp; Synthese'!C51&amp;")","")</f>
        <v/>
      </c>
      <c r="DE50" s="387" t="str">
        <f t="array" ref="DE50">_xlfn.IFNA(INDEX($DD$6:$DD$66,MATCH(0,COUNTIF($DE$4:DE49,$DD$6:$DD$66),0),1),"")</f>
        <v/>
      </c>
      <c r="DF50" s="277" t="str">
        <f>IF(AND('1.4 Analyse &amp; Synthese'!AF51=1,'1.4 Analyse &amp; Synthese'!F51="Methode"),'1.4 Analyse &amp; Synthese'!I51&amp;CHAR(13)&amp;"("&amp;'(Codierung)'!$C$3&amp;" - "&amp;'1.4 Analyse &amp; Synthese'!C51&amp;")","")</f>
        <v/>
      </c>
      <c r="DG50" s="387" t="str">
        <f t="array" ref="DG50">_xlfn.IFNA(INDEX($DF$6:$DF$66,MATCH(0,COUNTIF($DG$4:DG49,$DF$6:$DF$66),0),1),"")</f>
        <v/>
      </c>
      <c r="DH50" s="277" t="str">
        <f>IF(AND('1.4 Analyse &amp; Synthese'!AF51=1,'1.4 Analyse &amp; Synthese'!F51="Werkzeug"),'1.4 Analyse &amp; Synthese'!I51&amp;CHAR(13)&amp;"("&amp;'(Codierung)'!$C$4&amp;" - "&amp;'1.4 Analyse &amp; Synthese'!C51&amp;")","")</f>
        <v/>
      </c>
      <c r="DI50" s="387" t="str">
        <f t="array" ref="DI50">_xlfn.IFNA(INDEX($DH$6:$DH$66,MATCH(0,COUNTIF($DI$4:DI49,$DH$6:$DH$66),0),1),"")</f>
        <v/>
      </c>
      <c r="DK50" s="277" t="str">
        <f>IF(AND('1.4 Analyse &amp; Synthese'!AG51=1,'1.4 Analyse &amp; Synthese'!F51="Empfehlung"),'1.4 Analyse &amp; Synthese'!I51&amp;CHAR(13)&amp;"("&amp;'(Codierung)'!$C$2&amp;" - "&amp;'1.4 Analyse &amp; Synthese'!C51&amp;")","")</f>
        <v/>
      </c>
      <c r="DL50" s="387" t="str">
        <f t="array" ref="DL50">_xlfn.IFNA(INDEX($DK$6:$DK$66,MATCH(0,COUNTIF($DL$4:DL49,$DK$6:$DK$66),0),1),"")</f>
        <v/>
      </c>
      <c r="DM50" s="277" t="str">
        <f>IF(AND('1.4 Analyse &amp; Synthese'!AG51=1,'1.4 Analyse &amp; Synthese'!F51="Methode"),'1.4 Analyse &amp; Synthese'!I51&amp;CHAR(13)&amp;"("&amp;'(Codierung)'!$C$3&amp;" - "&amp;'1.4 Analyse &amp; Synthese'!C51&amp;")","")</f>
        <v/>
      </c>
      <c r="DN50" s="387" t="str">
        <f t="array" ref="DN50">_xlfn.IFNA(INDEX($DM$6:$DM$66,MATCH(0,COUNTIF($DN$4:DN49,$DM$6:$DM$66),0),1),"")</f>
        <v/>
      </c>
      <c r="DO50" s="277" t="str">
        <f>IF(AND('1.4 Analyse &amp; Synthese'!AG51=1,'1.4 Analyse &amp; Synthese'!F51="Werkzeug"),'1.4 Analyse &amp; Synthese'!I51&amp;CHAR(13)&amp;"("&amp;'(Codierung)'!$C$4&amp;" - "&amp;'1.4 Analyse &amp; Synthese'!C51&amp;")","")</f>
        <v/>
      </c>
      <c r="DP50" s="387" t="str">
        <f t="array" ref="DP50">_xlfn.IFNA(INDEX($DO$6:$DO$66,MATCH(0,COUNTIF($DP$4:DP49,$DO$6:$DO$66),0),1),"")</f>
        <v/>
      </c>
      <c r="DR50" s="277" t="str">
        <f>IF(AND('1.4 Analyse &amp; Synthese'!AH51=1,'1.4 Analyse &amp; Synthese'!F51="Empfehlung"),'1.4 Analyse &amp; Synthese'!I51&amp;CHAR(13)&amp;"("&amp;'(Codierung)'!$C$2&amp;" - "&amp;'1.4 Analyse &amp; Synthese'!C51&amp;")","")</f>
        <v/>
      </c>
      <c r="DS50" s="387" t="str">
        <f t="array" ref="DS50">_xlfn.IFNA(INDEX($DR$6:$DR$66,MATCH(0,COUNTIF($DS$4:DS49,$DR$6:$DR$66),0),1),"")</f>
        <v/>
      </c>
      <c r="DT50" s="277" t="str">
        <f>IF(AND('1.4 Analyse &amp; Synthese'!AH51=1,'1.4 Analyse &amp; Synthese'!F51="Methode"),'1.4 Analyse &amp; Synthese'!I51&amp;CHAR(13)&amp;"("&amp;'(Codierung)'!$C$3&amp;" - "&amp;'1.4 Analyse &amp; Synthese'!C51&amp;")","")</f>
        <v/>
      </c>
      <c r="DU50" s="387" t="str">
        <f t="array" ref="DU50">_xlfn.IFNA(INDEX($DT$6:$DT$66,MATCH(0,COUNTIF($DU$4:DU49,$DT$6:$DT$66),0),1),"")</f>
        <v/>
      </c>
      <c r="DV50" s="277" t="str">
        <f>IF(AND('1.4 Analyse &amp; Synthese'!AH51=1,'1.4 Analyse &amp; Synthese'!F51="Werkzeug"),'1.4 Analyse &amp; Synthese'!I51&amp;CHAR(13)&amp;"("&amp;'(Codierung)'!$C$4&amp;" - "&amp;'1.4 Analyse &amp; Synthese'!C51&amp;")","")</f>
        <v/>
      </c>
      <c r="DW50" s="387" t="str">
        <f t="array" ref="DW50">_xlfn.IFNA(INDEX($DV$6:$DV$66,MATCH(0,COUNTIF($DW$4:DW49,$DV$6:$DV$66),0),1),"")</f>
        <v/>
      </c>
      <c r="DY50" s="277" t="str">
        <f>IF(AND('1.4 Analyse &amp; Synthese'!AI51=1,'1.4 Analyse &amp; Synthese'!F51="Empfehlung"),'1.4 Analyse &amp; Synthese'!I51&amp;CHAR(13)&amp;"("&amp;'(Codierung)'!$C$2&amp;" - "&amp;'1.4 Analyse &amp; Synthese'!C51&amp;")","")</f>
        <v/>
      </c>
      <c r="DZ50" s="387" t="str">
        <f t="array" ref="DZ50">_xlfn.IFNA(INDEX($DY$6:$DY$66,MATCH(0,COUNTIF($DZ$4:DZ49,$DY$6:$DY$66),0),1),"")</f>
        <v/>
      </c>
      <c r="EA50" s="277" t="str">
        <f>IF(AND('1.4 Analyse &amp; Synthese'!AI51=1,'1.4 Analyse &amp; Synthese'!F51="Methode"),'1.4 Analyse &amp; Synthese'!I51&amp;CHAR(13)&amp;"("&amp;'(Codierung)'!$C$3&amp;" - "&amp;'1.4 Analyse &amp; Synthese'!C51&amp;")","")</f>
        <v/>
      </c>
      <c r="EB50" s="387" t="str">
        <f t="array" ref="EB50">_xlfn.IFNA(INDEX($EA$6:$EA$66,MATCH(0,COUNTIF($EB$4:EB49,$EA$6:$EA$66),0),1),"")</f>
        <v/>
      </c>
      <c r="EC50" s="277" t="str">
        <f>IF(AND('1.4 Analyse &amp; Synthese'!AI51=1,'1.4 Analyse &amp; Synthese'!F51="Werkzeug"),'1.4 Analyse &amp; Synthese'!I51&amp;CHAR(13)&amp;"("&amp;'(Codierung)'!$C$4&amp;" - "&amp;'1.4 Analyse &amp; Synthese'!C51&amp;")","")</f>
        <v/>
      </c>
      <c r="ED50" s="277" t="str">
        <f t="array" ref="ED50">_xlfn.IFNA(INDEX($EC$6:$EC$66,MATCH(0,COUNTIF($ED$4:ED49,$EC$6:$EC$66),0),1),"")</f>
        <v/>
      </c>
      <c r="EF50" s="277" t="str">
        <f>IF(AND('1.4 Analyse &amp; Synthese'!AJ51=1,'1.4 Analyse &amp; Synthese'!F51="Empfehlung"),'1.4 Analyse &amp; Synthese'!I51&amp;CHAR(13)&amp;"("&amp;'(Codierung)'!$C$2&amp;" - "&amp;'1.4 Analyse &amp; Synthese'!C51&amp;")","")</f>
        <v/>
      </c>
      <c r="EG50" s="277" t="str">
        <f t="array" ref="EG50">_xlfn.IFNA(INDEX($EF$6:$EF$66,MATCH(0,COUNTIF($EG$4:EG49,$EF$6:$EF$66),0),1),"")</f>
        <v/>
      </c>
      <c r="EH50" s="277" t="str">
        <f>IF(AND('1.4 Analyse &amp; Synthese'!AJ51=1,'1.4 Analyse &amp; Synthese'!F51="Methode"),'1.4 Analyse &amp; Synthese'!I51&amp;CHAR(13)&amp;"("&amp;'(Codierung)'!$C$3&amp;" - "&amp;'1.4 Analyse &amp; Synthese'!C51&amp;")","")</f>
        <v/>
      </c>
      <c r="EI50" s="387" t="str">
        <f t="array" ref="EI50">_xlfn.IFNA(INDEX($EH$6:$EH$66,MATCH(0,COUNTIF($EI$4:EI49,$EH$6:$EH$66),0),1),"")</f>
        <v/>
      </c>
      <c r="EJ50" s="277" t="str">
        <f>IF(AND('1.4 Analyse &amp; Synthese'!AJ51=1,'1.4 Analyse &amp; Synthese'!F51="Werkzeug"),'1.4 Analyse &amp; Synthese'!I51&amp;CHAR(13)&amp;"("&amp;'(Codierung)'!$C$4&amp;" - "&amp;'1.4 Analyse &amp; Synthese'!C51&amp;")","")</f>
        <v/>
      </c>
      <c r="EK50" s="387" t="str">
        <f t="array" ref="EK50">_xlfn.IFNA(INDEX($EJ$6:$EJ$66,MATCH(0,COUNTIF($EK$4:EK49,$EJ$6:$EJ$66),0),1),"")</f>
        <v/>
      </c>
      <c r="EN50" s="222" t="str">
        <f t="shared" si="60"/>
        <v/>
      </c>
      <c r="EO50" s="277" t="str">
        <f t="shared" si="61"/>
        <v/>
      </c>
      <c r="EP50" s="277" t="str">
        <f t="shared" si="62"/>
        <v/>
      </c>
      <c r="EQ50" s="277" t="str">
        <f>ZahlenInBereich(Tabelle1[[Empfehlung]:[Werkzeug]],ROW()-5)</f>
        <v/>
      </c>
      <c r="ER50" s="277" t="str">
        <f t="shared" si="63"/>
        <v/>
      </c>
      <c r="ES50" s="277" t="str">
        <f t="shared" si="64"/>
        <v/>
      </c>
      <c r="ET50" s="277" t="str">
        <f t="shared" si="65"/>
        <v/>
      </c>
      <c r="EU50" s="277" t="str">
        <f>ZahlenInBereich(Tabelle1[[Empfehlung2]:[Werkzeug4]],ROW()-5)</f>
        <v/>
      </c>
      <c r="EV50" s="277" t="str">
        <f t="shared" si="66"/>
        <v/>
      </c>
      <c r="EW50" s="277" t="str">
        <f t="shared" si="67"/>
        <v/>
      </c>
      <c r="EX50" s="277" t="str">
        <f t="shared" si="68"/>
        <v/>
      </c>
      <c r="EY50" s="277" t="str">
        <f>ZahlenInBereich(Tabelle1[[Empfehlung6]:[Werkzeug8]],ROW()-5)</f>
        <v/>
      </c>
      <c r="EZ50" s="277" t="str">
        <f t="shared" si="69"/>
        <v/>
      </c>
      <c r="FA50" s="277" t="str">
        <f t="shared" si="70"/>
        <v/>
      </c>
      <c r="FB50" s="277" t="str">
        <f t="shared" si="71"/>
        <v/>
      </c>
      <c r="FC50" s="277" t="str">
        <f>ZahlenInBereich(Tabelle1[[Empfehlung10]:[Werkzeug12]],ROW()-5)</f>
        <v/>
      </c>
      <c r="FD50" s="277" t="str">
        <f t="shared" si="72"/>
        <v/>
      </c>
      <c r="FE50" s="277" t="str">
        <f t="shared" si="73"/>
        <v/>
      </c>
      <c r="FF50" s="277" t="str">
        <f t="shared" si="74"/>
        <v/>
      </c>
      <c r="FG50" s="277" t="str">
        <f>ZahlenInBereich(Tabelle1[[Empfehlung14]:[Werkzeug16]],ROW()-5)</f>
        <v/>
      </c>
      <c r="FH50" s="277" t="str">
        <f t="shared" si="75"/>
        <v/>
      </c>
      <c r="FI50" s="277" t="str">
        <f t="shared" si="76"/>
        <v/>
      </c>
      <c r="FJ50" s="277" t="str">
        <f t="shared" si="77"/>
        <v/>
      </c>
      <c r="FK50" s="277" t="str">
        <f>ZahlenInBereich(Tabelle1[[Empfehlung18]:[Werkzeug20]],ROW()-5)</f>
        <v/>
      </c>
      <c r="FL50" s="277" t="str">
        <f t="shared" si="78"/>
        <v/>
      </c>
      <c r="FM50" s="277" t="str">
        <f t="shared" si="79"/>
        <v/>
      </c>
      <c r="FN50" s="277" t="str">
        <f t="shared" si="80"/>
        <v/>
      </c>
      <c r="FO50" s="277" t="str">
        <f>ZahlenInBereich(Tabelle1[[Empfehlung22]:[Werkzeug24]],ROW()-5)</f>
        <v/>
      </c>
      <c r="FP50" s="277" t="str">
        <f t="shared" si="81"/>
        <v/>
      </c>
      <c r="FQ50" s="277" t="str">
        <f t="shared" si="82"/>
        <v/>
      </c>
      <c r="FR50" s="277" t="str">
        <f t="shared" si="83"/>
        <v/>
      </c>
      <c r="FS50" s="277" t="str">
        <f>ZahlenInBereich(Tabelle1[[Empfehlung26]:[Werkzeug28]],ROW()-5)</f>
        <v/>
      </c>
      <c r="FT50" s="277" t="str">
        <f t="shared" si="84"/>
        <v/>
      </c>
      <c r="FU50" s="277" t="str">
        <f t="shared" si="85"/>
        <v/>
      </c>
      <c r="FV50" s="277" t="str">
        <f t="shared" si="86"/>
        <v/>
      </c>
      <c r="FW50" s="277" t="str">
        <f>ZahlenInBereich(Tabelle1[[Empfehlung30]:[Werkzeug32]],ROW()-5)</f>
        <v/>
      </c>
      <c r="FX50" s="277" t="str">
        <f t="shared" si="87"/>
        <v/>
      </c>
      <c r="FY50" s="277" t="str">
        <f t="shared" si="88"/>
        <v/>
      </c>
      <c r="FZ50" s="277" t="str">
        <f t="shared" si="89"/>
        <v/>
      </c>
      <c r="GA50" s="277" t="str">
        <f>ZahlenInBereich(Tabelle1[[Empfehlung34]:[Werkzeug36]],ROW()-5)</f>
        <v/>
      </c>
      <c r="GB50" s="277" t="str">
        <f t="shared" si="90"/>
        <v/>
      </c>
      <c r="GC50" s="277" t="str">
        <f t="shared" si="91"/>
        <v/>
      </c>
      <c r="GD50" s="277" t="str">
        <f t="shared" si="92"/>
        <v/>
      </c>
      <c r="GE50" s="277" t="str">
        <f>ZahlenInBereich(Tabelle1[[Empfehlung38]:[Werkzeug40]],ROW()-5)</f>
        <v/>
      </c>
      <c r="GF50" s="277" t="str">
        <f t="shared" si="93"/>
        <v/>
      </c>
      <c r="GG50" s="277" t="str">
        <f t="shared" si="94"/>
        <v/>
      </c>
      <c r="GH50" s="277" t="str">
        <f t="shared" si="95"/>
        <v/>
      </c>
      <c r="GI50" s="277" t="str">
        <f>ZahlenInBereich(Tabelle1[[Empfehlung42]:[Werkzeug44]],ROW()-5)</f>
        <v/>
      </c>
      <c r="GJ50" s="277" t="str">
        <f t="shared" si="96"/>
        <v/>
      </c>
      <c r="GK50" s="277" t="str">
        <f t="shared" si="97"/>
        <v/>
      </c>
      <c r="GL50" s="277" t="str">
        <f t="shared" si="98"/>
        <v/>
      </c>
      <c r="GM50" s="277" t="str">
        <f>ZahlenInBereich(Tabelle1[[Empfehlung46]:[Werkzeug48]],ROW()-5)</f>
        <v/>
      </c>
      <c r="GN50" s="277" t="str">
        <f t="shared" si="99"/>
        <v/>
      </c>
      <c r="GO50" s="277" t="str">
        <f t="shared" si="100"/>
        <v/>
      </c>
      <c r="GP50" s="277" t="str">
        <f t="shared" si="101"/>
        <v/>
      </c>
      <c r="GQ50" s="277" t="str">
        <f>ZahlenInBereich(Tabelle1[[Empfehlung50]:[Werkzeug52]],ROW()-5)</f>
        <v/>
      </c>
      <c r="GR50" s="277" t="str">
        <f t="shared" si="102"/>
        <v/>
      </c>
      <c r="GS50" s="277" t="str">
        <f t="shared" si="103"/>
        <v/>
      </c>
      <c r="GT50" s="277" t="str">
        <f t="shared" si="104"/>
        <v/>
      </c>
      <c r="GU50" s="277" t="str">
        <f>ZahlenInBereich(Tabelle1[[Empfehlung54]:[Werkzeug56]],ROW()-5)</f>
        <v/>
      </c>
      <c r="GV50" s="277" t="str">
        <f t="shared" si="105"/>
        <v/>
      </c>
      <c r="GW50" s="277" t="str">
        <f t="shared" si="106"/>
        <v/>
      </c>
      <c r="GX50" s="277" t="str">
        <f t="shared" si="107"/>
        <v/>
      </c>
      <c r="GY50" s="277" t="str">
        <f>ZahlenInBereich(Tabelle1[[Empfehlung58]:[Werkzeug60]],ROW()-5)</f>
        <v/>
      </c>
      <c r="GZ50" s="277" t="str">
        <f t="shared" si="108"/>
        <v/>
      </c>
      <c r="HA50" s="277" t="str">
        <f t="shared" si="109"/>
        <v/>
      </c>
      <c r="HB50" s="277" t="str">
        <f t="shared" si="110"/>
        <v/>
      </c>
      <c r="HC50" s="277" t="str">
        <f>ZahlenInBereich(Tabelle1[[Empfehlung62]:[Werkzeug64]],ROW()-5)</f>
        <v/>
      </c>
      <c r="HD50" s="277" t="str">
        <f t="shared" si="111"/>
        <v/>
      </c>
      <c r="HE50" s="277" t="str">
        <f t="shared" si="112"/>
        <v/>
      </c>
      <c r="HF50" s="277" t="str">
        <f t="shared" si="113"/>
        <v/>
      </c>
      <c r="HG50" s="277" t="str">
        <f>ZahlenInBereich(Tabelle1[[Empfehlung66]:[Werkzeug68]],ROW()-5)</f>
        <v/>
      </c>
      <c r="HH50" s="277" t="str">
        <f t="shared" si="114"/>
        <v/>
      </c>
      <c r="HI50" s="277" t="str">
        <f t="shared" si="115"/>
        <v/>
      </c>
      <c r="HJ50" s="277" t="str">
        <f t="shared" si="116"/>
        <v/>
      </c>
      <c r="HK50" s="277" t="str">
        <f>ZahlenInBereich(Tabelle1[[Empfehlung70]:[Werkzeug72]],ROW()-5)</f>
        <v/>
      </c>
      <c r="HL50" s="277" t="str">
        <f t="shared" si="117"/>
        <v/>
      </c>
      <c r="HM50" s="277" t="str">
        <f t="shared" si="118"/>
        <v/>
      </c>
      <c r="HN50" s="277" t="str">
        <f t="shared" si="119"/>
        <v/>
      </c>
      <c r="HO50" s="277" t="str">
        <f>ZahlenInBereich(Tabelle1[[Empfehlung74]:[Werkzeug76]],ROW()-5)</f>
        <v/>
      </c>
    </row>
    <row r="51" spans="2:223" x14ac:dyDescent="0.2">
      <c r="B51" s="135">
        <f>'1.4 Analyse &amp; Synthese'!B52</f>
        <v>0</v>
      </c>
      <c r="C51" s="277" t="str">
        <f>IF(AND('1.4 Analyse &amp; Synthese'!Q52=1,'1.4 Analyse &amp; Synthese'!F52="Empfehlung"),'1.4 Analyse &amp; Synthese'!I52&amp;CHAR(13)&amp;"("&amp;'(Codierung)'!$C$2&amp;" - "&amp;'1.4 Analyse &amp; Synthese'!C52&amp;")","")</f>
        <v/>
      </c>
      <c r="D51" s="222" t="str">
        <f t="array" ref="D51">_xlfn.IFNA(INDEX($C$6:$C$66,MATCH(0,COUNTIF($D$4:D50,$C$6:$C$66),0),1),"")</f>
        <v/>
      </c>
      <c r="E51" s="277" t="str">
        <f>IF(AND('1.4 Analyse &amp; Synthese'!Q52=1,'1.4 Analyse &amp; Synthese'!F52="Methode"),'1.4 Analyse &amp; Synthese'!I52&amp;CHAR(13)&amp;"("&amp;'(Codierung)'!$C$3&amp;" - "&amp;'1.4 Analyse &amp; Synthese'!C52&amp;")","")</f>
        <v/>
      </c>
      <c r="F51" s="387" t="str">
        <f t="array" ref="F51">_xlfn.IFNA(INDEX($E$6:$E$66,MATCH(0,COUNTIF($F$4:F50,$E$6:$E$66),0),1),"")</f>
        <v/>
      </c>
      <c r="G51" s="277" t="str">
        <f>IF(AND('1.4 Analyse &amp; Synthese'!Q52=1,'1.4 Analyse &amp; Synthese'!F52="Werkzeug"),'1.4 Analyse &amp; Synthese'!I52&amp;CHAR(13)&amp;"("&amp;'(Codierung)'!$C$4&amp;" - "&amp;'1.4 Analyse &amp; Synthese'!C52&amp;")","")</f>
        <v/>
      </c>
      <c r="H51" s="387" t="str">
        <f t="array" ref="H51">_xlfn.IFNA(INDEX($G$6:$G$66,MATCH(0,COUNTIF($H$4:H50,$G$6:$G$66),0),1),"")</f>
        <v/>
      </c>
      <c r="J51" s="277" t="str">
        <f>IF(AND('1.4 Analyse &amp; Synthese'!R52=1,'1.4 Analyse &amp; Synthese'!F52="Empfehlung"),'1.4 Analyse &amp; Synthese'!I52&amp;CHAR(13)&amp;"("&amp;'(Codierung)'!$C$2&amp;" - "&amp;'1.4 Analyse &amp; Synthese'!C52&amp;")","")</f>
        <v/>
      </c>
      <c r="K51" s="387" t="str">
        <f t="array" ref="K51">_xlfn.IFNA(INDEX($J$6:$J$66,MATCH(0,COUNTIF($K$4:K50,$J$6:$J$66),0),1),"")</f>
        <v/>
      </c>
      <c r="L51" s="277" t="str">
        <f>IF(AND('1.4 Analyse &amp; Synthese'!R52=1,'1.4 Analyse &amp; Synthese'!F52="Methode"),'1.4 Analyse &amp; Synthese'!I52&amp;CHAR(13)&amp;"("&amp;'(Codierung)'!$C$3&amp;" - "&amp;'1.4 Analyse &amp; Synthese'!C52&amp;")","")</f>
        <v/>
      </c>
      <c r="M51" s="387" t="str">
        <f t="array" ref="M51">_xlfn.IFNA(INDEX($L$6:$L$66,MATCH(0,COUNTIF($M$4:M50,$L$6:$L$66),0),1),"")</f>
        <v/>
      </c>
      <c r="N51" s="277" t="str">
        <f>IF(AND('1.4 Analyse &amp; Synthese'!R52=1,'1.4 Analyse &amp; Synthese'!F52="Werkzeug"),'1.4 Analyse &amp; Synthese'!I52&amp;CHAR(13)&amp;"("&amp;'(Codierung)'!$C$4&amp;" - "&amp;'1.4 Analyse &amp; Synthese'!C52&amp;")","")</f>
        <v/>
      </c>
      <c r="O51" s="387" t="str">
        <f t="array" ref="O51">_xlfn.IFNA(INDEX($N$6:$N$66,MATCH(0,COUNTIF($O$4:O50,$N$6:$N$66),0),1),"")</f>
        <v/>
      </c>
      <c r="Q51" s="277" t="str">
        <f>IF(AND('1.4 Analyse &amp; Synthese'!S52=1,'1.4 Analyse &amp; Synthese'!F52="Empfehlung"),'1.4 Analyse &amp; Synthese'!I52&amp;CHAR(13)&amp;"("&amp;'(Codierung)'!$C$2&amp;" - "&amp;'1.4 Analyse &amp; Synthese'!C52&amp;")","")</f>
        <v/>
      </c>
      <c r="R51" s="387" t="str">
        <f t="array" ref="R51">_xlfn.IFNA(INDEX($Q$6:$Q$66,MATCH(0,COUNTIF($R$4:R50,$Q$6:$Q$66),0),1),"")</f>
        <v/>
      </c>
      <c r="S51" s="277" t="str">
        <f>IF(AND('1.4 Analyse &amp; Synthese'!S52=1,'1.4 Analyse &amp; Synthese'!F52="Methode"),'1.4 Analyse &amp; Synthese'!I52&amp;CHAR(13)&amp;"("&amp;'(Codierung)'!$C$3&amp;" - "&amp;'1.4 Analyse &amp; Synthese'!C52&amp;")","")</f>
        <v/>
      </c>
      <c r="T51" s="387" t="str">
        <f t="array" ref="T51">_xlfn.IFNA(INDEX($S$6:$S$66,MATCH(0,COUNTIF($T$4:T50,$S$6:$S$66),0),1),"")</f>
        <v/>
      </c>
      <c r="U51" s="277" t="str">
        <f>IF(AND('1.4 Analyse &amp; Synthese'!S52=1,'1.4 Analyse &amp; Synthese'!F52="Werkzeug"),'1.4 Analyse &amp; Synthese'!I52&amp;CHAR(13)&amp;"("&amp;'(Codierung)'!$C$4&amp;" - "&amp;'1.4 Analyse &amp; Synthese'!C52&amp;")","")</f>
        <v/>
      </c>
      <c r="V51" s="387" t="str">
        <f t="array" ref="V51">_xlfn.IFNA(INDEX($U$6:$U$66,MATCH(0,COUNTIF($V$4:V50,$U$6:$U$66),0),1),"")</f>
        <v/>
      </c>
      <c r="X51" s="277" t="str">
        <f>IF(AND('1.4 Analyse &amp; Synthese'!T52=1,'1.4 Analyse &amp; Synthese'!F52="Empfehlung"),'1.4 Analyse &amp; Synthese'!I52&amp;CHAR(13)&amp;"("&amp;'(Codierung)'!$C$2&amp;" - "&amp;'1.4 Analyse &amp; Synthese'!C52&amp;")","")</f>
        <v/>
      </c>
      <c r="Y51" s="387" t="str">
        <f t="array" ref="Y51">_xlfn.IFNA(INDEX($X$6:$X$66,MATCH(0,COUNTIF($Y$4:Y50,$X$6:$X$66),0),1),"")</f>
        <v/>
      </c>
      <c r="Z51" s="277" t="str">
        <f>IF(AND('1.4 Analyse &amp; Synthese'!T52=1,'1.4 Analyse &amp; Synthese'!F52="Methode"),'1.4 Analyse &amp; Synthese'!I52&amp;CHAR(13)&amp;"("&amp;'(Codierung)'!$C$3&amp;" - "&amp;'1.4 Analyse &amp; Synthese'!C52&amp;")","")</f>
        <v/>
      </c>
      <c r="AA51" s="387" t="str">
        <f t="array" ref="AA51">_xlfn.IFNA(INDEX($Z$6:$Z$66,MATCH(0,COUNTIF($AA$4:AA50,$Z$6:$Z$66),0),1),"")</f>
        <v/>
      </c>
      <c r="AB51" s="277" t="str">
        <f>IF(AND('1.4 Analyse &amp; Synthese'!T52=1,'1.4 Analyse &amp; Synthese'!F52="Werkzeug"),'1.4 Analyse &amp; Synthese'!I52&amp;CHAR(13)&amp;"("&amp;'(Codierung)'!$C$4&amp;" - "&amp;'1.4 Analyse &amp; Synthese'!C52&amp;")","")</f>
        <v/>
      </c>
      <c r="AC51" s="387" t="str">
        <f t="array" ref="AC51">_xlfn.IFNA(INDEX($AB$6:$AB$66,MATCH(0,COUNTIF($AC$4:AC50,$AB$6:$AB$66),0),1),"")</f>
        <v/>
      </c>
      <c r="AE51" s="277" t="str">
        <f>IF(AND('1.4 Analyse &amp; Synthese'!U52=1,'1.4 Analyse &amp; Synthese'!F52="Empfehlung"),'1.4 Analyse &amp; Synthese'!I52&amp;CHAR(13)&amp;"("&amp;'(Codierung)'!$C$2&amp;" - "&amp;'1.4 Analyse &amp; Synthese'!C52&amp;")","")</f>
        <v/>
      </c>
      <c r="AF51" s="387" t="str">
        <f t="array" ref="AF51">_xlfn.IFNA(INDEX($AE$6:$AE$66,MATCH(0,COUNTIF($AF$4:AF50,$AE$6:$AE$66),0),1),"")</f>
        <v/>
      </c>
      <c r="AG51" s="277" t="str">
        <f>IF(AND('1.4 Analyse &amp; Synthese'!U52=1,'1.4 Analyse &amp; Synthese'!F52="Methode"),'1.4 Analyse &amp; Synthese'!I52&amp;CHAR(13)&amp;"("&amp;'(Codierung)'!$C$3&amp;" - "&amp;'1.4 Analyse &amp; Synthese'!C52&amp;")","")</f>
        <v/>
      </c>
      <c r="AH51" s="387" t="str">
        <f t="array" ref="AH51">_xlfn.IFNA(INDEX($AG$6:$AG$66,MATCH(0,COUNTIF($AH$4:AH50,$AG$6:$AG$66),0),1),"")</f>
        <v/>
      </c>
      <c r="AI51" s="277" t="str">
        <f>IF(AND('1.4 Analyse &amp; Synthese'!U52=1,'1.4 Analyse &amp; Synthese'!F52="Werkzeug"),'1.4 Analyse &amp; Synthese'!I52&amp;CHAR(13)&amp;"("&amp;'(Codierung)'!$C$4&amp;" - "&amp;'1.4 Analyse &amp; Synthese'!C52&amp;")","")</f>
        <v/>
      </c>
      <c r="AJ51" s="387" t="str">
        <f t="array" ref="AJ51">_xlfn.IFNA(INDEX($AI$6:$AI$66,MATCH(0,COUNTIF($AJ$4:AJ50,$AI$6:$AI$66),0),1),"")</f>
        <v/>
      </c>
      <c r="AL51" s="277" t="str">
        <f>IF(AND('1.4 Analyse &amp; Synthese'!V52=1,'1.4 Analyse &amp; Synthese'!F52="Empfehlung"),'1.4 Analyse &amp; Synthese'!I52&amp;CHAR(13)&amp;"("&amp;'(Codierung)'!$C$2&amp;" - "&amp;'1.4 Analyse &amp; Synthese'!C52&amp;")","")</f>
        <v/>
      </c>
      <c r="AM51" s="387" t="str">
        <f t="array" ref="AM51">_xlfn.IFNA(INDEX($AL$6:$AL$66,MATCH(0,COUNTIF($AM$4:AM50,$AL$6:$AL$66),0),1),"")</f>
        <v/>
      </c>
      <c r="AN51" s="277" t="str">
        <f>IF(AND('1.4 Analyse &amp; Synthese'!V52=1,'1.4 Analyse &amp; Synthese'!F52="Methode"),'1.4 Analyse &amp; Synthese'!I52&amp;CHAR(13)&amp;"("&amp;'(Codierung)'!$C$3&amp;" - "&amp;'1.4 Analyse &amp; Synthese'!C52&amp;")","")</f>
        <v/>
      </c>
      <c r="AO51" s="387" t="str">
        <f t="array" ref="AO51">_xlfn.IFNA(INDEX($AN$6:$AN$66,MATCH(0,COUNTIF($AO$4:AO50,$AN$6:$AN$66),0),1),"")</f>
        <v/>
      </c>
      <c r="AP51" s="277" t="str">
        <f>IF(AND('1.4 Analyse &amp; Synthese'!V52=1,'1.4 Analyse &amp; Synthese'!F52="Werkzeug"),'1.4 Analyse &amp; Synthese'!I52&amp;CHAR(13)&amp;"("&amp;'(Codierung)'!$C$4&amp;" - "&amp;'1.4 Analyse &amp; Synthese'!C52&amp;")","")</f>
        <v/>
      </c>
      <c r="AQ51" s="387" t="str">
        <f t="array" ref="AQ51">_xlfn.IFNA(INDEX($AP$6:$AP$66,MATCH(0,COUNTIF($AQ$4:AQ50,$AP$6:$AP$66),0),1),"")</f>
        <v/>
      </c>
      <c r="AS51" s="277" t="str">
        <f>IF(AND('1.4 Analyse &amp; Synthese'!W52=1,'1.4 Analyse &amp; Synthese'!F52="Empfehlung"),'1.4 Analyse &amp; Synthese'!I52&amp;CHAR(13)&amp;"("&amp;'(Codierung)'!$C$2&amp;" - "&amp;'1.4 Analyse &amp; Synthese'!C52&amp;")","")</f>
        <v/>
      </c>
      <c r="AT51" s="387" t="str">
        <f t="array" ref="AT51">_xlfn.IFNA(INDEX($AS$6:$AS$66,MATCH(0,COUNTIF($AT$4:AT50,$AS$6:$AS$66),0),1),"")</f>
        <v/>
      </c>
      <c r="AU51" s="277" t="str">
        <f>IF(AND('1.4 Analyse &amp; Synthese'!W52=1,'1.4 Analyse &amp; Synthese'!F52="Methode"),'1.4 Analyse &amp; Synthese'!I52&amp;CHAR(13)&amp;"("&amp;'(Codierung)'!$C$3&amp;" - "&amp;'1.4 Analyse &amp; Synthese'!C52&amp;")","")</f>
        <v/>
      </c>
      <c r="AV51" s="387" t="str">
        <f t="array" ref="AV51">_xlfn.IFNA(INDEX($AU$6:$AU$66,MATCH(0,COUNTIF($AV$4:AV50,$AU$6:$AU$66),0),1),"")</f>
        <v/>
      </c>
      <c r="AW51" s="277" t="str">
        <f>IF(AND('1.4 Analyse &amp; Synthese'!W52=1,'1.4 Analyse &amp; Synthese'!F52="Werkzeug"),'1.4 Analyse &amp; Synthese'!I52&amp;CHAR(13)&amp;"("&amp;'(Codierung)'!$C$4&amp;" - "&amp;'1.4 Analyse &amp; Synthese'!C52&amp;")","")</f>
        <v/>
      </c>
      <c r="AX51" s="387" t="str">
        <f t="array" ref="AX51">_xlfn.IFNA(INDEX($AW$6:$AW$66,MATCH(0,COUNTIF($AX$4:AX50,$AW$6:$AW$66),0),1),"")</f>
        <v/>
      </c>
      <c r="AZ51" s="277" t="str">
        <f>IF(AND('1.4 Analyse &amp; Synthese'!X52=1,'1.4 Analyse &amp; Synthese'!F52="Empfehlung"),'1.4 Analyse &amp; Synthese'!I52&amp;CHAR(13)&amp;"("&amp;'(Codierung)'!$C$2&amp;" - "&amp;'1.4 Analyse &amp; Synthese'!C52&amp;")","")</f>
        <v/>
      </c>
      <c r="BA51" s="387" t="str">
        <f t="array" ref="BA51">_xlfn.IFNA(INDEX($AZ$6:$AZ$66,MATCH(0,COUNTIF($BA$4:BA50,$AZ$6:$AZ$66),0),1),"")</f>
        <v/>
      </c>
      <c r="BB51" s="277" t="str">
        <f>IF(AND('1.4 Analyse &amp; Synthese'!X52=1,'1.4 Analyse &amp; Synthese'!F52="Methode"),'1.4 Analyse &amp; Synthese'!I52&amp;CHAR(13)&amp;"("&amp;'(Codierung)'!$C$3&amp;" - "&amp;'1.4 Analyse &amp; Synthese'!C52&amp;")","")</f>
        <v/>
      </c>
      <c r="BC51" s="387" t="str">
        <f t="array" ref="BC51">_xlfn.IFNA(INDEX($BB$6:$BB$66,MATCH(0,COUNTIF($BC$4:BC50,$BB$6:$BB$66),0),1),"")</f>
        <v/>
      </c>
      <c r="BD51" s="277" t="str">
        <f>IF(AND('1.4 Analyse &amp; Synthese'!X52=1,'1.4 Analyse &amp; Synthese'!F52="Werkzeug"),'1.4 Analyse &amp; Synthese'!I52&amp;CHAR(13)&amp;"("&amp;'(Codierung)'!$C$4&amp;" - "&amp;'1.4 Analyse &amp; Synthese'!C52&amp;")","")</f>
        <v/>
      </c>
      <c r="BE51" s="387" t="str">
        <f t="array" ref="BE51">_xlfn.IFNA(INDEX($BD$6:$BD$66,MATCH(0,COUNTIF($BE$4:BE50,$BD$6:$BD$66),0),1),"")</f>
        <v/>
      </c>
      <c r="BG51" s="277" t="str">
        <f>IF(AND('1.4 Analyse &amp; Synthese'!Y52=1,'1.4 Analyse &amp; Synthese'!F52="Empfehlung"),'1.4 Analyse &amp; Synthese'!I52&amp;CHAR(13)&amp;"("&amp;'(Codierung)'!$C$2&amp;" - "&amp;'1.4 Analyse &amp; Synthese'!C52&amp;")","")</f>
        <v/>
      </c>
      <c r="BH51" s="387" t="str">
        <f t="array" ref="BH51">_xlfn.IFNA(INDEX($BG$6:$BG$66,MATCH(0,COUNTIF($BH$4:BH50,$BG$6:$BG$66),0),1),"")</f>
        <v/>
      </c>
      <c r="BI51" s="277" t="str">
        <f>IF(AND('1.4 Analyse &amp; Synthese'!Y52=1,'1.4 Analyse &amp; Synthese'!F52="Methode"),'1.4 Analyse &amp; Synthese'!I52&amp;CHAR(13)&amp;"("&amp;'(Codierung)'!$C$3&amp;" - "&amp;'1.4 Analyse &amp; Synthese'!C52&amp;")","")</f>
        <v/>
      </c>
      <c r="BJ51" s="387" t="str">
        <f t="array" ref="BJ51">_xlfn.IFNA(INDEX($BI$6:$BI$66,MATCH(0,COUNTIF($BJ$4:BJ50,$BI$6:$BI$66),0),1),"")</f>
        <v/>
      </c>
      <c r="BK51" s="277" t="str">
        <f>IF(AND('1.4 Analyse &amp; Synthese'!Y52=1,'1.4 Analyse &amp; Synthese'!F52="Werkzeug"),'1.4 Analyse &amp; Synthese'!I52&amp;CHAR(13)&amp;"("&amp;'(Codierung)'!$C$4&amp;" - "&amp;'1.4 Analyse &amp; Synthese'!C52&amp;")","")</f>
        <v/>
      </c>
      <c r="BL51" s="387" t="str">
        <f t="array" ref="BL51">_xlfn.IFNA(INDEX($BK$6:$BK$66,MATCH(0,COUNTIF($BL$4:BL50,$BK$6:$BK$66),0),1),"")</f>
        <v/>
      </c>
      <c r="BN51" s="277" t="str">
        <f>IF(AND('1.4 Analyse &amp; Synthese'!Z52=1,'1.4 Analyse &amp; Synthese'!F52="Empfehlung"),'1.4 Analyse &amp; Synthese'!I52&amp;CHAR(13)&amp;"("&amp;'(Codierung)'!$C$2&amp;" - "&amp;'1.4 Analyse &amp; Synthese'!C52&amp;")","")</f>
        <v/>
      </c>
      <c r="BO51" s="387" t="str">
        <f t="array" ref="BO51">_xlfn.IFNA(INDEX($BN$6:$BN$66,MATCH(0,COUNTIF($BO$4:BO50,$BN$6:$BN$66),0),1),"")</f>
        <v/>
      </c>
      <c r="BP51" s="277" t="str">
        <f>IF(AND('1.4 Analyse &amp; Synthese'!Z52=1,'1.4 Analyse &amp; Synthese'!F52="Methode"),'1.4 Analyse &amp; Synthese'!I52&amp;CHAR(13)&amp;"("&amp;'(Codierung)'!$C$3&amp;" - "&amp;'1.4 Analyse &amp; Synthese'!C52&amp;")","")</f>
        <v/>
      </c>
      <c r="BQ51" s="387" t="str">
        <f t="array" ref="BQ51">_xlfn.IFNA(INDEX($BP$6:$BP$66,MATCH(0,COUNTIF($BQ$4:BQ50,$BP$6:$BP$66),0),1),"")</f>
        <v/>
      </c>
      <c r="BR51" s="277" t="str">
        <f>IF(AND('1.4 Analyse &amp; Synthese'!Z52=1,'1.4 Analyse &amp; Synthese'!F52="Werkzeug"),'1.4 Analyse &amp; Synthese'!I52&amp;CHAR(13)&amp;"("&amp;'(Codierung)'!$C$4&amp;" - "&amp;'1.4 Analyse &amp; Synthese'!C52&amp;")","")</f>
        <v/>
      </c>
      <c r="BS51" s="387" t="str">
        <f t="array" ref="BS51">_xlfn.IFNA(INDEX($BR$6:$BR$66,MATCH(0,COUNTIF($BS$4:BS50,$BR$6:$BR$66),0),1),"")</f>
        <v/>
      </c>
      <c r="BU51" s="277" t="str">
        <f>IF(AND('1.4 Analyse &amp; Synthese'!AA52=1,'1.4 Analyse &amp; Synthese'!F52="Empfehlung"),'1.4 Analyse &amp; Synthese'!I52&amp;CHAR(13)&amp;"("&amp;'(Codierung)'!$C$2&amp;" - "&amp;'1.4 Analyse &amp; Synthese'!C52&amp;")","")</f>
        <v/>
      </c>
      <c r="BV51" s="387" t="str">
        <f t="array" ref="BV51">_xlfn.IFNA(INDEX($BU$6:$BU$66,MATCH(0,COUNTIF($BV$4:BV50,$BU$6:$BU$66),0),1),"")</f>
        <v/>
      </c>
      <c r="BW51" s="277" t="str">
        <f>IF(AND('1.4 Analyse &amp; Synthese'!AA52=1,'1.4 Analyse &amp; Synthese'!F52="Methode"),'1.4 Analyse &amp; Synthese'!I52&amp;CHAR(13)&amp;"("&amp;'(Codierung)'!$C$3&amp;" - "&amp;'1.4 Analyse &amp; Synthese'!C52&amp;")","")</f>
        <v/>
      </c>
      <c r="BX51" s="387" t="str">
        <f t="array" ref="BX51">_xlfn.IFNA(INDEX($BW$6:$BW$66,MATCH(0,COUNTIF($BX$4:BX50,$BW$6:$BW$66),0),1),"")</f>
        <v/>
      </c>
      <c r="BY51" s="277" t="str">
        <f>IF(AND('1.4 Analyse &amp; Synthese'!AA52=1,'1.4 Analyse &amp; Synthese'!F52="Werkzeug"),'1.4 Analyse &amp; Synthese'!I52&amp;CHAR(13)&amp;"("&amp;'(Codierung)'!$C$4&amp;" - "&amp;'1.4 Analyse &amp; Synthese'!C52&amp;")","")</f>
        <v/>
      </c>
      <c r="BZ51" s="387" t="str">
        <f t="array" ref="BZ51">_xlfn.IFNA(INDEX($BY$6:$BY$66,MATCH(0,COUNTIF($BZ$4:BZ50,$BY$6:$BY$66),0),1),"")</f>
        <v/>
      </c>
      <c r="CB51" s="277" t="str">
        <f>IF(AND('1.4 Analyse &amp; Synthese'!AB52=1,'1.4 Analyse &amp; Synthese'!F52="Empfehlung"),'1.4 Analyse &amp; Synthese'!I52&amp;CHAR(13)&amp;"("&amp;'(Codierung)'!$C$2&amp;" - "&amp;'1.4 Analyse &amp; Synthese'!C52&amp;")","")</f>
        <v/>
      </c>
      <c r="CC51" s="387" t="str">
        <f t="array" ref="CC51">_xlfn.IFNA(INDEX($CB$6:$CB$66,MATCH(0,COUNTIF($CC$4:CC50,$CB$6:$CB$66),0),1),"")</f>
        <v/>
      </c>
      <c r="CD51" s="277" t="str">
        <f>IF(AND('1.4 Analyse &amp; Synthese'!AB52=1,'1.4 Analyse &amp; Synthese'!F52="Methode"),'1.4 Analyse &amp; Synthese'!I52&amp;CHAR(13)&amp;"("&amp;'(Codierung)'!$C$3&amp;" - "&amp;'1.4 Analyse &amp; Synthese'!C52&amp;")","")</f>
        <v/>
      </c>
      <c r="CE51" s="387" t="str">
        <f t="array" ref="CE51">_xlfn.IFNA(INDEX($CD$6:$CD$66,MATCH(0,COUNTIF($CE$4:CE50,$CD$6:$CD$66),0),1),"")</f>
        <v/>
      </c>
      <c r="CF51" s="277" t="str">
        <f>IF(AND('1.4 Analyse &amp; Synthese'!AB52=1,'1.4 Analyse &amp; Synthese'!F52="Werkzeug"),'1.4 Analyse &amp; Synthese'!I52&amp;CHAR(13)&amp;"("&amp;'(Codierung)'!$C$4&amp;" - "&amp;'1.4 Analyse &amp; Synthese'!C52&amp;")","")</f>
        <v/>
      </c>
      <c r="CG51" s="387" t="str">
        <f t="array" ref="CG51">_xlfn.IFNA(INDEX($CF$6:$CF$66,MATCH(0,COUNTIF($CG$4:CG50,$CF$6:$CF$66),0),1),"")</f>
        <v/>
      </c>
      <c r="CI51" s="277" t="str">
        <f>IF(AND('1.4 Analyse &amp; Synthese'!AC52=1,'1.4 Analyse &amp; Synthese'!F52="Empfehlung"),'1.4 Analyse &amp; Synthese'!I52&amp;CHAR(13)&amp;"("&amp;'(Codierung)'!$C$2&amp;" - "&amp;'1.4 Analyse &amp; Synthese'!C52&amp;")","")</f>
        <v/>
      </c>
      <c r="CJ51" s="387" t="str">
        <f t="array" ref="CJ51">_xlfn.IFNA(INDEX($CI$6:$CI$66,MATCH(0,COUNTIF($CJ$4:CJ50,$CI$6:$CI$66),0),1),"")</f>
        <v/>
      </c>
      <c r="CK51" s="277" t="str">
        <f>IF(AND('1.4 Analyse &amp; Synthese'!AC52=1,'1.4 Analyse &amp; Synthese'!F52="Methode"),'1.4 Analyse &amp; Synthese'!I52&amp;CHAR(13)&amp;"("&amp;'(Codierung)'!$C$3&amp;" - "&amp;'1.4 Analyse &amp; Synthese'!C52&amp;")","")</f>
        <v/>
      </c>
      <c r="CL51" s="387" t="str">
        <f t="array" ref="CL51">_xlfn.IFNA(INDEX($CK$6:$CK$66,MATCH(0,COUNTIF($CL$4:CL50,$CK$6:$CK$66),0),1),"")</f>
        <v/>
      </c>
      <c r="CM51" s="277" t="str">
        <f>IF(AND('1.4 Analyse &amp; Synthese'!AC52=1,'1.4 Analyse &amp; Synthese'!F52="Werkzeug"),'1.4 Analyse &amp; Synthese'!I52&amp;CHAR(13)&amp;"("&amp;'(Codierung)'!$C$4&amp;" - "&amp;'1.4 Analyse &amp; Synthese'!C52&amp;")","")</f>
        <v/>
      </c>
      <c r="CN51" s="387" t="str">
        <f t="array" ref="CN51">_xlfn.IFNA(INDEX($CM$6:$CM$66,MATCH(0,COUNTIF($CN$4:CN50,$CM$6:$CM$66),0),1),"")</f>
        <v/>
      </c>
      <c r="CP51" s="277" t="str">
        <f>IF(AND('1.4 Analyse &amp; Synthese'!AD52=1,'1.4 Analyse &amp; Synthese'!F52="Empfehlung"),'1.4 Analyse &amp; Synthese'!I52&amp;CHAR(13)&amp;"("&amp;'(Codierung)'!$C$2&amp;" - "&amp;'1.4 Analyse &amp; Synthese'!C52&amp;")","")</f>
        <v/>
      </c>
      <c r="CQ51" s="387" t="str">
        <f t="array" ref="CQ51">_xlfn.IFNA(INDEX($CP$6:$CP$66,MATCH(0,COUNTIF($CQ$4:CQ50,$CP$6:$CP$66),0),1),"")</f>
        <v/>
      </c>
      <c r="CR51" s="277" t="str">
        <f>IF(AND('1.4 Analyse &amp; Synthese'!AD52=1,'1.4 Analyse &amp; Synthese'!F52="Methode"),'1.4 Analyse &amp; Synthese'!I52&amp;CHAR(13)&amp;"("&amp;'(Codierung)'!$C$3&amp;" - "&amp;'1.4 Analyse &amp; Synthese'!C52&amp;")","")</f>
        <v/>
      </c>
      <c r="CS51" s="387" t="str">
        <f t="array" ref="CS51">_xlfn.IFNA(INDEX($CR$6:$CR$66,MATCH(0,COUNTIF($CS$4:CS50,$CR$6:$CR$66),0),1),"")</f>
        <v/>
      </c>
      <c r="CT51" s="277" t="str">
        <f>IF(AND('1.4 Analyse &amp; Synthese'!AD52=1,'1.4 Analyse &amp; Synthese'!F52="Werkzeug"),'1.4 Analyse &amp; Synthese'!I52&amp;CHAR(13)&amp;"("&amp;'(Codierung)'!$C$4&amp;" - "&amp;'1.4 Analyse &amp; Synthese'!C52&amp;")","")</f>
        <v/>
      </c>
      <c r="CU51" s="387" t="str">
        <f t="array" ref="CU51">_xlfn.IFNA(INDEX($CT$6:$CT$66,MATCH(0,COUNTIF($CU$4:CU50,$CT$6:$CT$66),0),1),"")</f>
        <v/>
      </c>
      <c r="CW51" s="277" t="str">
        <f>IF(AND('1.4 Analyse &amp; Synthese'!AE52=1,'1.4 Analyse &amp; Synthese'!F52="Empfehlung"),'1.4 Analyse &amp; Synthese'!I52&amp;CHAR(13)&amp;"("&amp;'(Codierung)'!$C$2&amp;" - "&amp;'1.4 Analyse &amp; Synthese'!C52&amp;")","")</f>
        <v/>
      </c>
      <c r="CX51" s="387" t="str">
        <f t="array" ref="CX51">_xlfn.IFNA(INDEX($CW$6:$CW$66,MATCH(0,COUNTIF($CX$4:CX50,$CW$6:$CW$66),0),1),"")</f>
        <v/>
      </c>
      <c r="CY51" s="277" t="str">
        <f>IF(AND('1.4 Analyse &amp; Synthese'!AE52=1,'1.4 Analyse &amp; Synthese'!F52="Methode"),'1.4 Analyse &amp; Synthese'!I52&amp;CHAR(13)&amp;"("&amp;'(Codierung)'!$C$3&amp;" - "&amp;'1.4 Analyse &amp; Synthese'!C52&amp;")","")</f>
        <v/>
      </c>
      <c r="CZ51" s="387" t="str">
        <f t="array" ref="CZ51">_xlfn.IFNA(INDEX($CY$6:$CY$66,MATCH(0,COUNTIF($CZ$4:CZ50,$CY$6:$CY$66),0),1),"")</f>
        <v/>
      </c>
      <c r="DA51" s="277" t="str">
        <f>IF(AND('1.4 Analyse &amp; Synthese'!AE52=1,'1.4 Analyse &amp; Synthese'!F52="Werkzeug"),'1.4 Analyse &amp; Synthese'!I52&amp;CHAR(13)&amp;"("&amp;'(Codierung)'!$C$4&amp;" - "&amp;'1.4 Analyse &amp; Synthese'!C52&amp;")","")</f>
        <v/>
      </c>
      <c r="DB51" s="387" t="str">
        <f t="array" ref="DB51">_xlfn.IFNA(INDEX($DA$6:$DA$66,MATCH(0,COUNTIF($DB$4:DB50,$DA$6:$DA$66),0),1),"")</f>
        <v/>
      </c>
      <c r="DD51" s="277" t="str">
        <f>IF(AND('1.4 Analyse &amp; Synthese'!AF52=1,'1.4 Analyse &amp; Synthese'!F52="Empfehlung"),'1.4 Analyse &amp; Synthese'!I52&amp;CHAR(13)&amp;"("&amp;'(Codierung)'!$C$2&amp;" - "&amp;'1.4 Analyse &amp; Synthese'!C52&amp;")","")</f>
        <v/>
      </c>
      <c r="DE51" s="387" t="str">
        <f t="array" ref="DE51">_xlfn.IFNA(INDEX($DD$6:$DD$66,MATCH(0,COUNTIF($DE$4:DE50,$DD$6:$DD$66),0),1),"")</f>
        <v/>
      </c>
      <c r="DF51" s="277" t="str">
        <f>IF(AND('1.4 Analyse &amp; Synthese'!AF52=1,'1.4 Analyse &amp; Synthese'!F52="Methode"),'1.4 Analyse &amp; Synthese'!I52&amp;CHAR(13)&amp;"("&amp;'(Codierung)'!$C$3&amp;" - "&amp;'1.4 Analyse &amp; Synthese'!C52&amp;")","")</f>
        <v/>
      </c>
      <c r="DG51" s="387" t="str">
        <f t="array" ref="DG51">_xlfn.IFNA(INDEX($DF$6:$DF$66,MATCH(0,COUNTIF($DG$4:DG50,$DF$6:$DF$66),0),1),"")</f>
        <v/>
      </c>
      <c r="DH51" s="277" t="str">
        <f>IF(AND('1.4 Analyse &amp; Synthese'!AF52=1,'1.4 Analyse &amp; Synthese'!F52="Werkzeug"),'1.4 Analyse &amp; Synthese'!I52&amp;CHAR(13)&amp;"("&amp;'(Codierung)'!$C$4&amp;" - "&amp;'1.4 Analyse &amp; Synthese'!C52&amp;")","")</f>
        <v/>
      </c>
      <c r="DI51" s="387" t="str">
        <f t="array" ref="DI51">_xlfn.IFNA(INDEX($DH$6:$DH$66,MATCH(0,COUNTIF($DI$4:DI50,$DH$6:$DH$66),0),1),"")</f>
        <v/>
      </c>
      <c r="DK51" s="277" t="str">
        <f>IF(AND('1.4 Analyse &amp; Synthese'!AG52=1,'1.4 Analyse &amp; Synthese'!F52="Empfehlung"),'1.4 Analyse &amp; Synthese'!I52&amp;CHAR(13)&amp;"("&amp;'(Codierung)'!$C$2&amp;" - "&amp;'1.4 Analyse &amp; Synthese'!C52&amp;")","")</f>
        <v/>
      </c>
      <c r="DL51" s="387" t="str">
        <f t="array" ref="DL51">_xlfn.IFNA(INDEX($DK$6:$DK$66,MATCH(0,COUNTIF($DL$4:DL50,$DK$6:$DK$66),0),1),"")</f>
        <v/>
      </c>
      <c r="DM51" s="277" t="str">
        <f>IF(AND('1.4 Analyse &amp; Synthese'!AG52=1,'1.4 Analyse &amp; Synthese'!F52="Methode"),'1.4 Analyse &amp; Synthese'!I52&amp;CHAR(13)&amp;"("&amp;'(Codierung)'!$C$3&amp;" - "&amp;'1.4 Analyse &amp; Synthese'!C52&amp;")","")</f>
        <v/>
      </c>
      <c r="DN51" s="387" t="str">
        <f t="array" ref="DN51">_xlfn.IFNA(INDEX($DM$6:$DM$66,MATCH(0,COUNTIF($DN$4:DN50,$DM$6:$DM$66),0),1),"")</f>
        <v/>
      </c>
      <c r="DO51" s="277" t="str">
        <f>IF(AND('1.4 Analyse &amp; Synthese'!AG52=1,'1.4 Analyse &amp; Synthese'!F52="Werkzeug"),'1.4 Analyse &amp; Synthese'!I52&amp;CHAR(13)&amp;"("&amp;'(Codierung)'!$C$4&amp;" - "&amp;'1.4 Analyse &amp; Synthese'!C52&amp;")","")</f>
        <v/>
      </c>
      <c r="DP51" s="387" t="str">
        <f t="array" ref="DP51">_xlfn.IFNA(INDEX($DO$6:$DO$66,MATCH(0,COUNTIF($DP$4:DP50,$DO$6:$DO$66),0),1),"")</f>
        <v/>
      </c>
      <c r="DR51" s="277" t="str">
        <f>IF(AND('1.4 Analyse &amp; Synthese'!AH52=1,'1.4 Analyse &amp; Synthese'!F52="Empfehlung"),'1.4 Analyse &amp; Synthese'!I52&amp;CHAR(13)&amp;"("&amp;'(Codierung)'!$C$2&amp;" - "&amp;'1.4 Analyse &amp; Synthese'!C52&amp;")","")</f>
        <v/>
      </c>
      <c r="DS51" s="387" t="str">
        <f t="array" ref="DS51">_xlfn.IFNA(INDEX($DR$6:$DR$66,MATCH(0,COUNTIF($DS$4:DS50,$DR$6:$DR$66),0),1),"")</f>
        <v/>
      </c>
      <c r="DT51" s="277" t="str">
        <f>IF(AND('1.4 Analyse &amp; Synthese'!AH52=1,'1.4 Analyse &amp; Synthese'!F52="Methode"),'1.4 Analyse &amp; Synthese'!I52&amp;CHAR(13)&amp;"("&amp;'(Codierung)'!$C$3&amp;" - "&amp;'1.4 Analyse &amp; Synthese'!C52&amp;")","")</f>
        <v/>
      </c>
      <c r="DU51" s="387" t="str">
        <f t="array" ref="DU51">_xlfn.IFNA(INDEX($DT$6:$DT$66,MATCH(0,COUNTIF($DU$4:DU50,$DT$6:$DT$66),0),1),"")</f>
        <v/>
      </c>
      <c r="DV51" s="277" t="str">
        <f>IF(AND('1.4 Analyse &amp; Synthese'!AH52=1,'1.4 Analyse &amp; Synthese'!F52="Werkzeug"),'1.4 Analyse &amp; Synthese'!I52&amp;CHAR(13)&amp;"("&amp;'(Codierung)'!$C$4&amp;" - "&amp;'1.4 Analyse &amp; Synthese'!C52&amp;")","")</f>
        <v/>
      </c>
      <c r="DW51" s="387" t="str">
        <f t="array" ref="DW51">_xlfn.IFNA(INDEX($DV$6:$DV$66,MATCH(0,COUNTIF($DW$4:DW50,$DV$6:$DV$66),0),1),"")</f>
        <v/>
      </c>
      <c r="DY51" s="277" t="str">
        <f>IF(AND('1.4 Analyse &amp; Synthese'!AI52=1,'1.4 Analyse &amp; Synthese'!F52="Empfehlung"),'1.4 Analyse &amp; Synthese'!I52&amp;CHAR(13)&amp;"("&amp;'(Codierung)'!$C$2&amp;" - "&amp;'1.4 Analyse &amp; Synthese'!C52&amp;")","")</f>
        <v/>
      </c>
      <c r="DZ51" s="387" t="str">
        <f t="array" ref="DZ51">_xlfn.IFNA(INDEX($DY$6:$DY$66,MATCH(0,COUNTIF($DZ$4:DZ50,$DY$6:$DY$66),0),1),"")</f>
        <v/>
      </c>
      <c r="EA51" s="277" t="str">
        <f>IF(AND('1.4 Analyse &amp; Synthese'!AI52=1,'1.4 Analyse &amp; Synthese'!F52="Methode"),'1.4 Analyse &amp; Synthese'!I52&amp;CHAR(13)&amp;"("&amp;'(Codierung)'!$C$3&amp;" - "&amp;'1.4 Analyse &amp; Synthese'!C52&amp;")","")</f>
        <v/>
      </c>
      <c r="EB51" s="387" t="str">
        <f t="array" ref="EB51">_xlfn.IFNA(INDEX($EA$6:$EA$66,MATCH(0,COUNTIF($EB$4:EB50,$EA$6:$EA$66),0),1),"")</f>
        <v/>
      </c>
      <c r="EC51" s="277" t="str">
        <f>IF(AND('1.4 Analyse &amp; Synthese'!AI52=1,'1.4 Analyse &amp; Synthese'!F52="Werkzeug"),'1.4 Analyse &amp; Synthese'!I52&amp;CHAR(13)&amp;"("&amp;'(Codierung)'!$C$4&amp;" - "&amp;'1.4 Analyse &amp; Synthese'!C52&amp;")","")</f>
        <v/>
      </c>
      <c r="ED51" s="277" t="str">
        <f t="array" ref="ED51">_xlfn.IFNA(INDEX($EC$6:$EC$66,MATCH(0,COUNTIF($ED$4:ED50,$EC$6:$EC$66),0),1),"")</f>
        <v/>
      </c>
      <c r="EF51" s="277" t="str">
        <f>IF(AND('1.4 Analyse &amp; Synthese'!AJ52=1,'1.4 Analyse &amp; Synthese'!F52="Empfehlung"),'1.4 Analyse &amp; Synthese'!I52&amp;CHAR(13)&amp;"("&amp;'(Codierung)'!$C$2&amp;" - "&amp;'1.4 Analyse &amp; Synthese'!C52&amp;")","")</f>
        <v/>
      </c>
      <c r="EG51" s="277" t="str">
        <f t="array" ref="EG51">_xlfn.IFNA(INDEX($EF$6:$EF$66,MATCH(0,COUNTIF($EG$4:EG50,$EF$6:$EF$66),0),1),"")</f>
        <v/>
      </c>
      <c r="EH51" s="277" t="str">
        <f>IF(AND('1.4 Analyse &amp; Synthese'!AJ52=1,'1.4 Analyse &amp; Synthese'!F52="Methode"),'1.4 Analyse &amp; Synthese'!I52&amp;CHAR(13)&amp;"("&amp;'(Codierung)'!$C$3&amp;" - "&amp;'1.4 Analyse &amp; Synthese'!C52&amp;")","")</f>
        <v/>
      </c>
      <c r="EI51" s="387" t="str">
        <f t="array" ref="EI51">_xlfn.IFNA(INDEX($EH$6:$EH$66,MATCH(0,COUNTIF($EI$4:EI50,$EH$6:$EH$66),0),1),"")</f>
        <v/>
      </c>
      <c r="EJ51" s="277" t="str">
        <f>IF(AND('1.4 Analyse &amp; Synthese'!AJ52=1,'1.4 Analyse &amp; Synthese'!F52="Werkzeug"),'1.4 Analyse &amp; Synthese'!I52&amp;CHAR(13)&amp;"("&amp;'(Codierung)'!$C$4&amp;" - "&amp;'1.4 Analyse &amp; Synthese'!C52&amp;")","")</f>
        <v/>
      </c>
      <c r="EK51" s="387" t="str">
        <f t="array" ref="EK51">_xlfn.IFNA(INDEX($EJ$6:$EJ$66,MATCH(0,COUNTIF($EK$4:EK50,$EJ$6:$EJ$66),0),1),"")</f>
        <v/>
      </c>
      <c r="EN51" s="222" t="str">
        <f t="shared" si="60"/>
        <v/>
      </c>
      <c r="EO51" s="277" t="str">
        <f t="shared" si="61"/>
        <v/>
      </c>
      <c r="EP51" s="277" t="str">
        <f t="shared" si="62"/>
        <v/>
      </c>
      <c r="EQ51" s="277" t="str">
        <f>ZahlenInBereich(Tabelle1[[Empfehlung]:[Werkzeug]],ROW()-5)</f>
        <v/>
      </c>
      <c r="ER51" s="277" t="str">
        <f t="shared" si="63"/>
        <v/>
      </c>
      <c r="ES51" s="277" t="str">
        <f t="shared" si="64"/>
        <v/>
      </c>
      <c r="ET51" s="277" t="str">
        <f t="shared" si="65"/>
        <v/>
      </c>
      <c r="EU51" s="277" t="str">
        <f>ZahlenInBereich(Tabelle1[[Empfehlung2]:[Werkzeug4]],ROW()-5)</f>
        <v/>
      </c>
      <c r="EV51" s="277" t="str">
        <f t="shared" si="66"/>
        <v/>
      </c>
      <c r="EW51" s="277" t="str">
        <f t="shared" si="67"/>
        <v/>
      </c>
      <c r="EX51" s="277" t="str">
        <f t="shared" si="68"/>
        <v/>
      </c>
      <c r="EY51" s="277" t="str">
        <f>ZahlenInBereich(Tabelle1[[Empfehlung6]:[Werkzeug8]],ROW()-5)</f>
        <v/>
      </c>
      <c r="EZ51" s="277" t="str">
        <f t="shared" si="69"/>
        <v/>
      </c>
      <c r="FA51" s="277" t="str">
        <f t="shared" si="70"/>
        <v/>
      </c>
      <c r="FB51" s="277" t="str">
        <f t="shared" si="71"/>
        <v/>
      </c>
      <c r="FC51" s="277" t="str">
        <f>ZahlenInBereich(Tabelle1[[Empfehlung10]:[Werkzeug12]],ROW()-5)</f>
        <v/>
      </c>
      <c r="FD51" s="277" t="str">
        <f t="shared" si="72"/>
        <v/>
      </c>
      <c r="FE51" s="277" t="str">
        <f t="shared" si="73"/>
        <v/>
      </c>
      <c r="FF51" s="277" t="str">
        <f t="shared" si="74"/>
        <v/>
      </c>
      <c r="FG51" s="277" t="str">
        <f>ZahlenInBereich(Tabelle1[[Empfehlung14]:[Werkzeug16]],ROW()-5)</f>
        <v/>
      </c>
      <c r="FH51" s="277" t="str">
        <f t="shared" si="75"/>
        <v/>
      </c>
      <c r="FI51" s="277" t="str">
        <f t="shared" si="76"/>
        <v/>
      </c>
      <c r="FJ51" s="277" t="str">
        <f t="shared" si="77"/>
        <v/>
      </c>
      <c r="FK51" s="277" t="str">
        <f>ZahlenInBereich(Tabelle1[[Empfehlung18]:[Werkzeug20]],ROW()-5)</f>
        <v/>
      </c>
      <c r="FL51" s="277" t="str">
        <f t="shared" si="78"/>
        <v/>
      </c>
      <c r="FM51" s="277" t="str">
        <f t="shared" si="79"/>
        <v/>
      </c>
      <c r="FN51" s="277" t="str">
        <f t="shared" si="80"/>
        <v/>
      </c>
      <c r="FO51" s="277" t="str">
        <f>ZahlenInBereich(Tabelle1[[Empfehlung22]:[Werkzeug24]],ROW()-5)</f>
        <v/>
      </c>
      <c r="FP51" s="277" t="str">
        <f t="shared" si="81"/>
        <v/>
      </c>
      <c r="FQ51" s="277" t="str">
        <f t="shared" si="82"/>
        <v/>
      </c>
      <c r="FR51" s="277" t="str">
        <f t="shared" si="83"/>
        <v/>
      </c>
      <c r="FS51" s="277" t="str">
        <f>ZahlenInBereich(Tabelle1[[Empfehlung26]:[Werkzeug28]],ROW()-5)</f>
        <v/>
      </c>
      <c r="FT51" s="277" t="str">
        <f t="shared" si="84"/>
        <v/>
      </c>
      <c r="FU51" s="277" t="str">
        <f t="shared" si="85"/>
        <v/>
      </c>
      <c r="FV51" s="277" t="str">
        <f t="shared" si="86"/>
        <v/>
      </c>
      <c r="FW51" s="277" t="str">
        <f>ZahlenInBereich(Tabelle1[[Empfehlung30]:[Werkzeug32]],ROW()-5)</f>
        <v/>
      </c>
      <c r="FX51" s="277" t="str">
        <f t="shared" si="87"/>
        <v/>
      </c>
      <c r="FY51" s="277" t="str">
        <f t="shared" si="88"/>
        <v/>
      </c>
      <c r="FZ51" s="277" t="str">
        <f t="shared" si="89"/>
        <v/>
      </c>
      <c r="GA51" s="277" t="str">
        <f>ZahlenInBereich(Tabelle1[[Empfehlung34]:[Werkzeug36]],ROW()-5)</f>
        <v/>
      </c>
      <c r="GB51" s="277" t="str">
        <f t="shared" si="90"/>
        <v/>
      </c>
      <c r="GC51" s="277" t="str">
        <f t="shared" si="91"/>
        <v/>
      </c>
      <c r="GD51" s="277" t="str">
        <f t="shared" si="92"/>
        <v/>
      </c>
      <c r="GE51" s="277" t="str">
        <f>ZahlenInBereich(Tabelle1[[Empfehlung38]:[Werkzeug40]],ROW()-5)</f>
        <v/>
      </c>
      <c r="GF51" s="277" t="str">
        <f t="shared" si="93"/>
        <v/>
      </c>
      <c r="GG51" s="277" t="str">
        <f t="shared" si="94"/>
        <v/>
      </c>
      <c r="GH51" s="277" t="str">
        <f t="shared" si="95"/>
        <v/>
      </c>
      <c r="GI51" s="277" t="str">
        <f>ZahlenInBereich(Tabelle1[[Empfehlung42]:[Werkzeug44]],ROW()-5)</f>
        <v/>
      </c>
      <c r="GJ51" s="277" t="str">
        <f t="shared" si="96"/>
        <v/>
      </c>
      <c r="GK51" s="277" t="str">
        <f t="shared" si="97"/>
        <v/>
      </c>
      <c r="GL51" s="277" t="str">
        <f t="shared" si="98"/>
        <v/>
      </c>
      <c r="GM51" s="277" t="str">
        <f>ZahlenInBereich(Tabelle1[[Empfehlung46]:[Werkzeug48]],ROW()-5)</f>
        <v/>
      </c>
      <c r="GN51" s="277" t="str">
        <f t="shared" si="99"/>
        <v/>
      </c>
      <c r="GO51" s="277" t="str">
        <f t="shared" si="100"/>
        <v/>
      </c>
      <c r="GP51" s="277" t="str">
        <f t="shared" si="101"/>
        <v/>
      </c>
      <c r="GQ51" s="277" t="str">
        <f>ZahlenInBereich(Tabelle1[[Empfehlung50]:[Werkzeug52]],ROW()-5)</f>
        <v/>
      </c>
      <c r="GR51" s="277" t="str">
        <f t="shared" si="102"/>
        <v/>
      </c>
      <c r="GS51" s="277" t="str">
        <f t="shared" si="103"/>
        <v/>
      </c>
      <c r="GT51" s="277" t="str">
        <f t="shared" si="104"/>
        <v/>
      </c>
      <c r="GU51" s="277" t="str">
        <f>ZahlenInBereich(Tabelle1[[Empfehlung54]:[Werkzeug56]],ROW()-5)</f>
        <v/>
      </c>
      <c r="GV51" s="277" t="str">
        <f t="shared" si="105"/>
        <v/>
      </c>
      <c r="GW51" s="277" t="str">
        <f t="shared" si="106"/>
        <v/>
      </c>
      <c r="GX51" s="277" t="str">
        <f t="shared" si="107"/>
        <v/>
      </c>
      <c r="GY51" s="277" t="str">
        <f>ZahlenInBereich(Tabelle1[[Empfehlung58]:[Werkzeug60]],ROW()-5)</f>
        <v/>
      </c>
      <c r="GZ51" s="277" t="str">
        <f t="shared" si="108"/>
        <v/>
      </c>
      <c r="HA51" s="277" t="str">
        <f t="shared" si="109"/>
        <v/>
      </c>
      <c r="HB51" s="277" t="str">
        <f t="shared" si="110"/>
        <v/>
      </c>
      <c r="HC51" s="277" t="str">
        <f>ZahlenInBereich(Tabelle1[[Empfehlung62]:[Werkzeug64]],ROW()-5)</f>
        <v/>
      </c>
      <c r="HD51" s="277" t="str">
        <f t="shared" si="111"/>
        <v/>
      </c>
      <c r="HE51" s="277" t="str">
        <f t="shared" si="112"/>
        <v/>
      </c>
      <c r="HF51" s="277" t="str">
        <f t="shared" si="113"/>
        <v/>
      </c>
      <c r="HG51" s="277" t="str">
        <f>ZahlenInBereich(Tabelle1[[Empfehlung66]:[Werkzeug68]],ROW()-5)</f>
        <v/>
      </c>
      <c r="HH51" s="277" t="str">
        <f t="shared" si="114"/>
        <v/>
      </c>
      <c r="HI51" s="277" t="str">
        <f t="shared" si="115"/>
        <v/>
      </c>
      <c r="HJ51" s="277" t="str">
        <f t="shared" si="116"/>
        <v/>
      </c>
      <c r="HK51" s="277" t="str">
        <f>ZahlenInBereich(Tabelle1[[Empfehlung70]:[Werkzeug72]],ROW()-5)</f>
        <v/>
      </c>
      <c r="HL51" s="277" t="str">
        <f t="shared" si="117"/>
        <v/>
      </c>
      <c r="HM51" s="277" t="str">
        <f t="shared" si="118"/>
        <v/>
      </c>
      <c r="HN51" s="277" t="str">
        <f t="shared" si="119"/>
        <v/>
      </c>
      <c r="HO51" s="277" t="str">
        <f>ZahlenInBereich(Tabelle1[[Empfehlung74]:[Werkzeug76]],ROW()-5)</f>
        <v/>
      </c>
    </row>
    <row r="52" spans="2:223" x14ac:dyDescent="0.2">
      <c r="B52" s="135">
        <f>'1.4 Analyse &amp; Synthese'!B53</f>
        <v>0</v>
      </c>
      <c r="C52" s="277" t="str">
        <f>IF(AND('1.4 Analyse &amp; Synthese'!Q53=1,'1.4 Analyse &amp; Synthese'!F53="Empfehlung"),'1.4 Analyse &amp; Synthese'!I53&amp;CHAR(13)&amp;"("&amp;'(Codierung)'!$C$2&amp;" - "&amp;'1.4 Analyse &amp; Synthese'!C53&amp;")","")</f>
        <v/>
      </c>
      <c r="D52" s="222" t="str">
        <f t="array" ref="D52">_xlfn.IFNA(INDEX($C$6:$C$66,MATCH(0,COUNTIF($D$4:D51,$C$6:$C$66),0),1),"")</f>
        <v/>
      </c>
      <c r="E52" s="277" t="str">
        <f>IF(AND('1.4 Analyse &amp; Synthese'!Q53=1,'1.4 Analyse &amp; Synthese'!F53="Methode"),'1.4 Analyse &amp; Synthese'!I53&amp;CHAR(13)&amp;"("&amp;'(Codierung)'!$C$3&amp;" - "&amp;'1.4 Analyse &amp; Synthese'!C53&amp;")","")</f>
        <v/>
      </c>
      <c r="F52" s="387" t="str">
        <f t="array" ref="F52">_xlfn.IFNA(INDEX($E$6:$E$66,MATCH(0,COUNTIF($F$4:F51,$E$6:$E$66),0),1),"")</f>
        <v/>
      </c>
      <c r="G52" s="277" t="str">
        <f>IF(AND('1.4 Analyse &amp; Synthese'!Q53=1,'1.4 Analyse &amp; Synthese'!F53="Werkzeug"),'1.4 Analyse &amp; Synthese'!I53&amp;CHAR(13)&amp;"("&amp;'(Codierung)'!$C$4&amp;" - "&amp;'1.4 Analyse &amp; Synthese'!C53&amp;")","")</f>
        <v/>
      </c>
      <c r="H52" s="387" t="str">
        <f t="array" ref="H52">_xlfn.IFNA(INDEX($G$6:$G$66,MATCH(0,COUNTIF($H$4:H51,$G$6:$G$66),0),1),"")</f>
        <v/>
      </c>
      <c r="J52" s="277" t="str">
        <f>IF(AND('1.4 Analyse &amp; Synthese'!R53=1,'1.4 Analyse &amp; Synthese'!F53="Empfehlung"),'1.4 Analyse &amp; Synthese'!I53&amp;CHAR(13)&amp;"("&amp;'(Codierung)'!$C$2&amp;" - "&amp;'1.4 Analyse &amp; Synthese'!C53&amp;")","")</f>
        <v/>
      </c>
      <c r="K52" s="387" t="str">
        <f t="array" ref="K52">_xlfn.IFNA(INDEX($J$6:$J$66,MATCH(0,COUNTIF($K$4:K51,$J$6:$J$66),0),1),"")</f>
        <v/>
      </c>
      <c r="L52" s="277" t="str">
        <f>IF(AND('1.4 Analyse &amp; Synthese'!R53=1,'1.4 Analyse &amp; Synthese'!F53="Methode"),'1.4 Analyse &amp; Synthese'!I53&amp;CHAR(13)&amp;"("&amp;'(Codierung)'!$C$3&amp;" - "&amp;'1.4 Analyse &amp; Synthese'!C53&amp;")","")</f>
        <v/>
      </c>
      <c r="M52" s="387" t="str">
        <f t="array" ref="M52">_xlfn.IFNA(INDEX($L$6:$L$66,MATCH(0,COUNTIF($M$4:M51,$L$6:$L$66),0),1),"")</f>
        <v/>
      </c>
      <c r="N52" s="277" t="str">
        <f>IF(AND('1.4 Analyse &amp; Synthese'!R53=1,'1.4 Analyse &amp; Synthese'!F53="Werkzeug"),'1.4 Analyse &amp; Synthese'!I53&amp;CHAR(13)&amp;"("&amp;'(Codierung)'!$C$4&amp;" - "&amp;'1.4 Analyse &amp; Synthese'!C53&amp;")","")</f>
        <v/>
      </c>
      <c r="O52" s="387" t="str">
        <f t="array" ref="O52">_xlfn.IFNA(INDEX($N$6:$N$66,MATCH(0,COUNTIF($O$4:O51,$N$6:$N$66),0),1),"")</f>
        <v/>
      </c>
      <c r="Q52" s="277" t="str">
        <f>IF(AND('1.4 Analyse &amp; Synthese'!S53=1,'1.4 Analyse &amp; Synthese'!F53="Empfehlung"),'1.4 Analyse &amp; Synthese'!I53&amp;CHAR(13)&amp;"("&amp;'(Codierung)'!$C$2&amp;" - "&amp;'1.4 Analyse &amp; Synthese'!C53&amp;")","")</f>
        <v/>
      </c>
      <c r="R52" s="387" t="str">
        <f t="array" ref="R52">_xlfn.IFNA(INDEX($Q$6:$Q$66,MATCH(0,COUNTIF($R$4:R51,$Q$6:$Q$66),0),1),"")</f>
        <v/>
      </c>
      <c r="S52" s="277" t="str">
        <f>IF(AND('1.4 Analyse &amp; Synthese'!S53=1,'1.4 Analyse &amp; Synthese'!F53="Methode"),'1.4 Analyse &amp; Synthese'!I53&amp;CHAR(13)&amp;"("&amp;'(Codierung)'!$C$3&amp;" - "&amp;'1.4 Analyse &amp; Synthese'!C53&amp;")","")</f>
        <v/>
      </c>
      <c r="T52" s="387" t="str">
        <f t="array" ref="T52">_xlfn.IFNA(INDEX($S$6:$S$66,MATCH(0,COUNTIF($T$4:T51,$S$6:$S$66),0),1),"")</f>
        <v/>
      </c>
      <c r="U52" s="277" t="str">
        <f>IF(AND('1.4 Analyse &amp; Synthese'!S53=1,'1.4 Analyse &amp; Synthese'!F53="Werkzeug"),'1.4 Analyse &amp; Synthese'!I53&amp;CHAR(13)&amp;"("&amp;'(Codierung)'!$C$4&amp;" - "&amp;'1.4 Analyse &amp; Synthese'!C53&amp;")","")</f>
        <v/>
      </c>
      <c r="V52" s="387" t="str">
        <f t="array" ref="V52">_xlfn.IFNA(INDEX($U$6:$U$66,MATCH(0,COUNTIF($V$4:V51,$U$6:$U$66),0),1),"")</f>
        <v/>
      </c>
      <c r="X52" s="277" t="str">
        <f>IF(AND('1.4 Analyse &amp; Synthese'!T53=1,'1.4 Analyse &amp; Synthese'!F53="Empfehlung"),'1.4 Analyse &amp; Synthese'!I53&amp;CHAR(13)&amp;"("&amp;'(Codierung)'!$C$2&amp;" - "&amp;'1.4 Analyse &amp; Synthese'!C53&amp;")","")</f>
        <v/>
      </c>
      <c r="Y52" s="387" t="str">
        <f t="array" ref="Y52">_xlfn.IFNA(INDEX($X$6:$X$66,MATCH(0,COUNTIF($Y$4:Y51,$X$6:$X$66),0),1),"")</f>
        <v/>
      </c>
      <c r="Z52" s="277" t="str">
        <f>IF(AND('1.4 Analyse &amp; Synthese'!T53=1,'1.4 Analyse &amp; Synthese'!F53="Methode"),'1.4 Analyse &amp; Synthese'!I53&amp;CHAR(13)&amp;"("&amp;'(Codierung)'!$C$3&amp;" - "&amp;'1.4 Analyse &amp; Synthese'!C53&amp;")","")</f>
        <v/>
      </c>
      <c r="AA52" s="387" t="str">
        <f t="array" ref="AA52">_xlfn.IFNA(INDEX($Z$6:$Z$66,MATCH(0,COUNTIF($AA$4:AA51,$Z$6:$Z$66),0),1),"")</f>
        <v/>
      </c>
      <c r="AB52" s="277" t="str">
        <f>IF(AND('1.4 Analyse &amp; Synthese'!T53=1,'1.4 Analyse &amp; Synthese'!F53="Werkzeug"),'1.4 Analyse &amp; Synthese'!I53&amp;CHAR(13)&amp;"("&amp;'(Codierung)'!$C$4&amp;" - "&amp;'1.4 Analyse &amp; Synthese'!C53&amp;")","")</f>
        <v/>
      </c>
      <c r="AC52" s="387" t="str">
        <f t="array" ref="AC52">_xlfn.IFNA(INDEX($AB$6:$AB$66,MATCH(0,COUNTIF($AC$4:AC51,$AB$6:$AB$66),0),1),"")</f>
        <v/>
      </c>
      <c r="AE52" s="277" t="str">
        <f>IF(AND('1.4 Analyse &amp; Synthese'!U53=1,'1.4 Analyse &amp; Synthese'!F53="Empfehlung"),'1.4 Analyse &amp; Synthese'!I53&amp;CHAR(13)&amp;"("&amp;'(Codierung)'!$C$2&amp;" - "&amp;'1.4 Analyse &amp; Synthese'!C53&amp;")","")</f>
        <v/>
      </c>
      <c r="AF52" s="387" t="str">
        <f t="array" ref="AF52">_xlfn.IFNA(INDEX($AE$6:$AE$66,MATCH(0,COUNTIF($AF$4:AF51,$AE$6:$AE$66),0),1),"")</f>
        <v/>
      </c>
      <c r="AG52" s="277" t="str">
        <f>IF(AND('1.4 Analyse &amp; Synthese'!U53=1,'1.4 Analyse &amp; Synthese'!F53="Methode"),'1.4 Analyse &amp; Synthese'!I53&amp;CHAR(13)&amp;"("&amp;'(Codierung)'!$C$3&amp;" - "&amp;'1.4 Analyse &amp; Synthese'!C53&amp;")","")</f>
        <v/>
      </c>
      <c r="AH52" s="387" t="str">
        <f t="array" ref="AH52">_xlfn.IFNA(INDEX($AG$6:$AG$66,MATCH(0,COUNTIF($AH$4:AH51,$AG$6:$AG$66),0),1),"")</f>
        <v/>
      </c>
      <c r="AI52" s="277" t="str">
        <f>IF(AND('1.4 Analyse &amp; Synthese'!U53=1,'1.4 Analyse &amp; Synthese'!F53="Werkzeug"),'1.4 Analyse &amp; Synthese'!I53&amp;CHAR(13)&amp;"("&amp;'(Codierung)'!$C$4&amp;" - "&amp;'1.4 Analyse &amp; Synthese'!C53&amp;")","")</f>
        <v/>
      </c>
      <c r="AJ52" s="387" t="str">
        <f t="array" ref="AJ52">_xlfn.IFNA(INDEX($AI$6:$AI$66,MATCH(0,COUNTIF($AJ$4:AJ51,$AI$6:$AI$66),0),1),"")</f>
        <v/>
      </c>
      <c r="AL52" s="277" t="str">
        <f>IF(AND('1.4 Analyse &amp; Synthese'!V53=1,'1.4 Analyse &amp; Synthese'!F53="Empfehlung"),'1.4 Analyse &amp; Synthese'!I53&amp;CHAR(13)&amp;"("&amp;'(Codierung)'!$C$2&amp;" - "&amp;'1.4 Analyse &amp; Synthese'!C53&amp;")","")</f>
        <v/>
      </c>
      <c r="AM52" s="387" t="str">
        <f t="array" ref="AM52">_xlfn.IFNA(INDEX($AL$6:$AL$66,MATCH(0,COUNTIF($AM$4:AM51,$AL$6:$AL$66),0),1),"")</f>
        <v/>
      </c>
      <c r="AN52" s="277" t="str">
        <f>IF(AND('1.4 Analyse &amp; Synthese'!V53=1,'1.4 Analyse &amp; Synthese'!F53="Methode"),'1.4 Analyse &amp; Synthese'!I53&amp;CHAR(13)&amp;"("&amp;'(Codierung)'!$C$3&amp;" - "&amp;'1.4 Analyse &amp; Synthese'!C53&amp;")","")</f>
        <v/>
      </c>
      <c r="AO52" s="387" t="str">
        <f t="array" ref="AO52">_xlfn.IFNA(INDEX($AN$6:$AN$66,MATCH(0,COUNTIF($AO$4:AO51,$AN$6:$AN$66),0),1),"")</f>
        <v/>
      </c>
      <c r="AP52" s="277" t="str">
        <f>IF(AND('1.4 Analyse &amp; Synthese'!V53=1,'1.4 Analyse &amp; Synthese'!F53="Werkzeug"),'1.4 Analyse &amp; Synthese'!I53&amp;CHAR(13)&amp;"("&amp;'(Codierung)'!$C$4&amp;" - "&amp;'1.4 Analyse &amp; Synthese'!C53&amp;")","")</f>
        <v/>
      </c>
      <c r="AQ52" s="387" t="str">
        <f t="array" ref="AQ52">_xlfn.IFNA(INDEX($AP$6:$AP$66,MATCH(0,COUNTIF($AQ$4:AQ51,$AP$6:$AP$66),0),1),"")</f>
        <v/>
      </c>
      <c r="AS52" s="277" t="str">
        <f>IF(AND('1.4 Analyse &amp; Synthese'!W53=1,'1.4 Analyse &amp; Synthese'!F53="Empfehlung"),'1.4 Analyse &amp; Synthese'!I53&amp;CHAR(13)&amp;"("&amp;'(Codierung)'!$C$2&amp;" - "&amp;'1.4 Analyse &amp; Synthese'!C53&amp;")","")</f>
        <v/>
      </c>
      <c r="AT52" s="387" t="str">
        <f t="array" ref="AT52">_xlfn.IFNA(INDEX($AS$6:$AS$66,MATCH(0,COUNTIF($AT$4:AT51,$AS$6:$AS$66),0),1),"")</f>
        <v/>
      </c>
      <c r="AU52" s="277" t="str">
        <f>IF(AND('1.4 Analyse &amp; Synthese'!W53=1,'1.4 Analyse &amp; Synthese'!F53="Methode"),'1.4 Analyse &amp; Synthese'!I53&amp;CHAR(13)&amp;"("&amp;'(Codierung)'!$C$3&amp;" - "&amp;'1.4 Analyse &amp; Synthese'!C53&amp;")","")</f>
        <v/>
      </c>
      <c r="AV52" s="387" t="str">
        <f t="array" ref="AV52">_xlfn.IFNA(INDEX($AU$6:$AU$66,MATCH(0,COUNTIF($AV$4:AV51,$AU$6:$AU$66),0),1),"")</f>
        <v/>
      </c>
      <c r="AW52" s="277" t="str">
        <f>IF(AND('1.4 Analyse &amp; Synthese'!W53=1,'1.4 Analyse &amp; Synthese'!F53="Werkzeug"),'1.4 Analyse &amp; Synthese'!I53&amp;CHAR(13)&amp;"("&amp;'(Codierung)'!$C$4&amp;" - "&amp;'1.4 Analyse &amp; Synthese'!C53&amp;")","")</f>
        <v/>
      </c>
      <c r="AX52" s="387" t="str">
        <f t="array" ref="AX52">_xlfn.IFNA(INDEX($AW$6:$AW$66,MATCH(0,COUNTIF($AX$4:AX51,$AW$6:$AW$66),0),1),"")</f>
        <v/>
      </c>
      <c r="AZ52" s="277" t="str">
        <f>IF(AND('1.4 Analyse &amp; Synthese'!X53=1,'1.4 Analyse &amp; Synthese'!F53="Empfehlung"),'1.4 Analyse &amp; Synthese'!I53&amp;CHAR(13)&amp;"("&amp;'(Codierung)'!$C$2&amp;" - "&amp;'1.4 Analyse &amp; Synthese'!C53&amp;")","")</f>
        <v/>
      </c>
      <c r="BA52" s="387" t="str">
        <f t="array" ref="BA52">_xlfn.IFNA(INDEX($AZ$6:$AZ$66,MATCH(0,COUNTIF($BA$4:BA51,$AZ$6:$AZ$66),0),1),"")</f>
        <v/>
      </c>
      <c r="BB52" s="277" t="str">
        <f>IF(AND('1.4 Analyse &amp; Synthese'!X53=1,'1.4 Analyse &amp; Synthese'!F53="Methode"),'1.4 Analyse &amp; Synthese'!I53&amp;CHAR(13)&amp;"("&amp;'(Codierung)'!$C$3&amp;" - "&amp;'1.4 Analyse &amp; Synthese'!C53&amp;")","")</f>
        <v/>
      </c>
      <c r="BC52" s="387" t="str">
        <f t="array" ref="BC52">_xlfn.IFNA(INDEX($BB$6:$BB$66,MATCH(0,COUNTIF($BC$4:BC51,$BB$6:$BB$66),0),1),"")</f>
        <v/>
      </c>
      <c r="BD52" s="277" t="str">
        <f>IF(AND('1.4 Analyse &amp; Synthese'!X53=1,'1.4 Analyse &amp; Synthese'!F53="Werkzeug"),'1.4 Analyse &amp; Synthese'!I53&amp;CHAR(13)&amp;"("&amp;'(Codierung)'!$C$4&amp;" - "&amp;'1.4 Analyse &amp; Synthese'!C53&amp;")","")</f>
        <v/>
      </c>
      <c r="BE52" s="387" t="str">
        <f t="array" ref="BE52">_xlfn.IFNA(INDEX($BD$6:$BD$66,MATCH(0,COUNTIF($BE$4:BE51,$BD$6:$BD$66),0),1),"")</f>
        <v/>
      </c>
      <c r="BG52" s="277" t="str">
        <f>IF(AND('1.4 Analyse &amp; Synthese'!Y53=1,'1.4 Analyse &amp; Synthese'!F53="Empfehlung"),'1.4 Analyse &amp; Synthese'!I53&amp;CHAR(13)&amp;"("&amp;'(Codierung)'!$C$2&amp;" - "&amp;'1.4 Analyse &amp; Synthese'!C53&amp;")","")</f>
        <v/>
      </c>
      <c r="BH52" s="387" t="str">
        <f t="array" ref="BH52">_xlfn.IFNA(INDEX($BG$6:$BG$66,MATCH(0,COUNTIF($BH$4:BH51,$BG$6:$BG$66),0),1),"")</f>
        <v/>
      </c>
      <c r="BI52" s="277" t="str">
        <f>IF(AND('1.4 Analyse &amp; Synthese'!Y53=1,'1.4 Analyse &amp; Synthese'!F53="Methode"),'1.4 Analyse &amp; Synthese'!I53&amp;CHAR(13)&amp;"("&amp;'(Codierung)'!$C$3&amp;" - "&amp;'1.4 Analyse &amp; Synthese'!C53&amp;")","")</f>
        <v/>
      </c>
      <c r="BJ52" s="387" t="str">
        <f t="array" ref="BJ52">_xlfn.IFNA(INDEX($BI$6:$BI$66,MATCH(0,COUNTIF($BJ$4:BJ51,$BI$6:$BI$66),0),1),"")</f>
        <v/>
      </c>
      <c r="BK52" s="277" t="str">
        <f>IF(AND('1.4 Analyse &amp; Synthese'!Y53=1,'1.4 Analyse &amp; Synthese'!F53="Werkzeug"),'1.4 Analyse &amp; Synthese'!I53&amp;CHAR(13)&amp;"("&amp;'(Codierung)'!$C$4&amp;" - "&amp;'1.4 Analyse &amp; Synthese'!C53&amp;")","")</f>
        <v/>
      </c>
      <c r="BL52" s="387" t="str">
        <f t="array" ref="BL52">_xlfn.IFNA(INDEX($BK$6:$BK$66,MATCH(0,COUNTIF($BL$4:BL51,$BK$6:$BK$66),0),1),"")</f>
        <v/>
      </c>
      <c r="BN52" s="277" t="str">
        <f>IF(AND('1.4 Analyse &amp; Synthese'!Z53=1,'1.4 Analyse &amp; Synthese'!F53="Empfehlung"),'1.4 Analyse &amp; Synthese'!I53&amp;CHAR(13)&amp;"("&amp;'(Codierung)'!$C$2&amp;" - "&amp;'1.4 Analyse &amp; Synthese'!C53&amp;")","")</f>
        <v/>
      </c>
      <c r="BO52" s="387" t="str">
        <f t="array" ref="BO52">_xlfn.IFNA(INDEX($BN$6:$BN$66,MATCH(0,COUNTIF($BO$4:BO51,$BN$6:$BN$66),0),1),"")</f>
        <v/>
      </c>
      <c r="BP52" s="277" t="str">
        <f>IF(AND('1.4 Analyse &amp; Synthese'!Z53=1,'1.4 Analyse &amp; Synthese'!F53="Methode"),'1.4 Analyse &amp; Synthese'!I53&amp;CHAR(13)&amp;"("&amp;'(Codierung)'!$C$3&amp;" - "&amp;'1.4 Analyse &amp; Synthese'!C53&amp;")","")</f>
        <v/>
      </c>
      <c r="BQ52" s="387" t="str">
        <f t="array" ref="BQ52">_xlfn.IFNA(INDEX($BP$6:$BP$66,MATCH(0,COUNTIF($BQ$4:BQ51,$BP$6:$BP$66),0),1),"")</f>
        <v/>
      </c>
      <c r="BR52" s="277" t="str">
        <f>IF(AND('1.4 Analyse &amp; Synthese'!Z53=1,'1.4 Analyse &amp; Synthese'!F53="Werkzeug"),'1.4 Analyse &amp; Synthese'!I53&amp;CHAR(13)&amp;"("&amp;'(Codierung)'!$C$4&amp;" - "&amp;'1.4 Analyse &amp; Synthese'!C53&amp;")","")</f>
        <v/>
      </c>
      <c r="BS52" s="387" t="str">
        <f t="array" ref="BS52">_xlfn.IFNA(INDEX($BR$6:$BR$66,MATCH(0,COUNTIF($BS$4:BS51,$BR$6:$BR$66),0),1),"")</f>
        <v/>
      </c>
      <c r="BU52" s="277" t="str">
        <f>IF(AND('1.4 Analyse &amp; Synthese'!AA53=1,'1.4 Analyse &amp; Synthese'!F53="Empfehlung"),'1.4 Analyse &amp; Synthese'!I53&amp;CHAR(13)&amp;"("&amp;'(Codierung)'!$C$2&amp;" - "&amp;'1.4 Analyse &amp; Synthese'!C53&amp;")","")</f>
        <v/>
      </c>
      <c r="BV52" s="387" t="str">
        <f t="array" ref="BV52">_xlfn.IFNA(INDEX($BU$6:$BU$66,MATCH(0,COUNTIF($BV$4:BV51,$BU$6:$BU$66),0),1),"")</f>
        <v/>
      </c>
      <c r="BW52" s="277" t="str">
        <f>IF(AND('1.4 Analyse &amp; Synthese'!AA53=1,'1.4 Analyse &amp; Synthese'!F53="Methode"),'1.4 Analyse &amp; Synthese'!I53&amp;CHAR(13)&amp;"("&amp;'(Codierung)'!$C$3&amp;" - "&amp;'1.4 Analyse &amp; Synthese'!C53&amp;")","")</f>
        <v/>
      </c>
      <c r="BX52" s="387" t="str">
        <f t="array" ref="BX52">_xlfn.IFNA(INDEX($BW$6:$BW$66,MATCH(0,COUNTIF($BX$4:BX51,$BW$6:$BW$66),0),1),"")</f>
        <v/>
      </c>
      <c r="BY52" s="277" t="str">
        <f>IF(AND('1.4 Analyse &amp; Synthese'!AA53=1,'1.4 Analyse &amp; Synthese'!F53="Werkzeug"),'1.4 Analyse &amp; Synthese'!I53&amp;CHAR(13)&amp;"("&amp;'(Codierung)'!$C$4&amp;" - "&amp;'1.4 Analyse &amp; Synthese'!C53&amp;")","")</f>
        <v/>
      </c>
      <c r="BZ52" s="387" t="str">
        <f t="array" ref="BZ52">_xlfn.IFNA(INDEX($BY$6:$BY$66,MATCH(0,COUNTIF($BZ$4:BZ51,$BY$6:$BY$66),0),1),"")</f>
        <v/>
      </c>
      <c r="CB52" s="277" t="str">
        <f>IF(AND('1.4 Analyse &amp; Synthese'!AB53=1,'1.4 Analyse &amp; Synthese'!F53="Empfehlung"),'1.4 Analyse &amp; Synthese'!I53&amp;CHAR(13)&amp;"("&amp;'(Codierung)'!$C$2&amp;" - "&amp;'1.4 Analyse &amp; Synthese'!C53&amp;")","")</f>
        <v/>
      </c>
      <c r="CC52" s="387" t="str">
        <f t="array" ref="CC52">_xlfn.IFNA(INDEX($CB$6:$CB$66,MATCH(0,COUNTIF($CC$4:CC51,$CB$6:$CB$66),0),1),"")</f>
        <v/>
      </c>
      <c r="CD52" s="277" t="str">
        <f>IF(AND('1.4 Analyse &amp; Synthese'!AB53=1,'1.4 Analyse &amp; Synthese'!F53="Methode"),'1.4 Analyse &amp; Synthese'!I53&amp;CHAR(13)&amp;"("&amp;'(Codierung)'!$C$3&amp;" - "&amp;'1.4 Analyse &amp; Synthese'!C53&amp;")","")</f>
        <v/>
      </c>
      <c r="CE52" s="387" t="str">
        <f t="array" ref="CE52">_xlfn.IFNA(INDEX($CD$6:$CD$66,MATCH(0,COUNTIF($CE$4:CE51,$CD$6:$CD$66),0),1),"")</f>
        <v/>
      </c>
      <c r="CF52" s="277" t="str">
        <f>IF(AND('1.4 Analyse &amp; Synthese'!AB53=1,'1.4 Analyse &amp; Synthese'!F53="Werkzeug"),'1.4 Analyse &amp; Synthese'!I53&amp;CHAR(13)&amp;"("&amp;'(Codierung)'!$C$4&amp;" - "&amp;'1.4 Analyse &amp; Synthese'!C53&amp;")","")</f>
        <v/>
      </c>
      <c r="CG52" s="387" t="str">
        <f t="array" ref="CG52">_xlfn.IFNA(INDEX($CF$6:$CF$66,MATCH(0,COUNTIF($CG$4:CG51,$CF$6:$CF$66),0),1),"")</f>
        <v/>
      </c>
      <c r="CI52" s="277" t="str">
        <f>IF(AND('1.4 Analyse &amp; Synthese'!AC53=1,'1.4 Analyse &amp; Synthese'!F53="Empfehlung"),'1.4 Analyse &amp; Synthese'!I53&amp;CHAR(13)&amp;"("&amp;'(Codierung)'!$C$2&amp;" - "&amp;'1.4 Analyse &amp; Synthese'!C53&amp;")","")</f>
        <v/>
      </c>
      <c r="CJ52" s="387" t="str">
        <f t="array" ref="CJ52">_xlfn.IFNA(INDEX($CI$6:$CI$66,MATCH(0,COUNTIF($CJ$4:CJ51,$CI$6:$CI$66),0),1),"")</f>
        <v/>
      </c>
      <c r="CK52" s="277" t="str">
        <f>IF(AND('1.4 Analyse &amp; Synthese'!AC53=1,'1.4 Analyse &amp; Synthese'!F53="Methode"),'1.4 Analyse &amp; Synthese'!I53&amp;CHAR(13)&amp;"("&amp;'(Codierung)'!$C$3&amp;" - "&amp;'1.4 Analyse &amp; Synthese'!C53&amp;")","")</f>
        <v/>
      </c>
      <c r="CL52" s="387" t="str">
        <f t="array" ref="CL52">_xlfn.IFNA(INDEX($CK$6:$CK$66,MATCH(0,COUNTIF($CL$4:CL51,$CK$6:$CK$66),0),1),"")</f>
        <v/>
      </c>
      <c r="CM52" s="277" t="str">
        <f>IF(AND('1.4 Analyse &amp; Synthese'!AC53=1,'1.4 Analyse &amp; Synthese'!F53="Werkzeug"),'1.4 Analyse &amp; Synthese'!I53&amp;CHAR(13)&amp;"("&amp;'(Codierung)'!$C$4&amp;" - "&amp;'1.4 Analyse &amp; Synthese'!C53&amp;")","")</f>
        <v/>
      </c>
      <c r="CN52" s="387" t="str">
        <f t="array" ref="CN52">_xlfn.IFNA(INDEX($CM$6:$CM$66,MATCH(0,COUNTIF($CN$4:CN51,$CM$6:$CM$66),0),1),"")</f>
        <v/>
      </c>
      <c r="CP52" s="277" t="str">
        <f>IF(AND('1.4 Analyse &amp; Synthese'!AD53=1,'1.4 Analyse &amp; Synthese'!F53="Empfehlung"),'1.4 Analyse &amp; Synthese'!I53&amp;CHAR(13)&amp;"("&amp;'(Codierung)'!$C$2&amp;" - "&amp;'1.4 Analyse &amp; Synthese'!C53&amp;")","")</f>
        <v/>
      </c>
      <c r="CQ52" s="387" t="str">
        <f t="array" ref="CQ52">_xlfn.IFNA(INDEX($CP$6:$CP$66,MATCH(0,COUNTIF($CQ$4:CQ51,$CP$6:$CP$66),0),1),"")</f>
        <v/>
      </c>
      <c r="CR52" s="277" t="str">
        <f>IF(AND('1.4 Analyse &amp; Synthese'!AD53=1,'1.4 Analyse &amp; Synthese'!F53="Methode"),'1.4 Analyse &amp; Synthese'!I53&amp;CHAR(13)&amp;"("&amp;'(Codierung)'!$C$3&amp;" - "&amp;'1.4 Analyse &amp; Synthese'!C53&amp;")","")</f>
        <v/>
      </c>
      <c r="CS52" s="387" t="str">
        <f t="array" ref="CS52">_xlfn.IFNA(INDEX($CR$6:$CR$66,MATCH(0,COUNTIF($CS$4:CS51,$CR$6:$CR$66),0),1),"")</f>
        <v/>
      </c>
      <c r="CT52" s="277" t="str">
        <f>IF(AND('1.4 Analyse &amp; Synthese'!AD53=1,'1.4 Analyse &amp; Synthese'!F53="Werkzeug"),'1.4 Analyse &amp; Synthese'!I53&amp;CHAR(13)&amp;"("&amp;'(Codierung)'!$C$4&amp;" - "&amp;'1.4 Analyse &amp; Synthese'!C53&amp;")","")</f>
        <v/>
      </c>
      <c r="CU52" s="387" t="str">
        <f t="array" ref="CU52">_xlfn.IFNA(INDEX($CT$6:$CT$66,MATCH(0,COUNTIF($CU$4:CU51,$CT$6:$CT$66),0),1),"")</f>
        <v/>
      </c>
      <c r="CW52" s="277" t="str">
        <f>IF(AND('1.4 Analyse &amp; Synthese'!AE53=1,'1.4 Analyse &amp; Synthese'!F53="Empfehlung"),'1.4 Analyse &amp; Synthese'!I53&amp;CHAR(13)&amp;"("&amp;'(Codierung)'!$C$2&amp;" - "&amp;'1.4 Analyse &amp; Synthese'!C53&amp;")","")</f>
        <v/>
      </c>
      <c r="CX52" s="387" t="str">
        <f t="array" ref="CX52">_xlfn.IFNA(INDEX($CW$6:$CW$66,MATCH(0,COUNTIF($CX$4:CX51,$CW$6:$CW$66),0),1),"")</f>
        <v/>
      </c>
      <c r="CY52" s="277" t="str">
        <f>IF(AND('1.4 Analyse &amp; Synthese'!AE53=1,'1.4 Analyse &amp; Synthese'!F53="Methode"),'1.4 Analyse &amp; Synthese'!I53&amp;CHAR(13)&amp;"("&amp;'(Codierung)'!$C$3&amp;" - "&amp;'1.4 Analyse &amp; Synthese'!C53&amp;")","")</f>
        <v/>
      </c>
      <c r="CZ52" s="387" t="str">
        <f t="array" ref="CZ52">_xlfn.IFNA(INDEX($CY$6:$CY$66,MATCH(0,COUNTIF($CZ$4:CZ51,$CY$6:$CY$66),0),1),"")</f>
        <v/>
      </c>
      <c r="DA52" s="277" t="str">
        <f>IF(AND('1.4 Analyse &amp; Synthese'!AE53=1,'1.4 Analyse &amp; Synthese'!F53="Werkzeug"),'1.4 Analyse &amp; Synthese'!I53&amp;CHAR(13)&amp;"("&amp;'(Codierung)'!$C$4&amp;" - "&amp;'1.4 Analyse &amp; Synthese'!C53&amp;")","")</f>
        <v/>
      </c>
      <c r="DB52" s="387" t="str">
        <f t="array" ref="DB52">_xlfn.IFNA(INDEX($DA$6:$DA$66,MATCH(0,COUNTIF($DB$4:DB51,$DA$6:$DA$66),0),1),"")</f>
        <v/>
      </c>
      <c r="DD52" s="277" t="str">
        <f>IF(AND('1.4 Analyse &amp; Synthese'!AF53=1,'1.4 Analyse &amp; Synthese'!F53="Empfehlung"),'1.4 Analyse &amp; Synthese'!I53&amp;CHAR(13)&amp;"("&amp;'(Codierung)'!$C$2&amp;" - "&amp;'1.4 Analyse &amp; Synthese'!C53&amp;")","")</f>
        <v/>
      </c>
      <c r="DE52" s="387" t="str">
        <f t="array" ref="DE52">_xlfn.IFNA(INDEX($DD$6:$DD$66,MATCH(0,COUNTIF($DE$4:DE51,$DD$6:$DD$66),0),1),"")</f>
        <v/>
      </c>
      <c r="DF52" s="277" t="str">
        <f>IF(AND('1.4 Analyse &amp; Synthese'!AF53=1,'1.4 Analyse &amp; Synthese'!F53="Methode"),'1.4 Analyse &amp; Synthese'!I53&amp;CHAR(13)&amp;"("&amp;'(Codierung)'!$C$3&amp;" - "&amp;'1.4 Analyse &amp; Synthese'!C53&amp;")","")</f>
        <v/>
      </c>
      <c r="DG52" s="387" t="str">
        <f t="array" ref="DG52">_xlfn.IFNA(INDEX($DF$6:$DF$66,MATCH(0,COUNTIF($DG$4:DG51,$DF$6:$DF$66),0),1),"")</f>
        <v/>
      </c>
      <c r="DH52" s="277" t="str">
        <f>IF(AND('1.4 Analyse &amp; Synthese'!AF53=1,'1.4 Analyse &amp; Synthese'!F53="Werkzeug"),'1.4 Analyse &amp; Synthese'!I53&amp;CHAR(13)&amp;"("&amp;'(Codierung)'!$C$4&amp;" - "&amp;'1.4 Analyse &amp; Synthese'!C53&amp;")","")</f>
        <v/>
      </c>
      <c r="DI52" s="387" t="str">
        <f t="array" ref="DI52">_xlfn.IFNA(INDEX($DH$6:$DH$66,MATCH(0,COUNTIF($DI$4:DI51,$DH$6:$DH$66),0),1),"")</f>
        <v/>
      </c>
      <c r="DK52" s="277" t="str">
        <f>IF(AND('1.4 Analyse &amp; Synthese'!AG53=1,'1.4 Analyse &amp; Synthese'!F53="Empfehlung"),'1.4 Analyse &amp; Synthese'!I53&amp;CHAR(13)&amp;"("&amp;'(Codierung)'!$C$2&amp;" - "&amp;'1.4 Analyse &amp; Synthese'!C53&amp;")","")</f>
        <v/>
      </c>
      <c r="DL52" s="387" t="str">
        <f t="array" ref="DL52">_xlfn.IFNA(INDEX($DK$6:$DK$66,MATCH(0,COUNTIF($DL$4:DL51,$DK$6:$DK$66),0),1),"")</f>
        <v/>
      </c>
      <c r="DM52" s="277" t="str">
        <f>IF(AND('1.4 Analyse &amp; Synthese'!AG53=1,'1.4 Analyse &amp; Synthese'!F53="Methode"),'1.4 Analyse &amp; Synthese'!I53&amp;CHAR(13)&amp;"("&amp;'(Codierung)'!$C$3&amp;" - "&amp;'1.4 Analyse &amp; Synthese'!C53&amp;")","")</f>
        <v/>
      </c>
      <c r="DN52" s="387" t="str">
        <f t="array" ref="DN52">_xlfn.IFNA(INDEX($DM$6:$DM$66,MATCH(0,COUNTIF($DN$4:DN51,$DM$6:$DM$66),0),1),"")</f>
        <v/>
      </c>
      <c r="DO52" s="277" t="str">
        <f>IF(AND('1.4 Analyse &amp; Synthese'!AG53=1,'1.4 Analyse &amp; Synthese'!F53="Werkzeug"),'1.4 Analyse &amp; Synthese'!I53&amp;CHAR(13)&amp;"("&amp;'(Codierung)'!$C$4&amp;" - "&amp;'1.4 Analyse &amp; Synthese'!C53&amp;")","")</f>
        <v/>
      </c>
      <c r="DP52" s="387" t="str">
        <f t="array" ref="DP52">_xlfn.IFNA(INDEX($DO$6:$DO$66,MATCH(0,COUNTIF($DP$4:DP51,$DO$6:$DO$66),0),1),"")</f>
        <v/>
      </c>
      <c r="DR52" s="277" t="str">
        <f>IF(AND('1.4 Analyse &amp; Synthese'!AH53=1,'1.4 Analyse &amp; Synthese'!F53="Empfehlung"),'1.4 Analyse &amp; Synthese'!I53&amp;CHAR(13)&amp;"("&amp;'(Codierung)'!$C$2&amp;" - "&amp;'1.4 Analyse &amp; Synthese'!C53&amp;")","")</f>
        <v/>
      </c>
      <c r="DS52" s="387" t="str">
        <f t="array" ref="DS52">_xlfn.IFNA(INDEX($DR$6:$DR$66,MATCH(0,COUNTIF($DS$4:DS51,$DR$6:$DR$66),0),1),"")</f>
        <v/>
      </c>
      <c r="DT52" s="277" t="str">
        <f>IF(AND('1.4 Analyse &amp; Synthese'!AH53=1,'1.4 Analyse &amp; Synthese'!F53="Methode"),'1.4 Analyse &amp; Synthese'!I53&amp;CHAR(13)&amp;"("&amp;'(Codierung)'!$C$3&amp;" - "&amp;'1.4 Analyse &amp; Synthese'!C53&amp;")","")</f>
        <v/>
      </c>
      <c r="DU52" s="387" t="str">
        <f t="array" ref="DU52">_xlfn.IFNA(INDEX($DT$6:$DT$66,MATCH(0,COUNTIF($DU$4:DU51,$DT$6:$DT$66),0),1),"")</f>
        <v/>
      </c>
      <c r="DV52" s="277" t="str">
        <f>IF(AND('1.4 Analyse &amp; Synthese'!AH53=1,'1.4 Analyse &amp; Synthese'!F53="Werkzeug"),'1.4 Analyse &amp; Synthese'!I53&amp;CHAR(13)&amp;"("&amp;'(Codierung)'!$C$4&amp;" - "&amp;'1.4 Analyse &amp; Synthese'!C53&amp;")","")</f>
        <v/>
      </c>
      <c r="DW52" s="387" t="str">
        <f t="array" ref="DW52">_xlfn.IFNA(INDEX($DV$6:$DV$66,MATCH(0,COUNTIF($DW$4:DW51,$DV$6:$DV$66),0),1),"")</f>
        <v/>
      </c>
      <c r="DY52" s="277" t="str">
        <f>IF(AND('1.4 Analyse &amp; Synthese'!AI53=1,'1.4 Analyse &amp; Synthese'!F53="Empfehlung"),'1.4 Analyse &amp; Synthese'!I53&amp;CHAR(13)&amp;"("&amp;'(Codierung)'!$C$2&amp;" - "&amp;'1.4 Analyse &amp; Synthese'!C53&amp;")","")</f>
        <v/>
      </c>
      <c r="DZ52" s="387" t="str">
        <f t="array" ref="DZ52">_xlfn.IFNA(INDEX($DY$6:$DY$66,MATCH(0,COUNTIF($DZ$4:DZ51,$DY$6:$DY$66),0),1),"")</f>
        <v/>
      </c>
      <c r="EA52" s="277" t="str">
        <f>IF(AND('1.4 Analyse &amp; Synthese'!AI53=1,'1.4 Analyse &amp; Synthese'!F53="Methode"),'1.4 Analyse &amp; Synthese'!I53&amp;CHAR(13)&amp;"("&amp;'(Codierung)'!$C$3&amp;" - "&amp;'1.4 Analyse &amp; Synthese'!C53&amp;")","")</f>
        <v/>
      </c>
      <c r="EB52" s="387" t="str">
        <f t="array" ref="EB52">_xlfn.IFNA(INDEX($EA$6:$EA$66,MATCH(0,COUNTIF($EB$4:EB51,$EA$6:$EA$66),0),1),"")</f>
        <v/>
      </c>
      <c r="EC52" s="277" t="str">
        <f>IF(AND('1.4 Analyse &amp; Synthese'!AI53=1,'1.4 Analyse &amp; Synthese'!F53="Werkzeug"),'1.4 Analyse &amp; Synthese'!I53&amp;CHAR(13)&amp;"("&amp;'(Codierung)'!$C$4&amp;" - "&amp;'1.4 Analyse &amp; Synthese'!C53&amp;")","")</f>
        <v/>
      </c>
      <c r="ED52" s="277" t="str">
        <f t="array" ref="ED52">_xlfn.IFNA(INDEX($EC$6:$EC$66,MATCH(0,COUNTIF($ED$4:ED51,$EC$6:$EC$66),0),1),"")</f>
        <v/>
      </c>
      <c r="EF52" s="277" t="str">
        <f>IF(AND('1.4 Analyse &amp; Synthese'!AJ53=1,'1.4 Analyse &amp; Synthese'!F53="Empfehlung"),'1.4 Analyse &amp; Synthese'!I53&amp;CHAR(13)&amp;"("&amp;'(Codierung)'!$C$2&amp;" - "&amp;'1.4 Analyse &amp; Synthese'!C53&amp;")","")</f>
        <v/>
      </c>
      <c r="EG52" s="277" t="str">
        <f t="array" ref="EG52">_xlfn.IFNA(INDEX($EF$6:$EF$66,MATCH(0,COUNTIF($EG$4:EG51,$EF$6:$EF$66),0),1),"")</f>
        <v/>
      </c>
      <c r="EH52" s="277" t="str">
        <f>IF(AND('1.4 Analyse &amp; Synthese'!AJ53=1,'1.4 Analyse &amp; Synthese'!F53="Methode"),'1.4 Analyse &amp; Synthese'!I53&amp;CHAR(13)&amp;"("&amp;'(Codierung)'!$C$3&amp;" - "&amp;'1.4 Analyse &amp; Synthese'!C53&amp;")","")</f>
        <v/>
      </c>
      <c r="EI52" s="387" t="str">
        <f t="array" ref="EI52">_xlfn.IFNA(INDEX($EH$6:$EH$66,MATCH(0,COUNTIF($EI$4:EI51,$EH$6:$EH$66),0),1),"")</f>
        <v/>
      </c>
      <c r="EJ52" s="277" t="str">
        <f>IF(AND('1.4 Analyse &amp; Synthese'!AJ53=1,'1.4 Analyse &amp; Synthese'!F53="Werkzeug"),'1.4 Analyse &amp; Synthese'!I53&amp;CHAR(13)&amp;"("&amp;'(Codierung)'!$C$4&amp;" - "&amp;'1.4 Analyse &amp; Synthese'!C53&amp;")","")</f>
        <v/>
      </c>
      <c r="EK52" s="387" t="str">
        <f t="array" ref="EK52">_xlfn.IFNA(INDEX($EJ$6:$EJ$66,MATCH(0,COUNTIF($EK$4:EK51,$EJ$6:$EJ$66),0),1),"")</f>
        <v/>
      </c>
      <c r="EN52" s="222" t="str">
        <f t="shared" si="60"/>
        <v/>
      </c>
      <c r="EO52" s="277" t="str">
        <f t="shared" si="61"/>
        <v/>
      </c>
      <c r="EP52" s="277" t="str">
        <f t="shared" si="62"/>
        <v/>
      </c>
      <c r="EQ52" s="277" t="str">
        <f>ZahlenInBereich(Tabelle1[[Empfehlung]:[Werkzeug]],ROW()-5)</f>
        <v/>
      </c>
      <c r="ER52" s="277" t="str">
        <f t="shared" si="63"/>
        <v/>
      </c>
      <c r="ES52" s="277" t="str">
        <f t="shared" si="64"/>
        <v/>
      </c>
      <c r="ET52" s="277" t="str">
        <f t="shared" si="65"/>
        <v/>
      </c>
      <c r="EU52" s="277" t="str">
        <f>ZahlenInBereich(Tabelle1[[Empfehlung2]:[Werkzeug4]],ROW()-5)</f>
        <v/>
      </c>
      <c r="EV52" s="277" t="str">
        <f t="shared" si="66"/>
        <v/>
      </c>
      <c r="EW52" s="277" t="str">
        <f t="shared" si="67"/>
        <v/>
      </c>
      <c r="EX52" s="277" t="str">
        <f t="shared" si="68"/>
        <v/>
      </c>
      <c r="EY52" s="277" t="str">
        <f>ZahlenInBereich(Tabelle1[[Empfehlung6]:[Werkzeug8]],ROW()-5)</f>
        <v/>
      </c>
      <c r="EZ52" s="277" t="str">
        <f t="shared" si="69"/>
        <v/>
      </c>
      <c r="FA52" s="277" t="str">
        <f t="shared" si="70"/>
        <v/>
      </c>
      <c r="FB52" s="277" t="str">
        <f t="shared" si="71"/>
        <v/>
      </c>
      <c r="FC52" s="277" t="str">
        <f>ZahlenInBereich(Tabelle1[[Empfehlung10]:[Werkzeug12]],ROW()-5)</f>
        <v/>
      </c>
      <c r="FD52" s="277" t="str">
        <f t="shared" si="72"/>
        <v/>
      </c>
      <c r="FE52" s="277" t="str">
        <f t="shared" si="73"/>
        <v/>
      </c>
      <c r="FF52" s="277" t="str">
        <f t="shared" si="74"/>
        <v/>
      </c>
      <c r="FG52" s="277" t="str">
        <f>ZahlenInBereich(Tabelle1[[Empfehlung14]:[Werkzeug16]],ROW()-5)</f>
        <v/>
      </c>
      <c r="FH52" s="277" t="str">
        <f t="shared" si="75"/>
        <v/>
      </c>
      <c r="FI52" s="277" t="str">
        <f t="shared" si="76"/>
        <v/>
      </c>
      <c r="FJ52" s="277" t="str">
        <f t="shared" si="77"/>
        <v/>
      </c>
      <c r="FK52" s="277" t="str">
        <f>ZahlenInBereich(Tabelle1[[Empfehlung18]:[Werkzeug20]],ROW()-5)</f>
        <v/>
      </c>
      <c r="FL52" s="277" t="str">
        <f t="shared" si="78"/>
        <v/>
      </c>
      <c r="FM52" s="277" t="str">
        <f t="shared" si="79"/>
        <v/>
      </c>
      <c r="FN52" s="277" t="str">
        <f t="shared" si="80"/>
        <v/>
      </c>
      <c r="FO52" s="277" t="str">
        <f>ZahlenInBereich(Tabelle1[[Empfehlung22]:[Werkzeug24]],ROW()-5)</f>
        <v/>
      </c>
      <c r="FP52" s="277" t="str">
        <f t="shared" si="81"/>
        <v/>
      </c>
      <c r="FQ52" s="277" t="str">
        <f t="shared" si="82"/>
        <v/>
      </c>
      <c r="FR52" s="277" t="str">
        <f t="shared" si="83"/>
        <v/>
      </c>
      <c r="FS52" s="277" t="str">
        <f>ZahlenInBereich(Tabelle1[[Empfehlung26]:[Werkzeug28]],ROW()-5)</f>
        <v/>
      </c>
      <c r="FT52" s="277" t="str">
        <f t="shared" si="84"/>
        <v/>
      </c>
      <c r="FU52" s="277" t="str">
        <f t="shared" si="85"/>
        <v/>
      </c>
      <c r="FV52" s="277" t="str">
        <f t="shared" si="86"/>
        <v/>
      </c>
      <c r="FW52" s="277" t="str">
        <f>ZahlenInBereich(Tabelle1[[Empfehlung30]:[Werkzeug32]],ROW()-5)</f>
        <v/>
      </c>
      <c r="FX52" s="277" t="str">
        <f t="shared" si="87"/>
        <v/>
      </c>
      <c r="FY52" s="277" t="str">
        <f t="shared" si="88"/>
        <v/>
      </c>
      <c r="FZ52" s="277" t="str">
        <f t="shared" si="89"/>
        <v/>
      </c>
      <c r="GA52" s="277" t="str">
        <f>ZahlenInBereich(Tabelle1[[Empfehlung34]:[Werkzeug36]],ROW()-5)</f>
        <v/>
      </c>
      <c r="GB52" s="277" t="str">
        <f t="shared" si="90"/>
        <v/>
      </c>
      <c r="GC52" s="277" t="str">
        <f t="shared" si="91"/>
        <v/>
      </c>
      <c r="GD52" s="277" t="str">
        <f t="shared" si="92"/>
        <v/>
      </c>
      <c r="GE52" s="277" t="str">
        <f>ZahlenInBereich(Tabelle1[[Empfehlung38]:[Werkzeug40]],ROW()-5)</f>
        <v/>
      </c>
      <c r="GF52" s="277" t="str">
        <f t="shared" si="93"/>
        <v/>
      </c>
      <c r="GG52" s="277" t="str">
        <f t="shared" si="94"/>
        <v/>
      </c>
      <c r="GH52" s="277" t="str">
        <f t="shared" si="95"/>
        <v/>
      </c>
      <c r="GI52" s="277" t="str">
        <f>ZahlenInBereich(Tabelle1[[Empfehlung42]:[Werkzeug44]],ROW()-5)</f>
        <v/>
      </c>
      <c r="GJ52" s="277" t="str">
        <f t="shared" si="96"/>
        <v/>
      </c>
      <c r="GK52" s="277" t="str">
        <f t="shared" si="97"/>
        <v/>
      </c>
      <c r="GL52" s="277" t="str">
        <f t="shared" si="98"/>
        <v/>
      </c>
      <c r="GM52" s="277" t="str">
        <f>ZahlenInBereich(Tabelle1[[Empfehlung46]:[Werkzeug48]],ROW()-5)</f>
        <v/>
      </c>
      <c r="GN52" s="277" t="str">
        <f t="shared" si="99"/>
        <v/>
      </c>
      <c r="GO52" s="277" t="str">
        <f t="shared" si="100"/>
        <v/>
      </c>
      <c r="GP52" s="277" t="str">
        <f t="shared" si="101"/>
        <v/>
      </c>
      <c r="GQ52" s="277" t="str">
        <f>ZahlenInBereich(Tabelle1[[Empfehlung50]:[Werkzeug52]],ROW()-5)</f>
        <v/>
      </c>
      <c r="GR52" s="277" t="str">
        <f t="shared" si="102"/>
        <v/>
      </c>
      <c r="GS52" s="277" t="str">
        <f t="shared" si="103"/>
        <v/>
      </c>
      <c r="GT52" s="277" t="str">
        <f t="shared" si="104"/>
        <v/>
      </c>
      <c r="GU52" s="277" t="str">
        <f>ZahlenInBereich(Tabelle1[[Empfehlung54]:[Werkzeug56]],ROW()-5)</f>
        <v/>
      </c>
      <c r="GV52" s="277" t="str">
        <f t="shared" si="105"/>
        <v/>
      </c>
      <c r="GW52" s="277" t="str">
        <f t="shared" si="106"/>
        <v/>
      </c>
      <c r="GX52" s="277" t="str">
        <f t="shared" si="107"/>
        <v/>
      </c>
      <c r="GY52" s="277" t="str">
        <f>ZahlenInBereich(Tabelle1[[Empfehlung58]:[Werkzeug60]],ROW()-5)</f>
        <v/>
      </c>
      <c r="GZ52" s="277" t="str">
        <f t="shared" si="108"/>
        <v/>
      </c>
      <c r="HA52" s="277" t="str">
        <f t="shared" si="109"/>
        <v/>
      </c>
      <c r="HB52" s="277" t="str">
        <f t="shared" si="110"/>
        <v/>
      </c>
      <c r="HC52" s="277" t="str">
        <f>ZahlenInBereich(Tabelle1[[Empfehlung62]:[Werkzeug64]],ROW()-5)</f>
        <v/>
      </c>
      <c r="HD52" s="277" t="str">
        <f t="shared" si="111"/>
        <v/>
      </c>
      <c r="HE52" s="277" t="str">
        <f t="shared" si="112"/>
        <v/>
      </c>
      <c r="HF52" s="277" t="str">
        <f t="shared" si="113"/>
        <v/>
      </c>
      <c r="HG52" s="277" t="str">
        <f>ZahlenInBereich(Tabelle1[[Empfehlung66]:[Werkzeug68]],ROW()-5)</f>
        <v/>
      </c>
      <c r="HH52" s="277" t="str">
        <f t="shared" si="114"/>
        <v/>
      </c>
      <c r="HI52" s="277" t="str">
        <f t="shared" si="115"/>
        <v/>
      </c>
      <c r="HJ52" s="277" t="str">
        <f t="shared" si="116"/>
        <v/>
      </c>
      <c r="HK52" s="277" t="str">
        <f>ZahlenInBereich(Tabelle1[[Empfehlung70]:[Werkzeug72]],ROW()-5)</f>
        <v/>
      </c>
      <c r="HL52" s="277" t="str">
        <f t="shared" si="117"/>
        <v/>
      </c>
      <c r="HM52" s="277" t="str">
        <f t="shared" si="118"/>
        <v/>
      </c>
      <c r="HN52" s="277" t="str">
        <f t="shared" si="119"/>
        <v/>
      </c>
      <c r="HO52" s="277" t="str">
        <f>ZahlenInBereich(Tabelle1[[Empfehlung74]:[Werkzeug76]],ROW()-5)</f>
        <v/>
      </c>
    </row>
    <row r="53" spans="2:223" x14ac:dyDescent="0.2">
      <c r="B53" s="135">
        <f>'1.4 Analyse &amp; Synthese'!B54</f>
        <v>0</v>
      </c>
      <c r="C53" s="277" t="str">
        <f>IF(AND('1.4 Analyse &amp; Synthese'!Q54=1,'1.4 Analyse &amp; Synthese'!F54="Empfehlung"),'1.4 Analyse &amp; Synthese'!I54&amp;CHAR(13)&amp;"("&amp;'(Codierung)'!$C$2&amp;" - "&amp;'1.4 Analyse &amp; Synthese'!C54&amp;")","")</f>
        <v/>
      </c>
      <c r="D53" s="222" t="str">
        <f t="array" ref="D53">_xlfn.IFNA(INDEX($C$6:$C$66,MATCH(0,COUNTIF($D$4:D52,$C$6:$C$66),0),1),"")</f>
        <v/>
      </c>
      <c r="E53" s="277" t="str">
        <f>IF(AND('1.4 Analyse &amp; Synthese'!Q54=1,'1.4 Analyse &amp; Synthese'!F54="Methode"),'1.4 Analyse &amp; Synthese'!I54&amp;CHAR(13)&amp;"("&amp;'(Codierung)'!$C$3&amp;" - "&amp;'1.4 Analyse &amp; Synthese'!C54&amp;")","")</f>
        <v/>
      </c>
      <c r="F53" s="387" t="str">
        <f t="array" ref="F53">_xlfn.IFNA(INDEX($E$6:$E$66,MATCH(0,COUNTIF($F$4:F52,$E$6:$E$66),0),1),"")</f>
        <v/>
      </c>
      <c r="G53" s="277" t="str">
        <f>IF(AND('1.4 Analyse &amp; Synthese'!Q54=1,'1.4 Analyse &amp; Synthese'!F54="Werkzeug"),'1.4 Analyse &amp; Synthese'!I54&amp;CHAR(13)&amp;"("&amp;'(Codierung)'!$C$4&amp;" - "&amp;'1.4 Analyse &amp; Synthese'!C54&amp;")","")</f>
        <v/>
      </c>
      <c r="H53" s="387" t="str">
        <f t="array" ref="H53">_xlfn.IFNA(INDEX($G$6:$G$66,MATCH(0,COUNTIF($H$4:H52,$G$6:$G$66),0),1),"")</f>
        <v/>
      </c>
      <c r="J53" s="277" t="str">
        <f>IF(AND('1.4 Analyse &amp; Synthese'!R54=1,'1.4 Analyse &amp; Synthese'!F54="Empfehlung"),'1.4 Analyse &amp; Synthese'!I54&amp;CHAR(13)&amp;"("&amp;'(Codierung)'!$C$2&amp;" - "&amp;'1.4 Analyse &amp; Synthese'!C54&amp;")","")</f>
        <v/>
      </c>
      <c r="K53" s="387" t="str">
        <f t="array" ref="K53">_xlfn.IFNA(INDEX($J$6:$J$66,MATCH(0,COUNTIF($K$4:K52,$J$6:$J$66),0),1),"")</f>
        <v/>
      </c>
      <c r="L53" s="277" t="str">
        <f>IF(AND('1.4 Analyse &amp; Synthese'!R54=1,'1.4 Analyse &amp; Synthese'!F54="Methode"),'1.4 Analyse &amp; Synthese'!I54&amp;CHAR(13)&amp;"("&amp;'(Codierung)'!$C$3&amp;" - "&amp;'1.4 Analyse &amp; Synthese'!C54&amp;")","")</f>
        <v/>
      </c>
      <c r="M53" s="387" t="str">
        <f t="array" ref="M53">_xlfn.IFNA(INDEX($L$6:$L$66,MATCH(0,COUNTIF($M$4:M52,$L$6:$L$66),0),1),"")</f>
        <v/>
      </c>
      <c r="N53" s="277" t="str">
        <f>IF(AND('1.4 Analyse &amp; Synthese'!R54=1,'1.4 Analyse &amp; Synthese'!F54="Werkzeug"),'1.4 Analyse &amp; Synthese'!I54&amp;CHAR(13)&amp;"("&amp;'(Codierung)'!$C$4&amp;" - "&amp;'1.4 Analyse &amp; Synthese'!C54&amp;")","")</f>
        <v/>
      </c>
      <c r="O53" s="387" t="str">
        <f t="array" ref="O53">_xlfn.IFNA(INDEX($N$6:$N$66,MATCH(0,COUNTIF($O$4:O52,$N$6:$N$66),0),1),"")</f>
        <v/>
      </c>
      <c r="Q53" s="277" t="str">
        <f>IF(AND('1.4 Analyse &amp; Synthese'!S54=1,'1.4 Analyse &amp; Synthese'!F54="Empfehlung"),'1.4 Analyse &amp; Synthese'!I54&amp;CHAR(13)&amp;"("&amp;'(Codierung)'!$C$2&amp;" - "&amp;'1.4 Analyse &amp; Synthese'!C54&amp;")","")</f>
        <v/>
      </c>
      <c r="R53" s="387" t="str">
        <f t="array" ref="R53">_xlfn.IFNA(INDEX($Q$6:$Q$66,MATCH(0,COUNTIF($R$4:R52,$Q$6:$Q$66),0),1),"")</f>
        <v/>
      </c>
      <c r="S53" s="277" t="str">
        <f>IF(AND('1.4 Analyse &amp; Synthese'!S54=1,'1.4 Analyse &amp; Synthese'!F54="Methode"),'1.4 Analyse &amp; Synthese'!I54&amp;CHAR(13)&amp;"("&amp;'(Codierung)'!$C$3&amp;" - "&amp;'1.4 Analyse &amp; Synthese'!C54&amp;")","")</f>
        <v/>
      </c>
      <c r="T53" s="387" t="str">
        <f t="array" ref="T53">_xlfn.IFNA(INDEX($S$6:$S$66,MATCH(0,COUNTIF($T$4:T52,$S$6:$S$66),0),1),"")</f>
        <v/>
      </c>
      <c r="U53" s="277" t="str">
        <f>IF(AND('1.4 Analyse &amp; Synthese'!S54=1,'1.4 Analyse &amp; Synthese'!F54="Werkzeug"),'1.4 Analyse &amp; Synthese'!I54&amp;CHAR(13)&amp;"("&amp;'(Codierung)'!$C$4&amp;" - "&amp;'1.4 Analyse &amp; Synthese'!C54&amp;")","")</f>
        <v/>
      </c>
      <c r="V53" s="387" t="str">
        <f t="array" ref="V53">_xlfn.IFNA(INDEX($U$6:$U$66,MATCH(0,COUNTIF($V$4:V52,$U$6:$U$66),0),1),"")</f>
        <v/>
      </c>
      <c r="X53" s="277" t="str">
        <f>IF(AND('1.4 Analyse &amp; Synthese'!T54=1,'1.4 Analyse &amp; Synthese'!F54="Empfehlung"),'1.4 Analyse &amp; Synthese'!I54&amp;CHAR(13)&amp;"("&amp;'(Codierung)'!$C$2&amp;" - "&amp;'1.4 Analyse &amp; Synthese'!C54&amp;")","")</f>
        <v/>
      </c>
      <c r="Y53" s="387" t="str">
        <f t="array" ref="Y53">_xlfn.IFNA(INDEX($X$6:$X$66,MATCH(0,COUNTIF($Y$4:Y52,$X$6:$X$66),0),1),"")</f>
        <v/>
      </c>
      <c r="Z53" s="277" t="str">
        <f>IF(AND('1.4 Analyse &amp; Synthese'!T54=1,'1.4 Analyse &amp; Synthese'!F54="Methode"),'1.4 Analyse &amp; Synthese'!I54&amp;CHAR(13)&amp;"("&amp;'(Codierung)'!$C$3&amp;" - "&amp;'1.4 Analyse &amp; Synthese'!C54&amp;")","")</f>
        <v/>
      </c>
      <c r="AA53" s="387" t="str">
        <f t="array" ref="AA53">_xlfn.IFNA(INDEX($Z$6:$Z$66,MATCH(0,COUNTIF($AA$4:AA52,$Z$6:$Z$66),0),1),"")</f>
        <v/>
      </c>
      <c r="AB53" s="277" t="str">
        <f>IF(AND('1.4 Analyse &amp; Synthese'!T54=1,'1.4 Analyse &amp; Synthese'!F54="Werkzeug"),'1.4 Analyse &amp; Synthese'!I54&amp;CHAR(13)&amp;"("&amp;'(Codierung)'!$C$4&amp;" - "&amp;'1.4 Analyse &amp; Synthese'!C54&amp;")","")</f>
        <v/>
      </c>
      <c r="AC53" s="387" t="str">
        <f t="array" ref="AC53">_xlfn.IFNA(INDEX($AB$6:$AB$66,MATCH(0,COUNTIF($AC$4:AC52,$AB$6:$AB$66),0),1),"")</f>
        <v/>
      </c>
      <c r="AE53" s="277" t="str">
        <f>IF(AND('1.4 Analyse &amp; Synthese'!U54=1,'1.4 Analyse &amp; Synthese'!F54="Empfehlung"),'1.4 Analyse &amp; Synthese'!I54&amp;CHAR(13)&amp;"("&amp;'(Codierung)'!$C$2&amp;" - "&amp;'1.4 Analyse &amp; Synthese'!C54&amp;")","")</f>
        <v/>
      </c>
      <c r="AF53" s="387" t="str">
        <f t="array" ref="AF53">_xlfn.IFNA(INDEX($AE$6:$AE$66,MATCH(0,COUNTIF($AF$4:AF52,$AE$6:$AE$66),0),1),"")</f>
        <v/>
      </c>
      <c r="AG53" s="277" t="str">
        <f>IF(AND('1.4 Analyse &amp; Synthese'!U54=1,'1.4 Analyse &amp; Synthese'!F54="Methode"),'1.4 Analyse &amp; Synthese'!I54&amp;CHAR(13)&amp;"("&amp;'(Codierung)'!$C$3&amp;" - "&amp;'1.4 Analyse &amp; Synthese'!C54&amp;")","")</f>
        <v/>
      </c>
      <c r="AH53" s="387" t="str">
        <f t="array" ref="AH53">_xlfn.IFNA(INDEX($AG$6:$AG$66,MATCH(0,COUNTIF($AH$4:AH52,$AG$6:$AG$66),0),1),"")</f>
        <v/>
      </c>
      <c r="AI53" s="277" t="str">
        <f>IF(AND('1.4 Analyse &amp; Synthese'!U54=1,'1.4 Analyse &amp; Synthese'!F54="Werkzeug"),'1.4 Analyse &amp; Synthese'!I54&amp;CHAR(13)&amp;"("&amp;'(Codierung)'!$C$4&amp;" - "&amp;'1.4 Analyse &amp; Synthese'!C54&amp;")","")</f>
        <v/>
      </c>
      <c r="AJ53" s="387" t="str">
        <f t="array" ref="AJ53">_xlfn.IFNA(INDEX($AI$6:$AI$66,MATCH(0,COUNTIF($AJ$4:AJ52,$AI$6:$AI$66),0),1),"")</f>
        <v/>
      </c>
      <c r="AL53" s="277" t="str">
        <f>IF(AND('1.4 Analyse &amp; Synthese'!V54=1,'1.4 Analyse &amp; Synthese'!F54="Empfehlung"),'1.4 Analyse &amp; Synthese'!I54&amp;CHAR(13)&amp;"("&amp;'(Codierung)'!$C$2&amp;" - "&amp;'1.4 Analyse &amp; Synthese'!C54&amp;")","")</f>
        <v/>
      </c>
      <c r="AM53" s="387" t="str">
        <f t="array" ref="AM53">_xlfn.IFNA(INDEX($AL$6:$AL$66,MATCH(0,COUNTIF($AM$4:AM52,$AL$6:$AL$66),0),1),"")</f>
        <v/>
      </c>
      <c r="AN53" s="277" t="str">
        <f>IF(AND('1.4 Analyse &amp; Synthese'!V54=1,'1.4 Analyse &amp; Synthese'!F54="Methode"),'1.4 Analyse &amp; Synthese'!I54&amp;CHAR(13)&amp;"("&amp;'(Codierung)'!$C$3&amp;" - "&amp;'1.4 Analyse &amp; Synthese'!C54&amp;")","")</f>
        <v/>
      </c>
      <c r="AO53" s="387" t="str">
        <f t="array" ref="AO53">_xlfn.IFNA(INDEX($AN$6:$AN$66,MATCH(0,COUNTIF($AO$4:AO52,$AN$6:$AN$66),0),1),"")</f>
        <v/>
      </c>
      <c r="AP53" s="277" t="str">
        <f>IF(AND('1.4 Analyse &amp; Synthese'!V54=1,'1.4 Analyse &amp; Synthese'!F54="Werkzeug"),'1.4 Analyse &amp; Synthese'!I54&amp;CHAR(13)&amp;"("&amp;'(Codierung)'!$C$4&amp;" - "&amp;'1.4 Analyse &amp; Synthese'!C54&amp;")","")</f>
        <v/>
      </c>
      <c r="AQ53" s="387" t="str">
        <f t="array" ref="AQ53">_xlfn.IFNA(INDEX($AP$6:$AP$66,MATCH(0,COUNTIF($AQ$4:AQ52,$AP$6:$AP$66),0),1),"")</f>
        <v/>
      </c>
      <c r="AS53" s="277" t="str">
        <f>IF(AND('1.4 Analyse &amp; Synthese'!W54=1,'1.4 Analyse &amp; Synthese'!F54="Empfehlung"),'1.4 Analyse &amp; Synthese'!I54&amp;CHAR(13)&amp;"("&amp;'(Codierung)'!$C$2&amp;" - "&amp;'1.4 Analyse &amp; Synthese'!C54&amp;")","")</f>
        <v/>
      </c>
      <c r="AT53" s="387" t="str">
        <f t="array" ref="AT53">_xlfn.IFNA(INDEX($AS$6:$AS$66,MATCH(0,COUNTIF($AT$4:AT52,$AS$6:$AS$66),0),1),"")</f>
        <v/>
      </c>
      <c r="AU53" s="277" t="str">
        <f>IF(AND('1.4 Analyse &amp; Synthese'!W54=1,'1.4 Analyse &amp; Synthese'!F54="Methode"),'1.4 Analyse &amp; Synthese'!I54&amp;CHAR(13)&amp;"("&amp;'(Codierung)'!$C$3&amp;" - "&amp;'1.4 Analyse &amp; Synthese'!C54&amp;")","")</f>
        <v/>
      </c>
      <c r="AV53" s="387" t="str">
        <f t="array" ref="AV53">_xlfn.IFNA(INDEX($AU$6:$AU$66,MATCH(0,COUNTIF($AV$4:AV52,$AU$6:$AU$66),0),1),"")</f>
        <v/>
      </c>
      <c r="AW53" s="277" t="str">
        <f>IF(AND('1.4 Analyse &amp; Synthese'!W54=1,'1.4 Analyse &amp; Synthese'!F54="Werkzeug"),'1.4 Analyse &amp; Synthese'!I54&amp;CHAR(13)&amp;"("&amp;'(Codierung)'!$C$4&amp;" - "&amp;'1.4 Analyse &amp; Synthese'!C54&amp;")","")</f>
        <v/>
      </c>
      <c r="AX53" s="387" t="str">
        <f t="array" ref="AX53">_xlfn.IFNA(INDEX($AW$6:$AW$66,MATCH(0,COUNTIF($AX$4:AX52,$AW$6:$AW$66),0),1),"")</f>
        <v/>
      </c>
      <c r="AZ53" s="277" t="str">
        <f>IF(AND('1.4 Analyse &amp; Synthese'!X54=1,'1.4 Analyse &amp; Synthese'!F54="Empfehlung"),'1.4 Analyse &amp; Synthese'!I54&amp;CHAR(13)&amp;"("&amp;'(Codierung)'!$C$2&amp;" - "&amp;'1.4 Analyse &amp; Synthese'!C54&amp;")","")</f>
        <v/>
      </c>
      <c r="BA53" s="387" t="str">
        <f t="array" ref="BA53">_xlfn.IFNA(INDEX($AZ$6:$AZ$66,MATCH(0,COUNTIF($BA$4:BA52,$AZ$6:$AZ$66),0),1),"")</f>
        <v/>
      </c>
      <c r="BB53" s="277" t="str">
        <f>IF(AND('1.4 Analyse &amp; Synthese'!X54=1,'1.4 Analyse &amp; Synthese'!F54="Methode"),'1.4 Analyse &amp; Synthese'!I54&amp;CHAR(13)&amp;"("&amp;'(Codierung)'!$C$3&amp;" - "&amp;'1.4 Analyse &amp; Synthese'!C54&amp;")","")</f>
        <v/>
      </c>
      <c r="BC53" s="387" t="str">
        <f t="array" ref="BC53">_xlfn.IFNA(INDEX($BB$6:$BB$66,MATCH(0,COUNTIF($BC$4:BC52,$BB$6:$BB$66),0),1),"")</f>
        <v/>
      </c>
      <c r="BD53" s="277" t="str">
        <f>IF(AND('1.4 Analyse &amp; Synthese'!X54=1,'1.4 Analyse &amp; Synthese'!F54="Werkzeug"),'1.4 Analyse &amp; Synthese'!I54&amp;CHAR(13)&amp;"("&amp;'(Codierung)'!$C$4&amp;" - "&amp;'1.4 Analyse &amp; Synthese'!C54&amp;")","")</f>
        <v/>
      </c>
      <c r="BE53" s="387" t="str">
        <f t="array" ref="BE53">_xlfn.IFNA(INDEX($BD$6:$BD$66,MATCH(0,COUNTIF($BE$4:BE52,$BD$6:$BD$66),0),1),"")</f>
        <v/>
      </c>
      <c r="BG53" s="277" t="str">
        <f>IF(AND('1.4 Analyse &amp; Synthese'!Y54=1,'1.4 Analyse &amp; Synthese'!F54="Empfehlung"),'1.4 Analyse &amp; Synthese'!I54&amp;CHAR(13)&amp;"("&amp;'(Codierung)'!$C$2&amp;" - "&amp;'1.4 Analyse &amp; Synthese'!C54&amp;")","")</f>
        <v/>
      </c>
      <c r="BH53" s="387" t="str">
        <f t="array" ref="BH53">_xlfn.IFNA(INDEX($BG$6:$BG$66,MATCH(0,COUNTIF($BH$4:BH52,$BG$6:$BG$66),0),1),"")</f>
        <v/>
      </c>
      <c r="BI53" s="277" t="str">
        <f>IF(AND('1.4 Analyse &amp; Synthese'!Y54=1,'1.4 Analyse &amp; Synthese'!F54="Methode"),'1.4 Analyse &amp; Synthese'!I54&amp;CHAR(13)&amp;"("&amp;'(Codierung)'!$C$3&amp;" - "&amp;'1.4 Analyse &amp; Synthese'!C54&amp;")","")</f>
        <v/>
      </c>
      <c r="BJ53" s="387" t="str">
        <f t="array" ref="BJ53">_xlfn.IFNA(INDEX($BI$6:$BI$66,MATCH(0,COUNTIF($BJ$4:BJ52,$BI$6:$BI$66),0),1),"")</f>
        <v/>
      </c>
      <c r="BK53" s="277" t="str">
        <f>IF(AND('1.4 Analyse &amp; Synthese'!Y54=1,'1.4 Analyse &amp; Synthese'!F54="Werkzeug"),'1.4 Analyse &amp; Synthese'!I54&amp;CHAR(13)&amp;"("&amp;'(Codierung)'!$C$4&amp;" - "&amp;'1.4 Analyse &amp; Synthese'!C54&amp;")","")</f>
        <v/>
      </c>
      <c r="BL53" s="387" t="str">
        <f t="array" ref="BL53">_xlfn.IFNA(INDEX($BK$6:$BK$66,MATCH(0,COUNTIF($BL$4:BL52,$BK$6:$BK$66),0),1),"")</f>
        <v/>
      </c>
      <c r="BN53" s="277" t="str">
        <f>IF(AND('1.4 Analyse &amp; Synthese'!Z54=1,'1.4 Analyse &amp; Synthese'!F54="Empfehlung"),'1.4 Analyse &amp; Synthese'!I54&amp;CHAR(13)&amp;"("&amp;'(Codierung)'!$C$2&amp;" - "&amp;'1.4 Analyse &amp; Synthese'!C54&amp;")","")</f>
        <v/>
      </c>
      <c r="BO53" s="387" t="str">
        <f t="array" ref="BO53">_xlfn.IFNA(INDEX($BN$6:$BN$66,MATCH(0,COUNTIF($BO$4:BO52,$BN$6:$BN$66),0),1),"")</f>
        <v/>
      </c>
      <c r="BP53" s="277" t="str">
        <f>IF(AND('1.4 Analyse &amp; Synthese'!Z54=1,'1.4 Analyse &amp; Synthese'!F54="Methode"),'1.4 Analyse &amp; Synthese'!I54&amp;CHAR(13)&amp;"("&amp;'(Codierung)'!$C$3&amp;" - "&amp;'1.4 Analyse &amp; Synthese'!C54&amp;")","")</f>
        <v/>
      </c>
      <c r="BQ53" s="387" t="str">
        <f t="array" ref="BQ53">_xlfn.IFNA(INDEX($BP$6:$BP$66,MATCH(0,COUNTIF($BQ$4:BQ52,$BP$6:$BP$66),0),1),"")</f>
        <v/>
      </c>
      <c r="BR53" s="277" t="str">
        <f>IF(AND('1.4 Analyse &amp; Synthese'!Z54=1,'1.4 Analyse &amp; Synthese'!F54="Werkzeug"),'1.4 Analyse &amp; Synthese'!I54&amp;CHAR(13)&amp;"("&amp;'(Codierung)'!$C$4&amp;" - "&amp;'1.4 Analyse &amp; Synthese'!C54&amp;")","")</f>
        <v/>
      </c>
      <c r="BS53" s="387" t="str">
        <f t="array" ref="BS53">_xlfn.IFNA(INDEX($BR$6:$BR$66,MATCH(0,COUNTIF($BS$4:BS52,$BR$6:$BR$66),0),1),"")</f>
        <v/>
      </c>
      <c r="BU53" s="277" t="str">
        <f>IF(AND('1.4 Analyse &amp; Synthese'!AA54=1,'1.4 Analyse &amp; Synthese'!F54="Empfehlung"),'1.4 Analyse &amp; Synthese'!I54&amp;CHAR(13)&amp;"("&amp;'(Codierung)'!$C$2&amp;" - "&amp;'1.4 Analyse &amp; Synthese'!C54&amp;")","")</f>
        <v/>
      </c>
      <c r="BV53" s="387" t="str">
        <f t="array" ref="BV53">_xlfn.IFNA(INDEX($BU$6:$BU$66,MATCH(0,COUNTIF($BV$4:BV52,$BU$6:$BU$66),0),1),"")</f>
        <v/>
      </c>
      <c r="BW53" s="277" t="str">
        <f>IF(AND('1.4 Analyse &amp; Synthese'!AA54=1,'1.4 Analyse &amp; Synthese'!F54="Methode"),'1.4 Analyse &amp; Synthese'!I54&amp;CHAR(13)&amp;"("&amp;'(Codierung)'!$C$3&amp;" - "&amp;'1.4 Analyse &amp; Synthese'!C54&amp;")","")</f>
        <v/>
      </c>
      <c r="BX53" s="387" t="str">
        <f t="array" ref="BX53">_xlfn.IFNA(INDEX($BW$6:$BW$66,MATCH(0,COUNTIF($BX$4:BX52,$BW$6:$BW$66),0),1),"")</f>
        <v/>
      </c>
      <c r="BY53" s="277" t="str">
        <f>IF(AND('1.4 Analyse &amp; Synthese'!AA54=1,'1.4 Analyse &amp; Synthese'!F54="Werkzeug"),'1.4 Analyse &amp; Synthese'!I54&amp;CHAR(13)&amp;"("&amp;'(Codierung)'!$C$4&amp;" - "&amp;'1.4 Analyse &amp; Synthese'!C54&amp;")","")</f>
        <v/>
      </c>
      <c r="BZ53" s="387" t="str">
        <f t="array" ref="BZ53">_xlfn.IFNA(INDEX($BY$6:$BY$66,MATCH(0,COUNTIF($BZ$4:BZ52,$BY$6:$BY$66),0),1),"")</f>
        <v/>
      </c>
      <c r="CB53" s="277" t="str">
        <f>IF(AND('1.4 Analyse &amp; Synthese'!AB54=1,'1.4 Analyse &amp; Synthese'!F54="Empfehlung"),'1.4 Analyse &amp; Synthese'!I54&amp;CHAR(13)&amp;"("&amp;'(Codierung)'!$C$2&amp;" - "&amp;'1.4 Analyse &amp; Synthese'!C54&amp;")","")</f>
        <v/>
      </c>
      <c r="CC53" s="387" t="str">
        <f t="array" ref="CC53">_xlfn.IFNA(INDEX($CB$6:$CB$66,MATCH(0,COUNTIF($CC$4:CC52,$CB$6:$CB$66),0),1),"")</f>
        <v/>
      </c>
      <c r="CD53" s="277" t="str">
        <f>IF(AND('1.4 Analyse &amp; Synthese'!AB54=1,'1.4 Analyse &amp; Synthese'!F54="Methode"),'1.4 Analyse &amp; Synthese'!I54&amp;CHAR(13)&amp;"("&amp;'(Codierung)'!$C$3&amp;" - "&amp;'1.4 Analyse &amp; Synthese'!C54&amp;")","")</f>
        <v/>
      </c>
      <c r="CE53" s="387" t="str">
        <f t="array" ref="CE53">_xlfn.IFNA(INDEX($CD$6:$CD$66,MATCH(0,COUNTIF($CE$4:CE52,$CD$6:$CD$66),0),1),"")</f>
        <v/>
      </c>
      <c r="CF53" s="277" t="str">
        <f>IF(AND('1.4 Analyse &amp; Synthese'!AB54=1,'1.4 Analyse &amp; Synthese'!F54="Werkzeug"),'1.4 Analyse &amp; Synthese'!I54&amp;CHAR(13)&amp;"("&amp;'(Codierung)'!$C$4&amp;" - "&amp;'1.4 Analyse &amp; Synthese'!C54&amp;")","")</f>
        <v/>
      </c>
      <c r="CG53" s="387" t="str">
        <f t="array" ref="CG53">_xlfn.IFNA(INDEX($CF$6:$CF$66,MATCH(0,COUNTIF($CG$4:CG52,$CF$6:$CF$66),0),1),"")</f>
        <v/>
      </c>
      <c r="CI53" s="277" t="str">
        <f>IF(AND('1.4 Analyse &amp; Synthese'!AC54=1,'1.4 Analyse &amp; Synthese'!F54="Empfehlung"),'1.4 Analyse &amp; Synthese'!I54&amp;CHAR(13)&amp;"("&amp;'(Codierung)'!$C$2&amp;" - "&amp;'1.4 Analyse &amp; Synthese'!C54&amp;")","")</f>
        <v/>
      </c>
      <c r="CJ53" s="387" t="str">
        <f t="array" ref="CJ53">_xlfn.IFNA(INDEX($CI$6:$CI$66,MATCH(0,COUNTIF($CJ$4:CJ52,$CI$6:$CI$66),0),1),"")</f>
        <v/>
      </c>
      <c r="CK53" s="277" t="str">
        <f>IF(AND('1.4 Analyse &amp; Synthese'!AC54=1,'1.4 Analyse &amp; Synthese'!F54="Methode"),'1.4 Analyse &amp; Synthese'!I54&amp;CHAR(13)&amp;"("&amp;'(Codierung)'!$C$3&amp;" - "&amp;'1.4 Analyse &amp; Synthese'!C54&amp;")","")</f>
        <v/>
      </c>
      <c r="CL53" s="387" t="str">
        <f t="array" ref="CL53">_xlfn.IFNA(INDEX($CK$6:$CK$66,MATCH(0,COUNTIF($CL$4:CL52,$CK$6:$CK$66),0),1),"")</f>
        <v/>
      </c>
      <c r="CM53" s="277" t="str">
        <f>IF(AND('1.4 Analyse &amp; Synthese'!AC54=1,'1.4 Analyse &amp; Synthese'!F54="Werkzeug"),'1.4 Analyse &amp; Synthese'!I54&amp;CHAR(13)&amp;"("&amp;'(Codierung)'!$C$4&amp;" - "&amp;'1.4 Analyse &amp; Synthese'!C54&amp;")","")</f>
        <v/>
      </c>
      <c r="CN53" s="387" t="str">
        <f t="array" ref="CN53">_xlfn.IFNA(INDEX($CM$6:$CM$66,MATCH(0,COUNTIF($CN$4:CN52,$CM$6:$CM$66),0),1),"")</f>
        <v/>
      </c>
      <c r="CP53" s="277" t="str">
        <f>IF(AND('1.4 Analyse &amp; Synthese'!AD54=1,'1.4 Analyse &amp; Synthese'!F54="Empfehlung"),'1.4 Analyse &amp; Synthese'!I54&amp;CHAR(13)&amp;"("&amp;'(Codierung)'!$C$2&amp;" - "&amp;'1.4 Analyse &amp; Synthese'!C54&amp;")","")</f>
        <v/>
      </c>
      <c r="CQ53" s="387" t="str">
        <f t="array" ref="CQ53">_xlfn.IFNA(INDEX($CP$6:$CP$66,MATCH(0,COUNTIF($CQ$4:CQ52,$CP$6:$CP$66),0),1),"")</f>
        <v/>
      </c>
      <c r="CR53" s="277" t="str">
        <f>IF(AND('1.4 Analyse &amp; Synthese'!AD54=1,'1.4 Analyse &amp; Synthese'!F54="Methode"),'1.4 Analyse &amp; Synthese'!I54&amp;CHAR(13)&amp;"("&amp;'(Codierung)'!$C$3&amp;" - "&amp;'1.4 Analyse &amp; Synthese'!C54&amp;")","")</f>
        <v/>
      </c>
      <c r="CS53" s="387" t="str">
        <f t="array" ref="CS53">_xlfn.IFNA(INDEX($CR$6:$CR$66,MATCH(0,COUNTIF($CS$4:CS52,$CR$6:$CR$66),0),1),"")</f>
        <v/>
      </c>
      <c r="CT53" s="277" t="str">
        <f>IF(AND('1.4 Analyse &amp; Synthese'!AD54=1,'1.4 Analyse &amp; Synthese'!F54="Werkzeug"),'1.4 Analyse &amp; Synthese'!I54&amp;CHAR(13)&amp;"("&amp;'(Codierung)'!$C$4&amp;" - "&amp;'1.4 Analyse &amp; Synthese'!C54&amp;")","")</f>
        <v/>
      </c>
      <c r="CU53" s="387" t="str">
        <f t="array" ref="CU53">_xlfn.IFNA(INDEX($CT$6:$CT$66,MATCH(0,COUNTIF($CU$4:CU52,$CT$6:$CT$66),0),1),"")</f>
        <v/>
      </c>
      <c r="CW53" s="277" t="str">
        <f>IF(AND('1.4 Analyse &amp; Synthese'!AE54=1,'1.4 Analyse &amp; Synthese'!F54="Empfehlung"),'1.4 Analyse &amp; Synthese'!I54&amp;CHAR(13)&amp;"("&amp;'(Codierung)'!$C$2&amp;" - "&amp;'1.4 Analyse &amp; Synthese'!C54&amp;")","")</f>
        <v/>
      </c>
      <c r="CX53" s="387" t="str">
        <f t="array" ref="CX53">_xlfn.IFNA(INDEX($CW$6:$CW$66,MATCH(0,COUNTIF($CX$4:CX52,$CW$6:$CW$66),0),1),"")</f>
        <v/>
      </c>
      <c r="CY53" s="277" t="str">
        <f>IF(AND('1.4 Analyse &amp; Synthese'!AE54=1,'1.4 Analyse &amp; Synthese'!F54="Methode"),'1.4 Analyse &amp; Synthese'!I54&amp;CHAR(13)&amp;"("&amp;'(Codierung)'!$C$3&amp;" - "&amp;'1.4 Analyse &amp; Synthese'!C54&amp;")","")</f>
        <v/>
      </c>
      <c r="CZ53" s="387" t="str">
        <f t="array" ref="CZ53">_xlfn.IFNA(INDEX($CY$6:$CY$66,MATCH(0,COUNTIF($CZ$4:CZ52,$CY$6:$CY$66),0),1),"")</f>
        <v/>
      </c>
      <c r="DA53" s="277" t="str">
        <f>IF(AND('1.4 Analyse &amp; Synthese'!AE54=1,'1.4 Analyse &amp; Synthese'!F54="Werkzeug"),'1.4 Analyse &amp; Synthese'!I54&amp;CHAR(13)&amp;"("&amp;'(Codierung)'!$C$4&amp;" - "&amp;'1.4 Analyse &amp; Synthese'!C54&amp;")","")</f>
        <v/>
      </c>
      <c r="DB53" s="387" t="str">
        <f t="array" ref="DB53">_xlfn.IFNA(INDEX($DA$6:$DA$66,MATCH(0,COUNTIF($DB$4:DB52,$DA$6:$DA$66),0),1),"")</f>
        <v/>
      </c>
      <c r="DD53" s="277" t="str">
        <f>IF(AND('1.4 Analyse &amp; Synthese'!AF54=1,'1.4 Analyse &amp; Synthese'!F54="Empfehlung"),'1.4 Analyse &amp; Synthese'!I54&amp;CHAR(13)&amp;"("&amp;'(Codierung)'!$C$2&amp;" - "&amp;'1.4 Analyse &amp; Synthese'!C54&amp;")","")</f>
        <v/>
      </c>
      <c r="DE53" s="387" t="str">
        <f t="array" ref="DE53">_xlfn.IFNA(INDEX($DD$6:$DD$66,MATCH(0,COUNTIF($DE$4:DE52,$DD$6:$DD$66),0),1),"")</f>
        <v/>
      </c>
      <c r="DF53" s="277" t="str">
        <f>IF(AND('1.4 Analyse &amp; Synthese'!AF54=1,'1.4 Analyse &amp; Synthese'!F54="Methode"),'1.4 Analyse &amp; Synthese'!I54&amp;CHAR(13)&amp;"("&amp;'(Codierung)'!$C$3&amp;" - "&amp;'1.4 Analyse &amp; Synthese'!C54&amp;")","")</f>
        <v/>
      </c>
      <c r="DG53" s="387" t="str">
        <f t="array" ref="DG53">_xlfn.IFNA(INDEX($DF$6:$DF$66,MATCH(0,COUNTIF($DG$4:DG52,$DF$6:$DF$66),0),1),"")</f>
        <v/>
      </c>
      <c r="DH53" s="277" t="str">
        <f>IF(AND('1.4 Analyse &amp; Synthese'!AF54=1,'1.4 Analyse &amp; Synthese'!F54="Werkzeug"),'1.4 Analyse &amp; Synthese'!I54&amp;CHAR(13)&amp;"("&amp;'(Codierung)'!$C$4&amp;" - "&amp;'1.4 Analyse &amp; Synthese'!C54&amp;")","")</f>
        <v/>
      </c>
      <c r="DI53" s="387" t="str">
        <f t="array" ref="DI53">_xlfn.IFNA(INDEX($DH$6:$DH$66,MATCH(0,COUNTIF($DI$4:DI52,$DH$6:$DH$66),0),1),"")</f>
        <v/>
      </c>
      <c r="DK53" s="277" t="str">
        <f>IF(AND('1.4 Analyse &amp; Synthese'!AG54=1,'1.4 Analyse &amp; Synthese'!F54="Empfehlung"),'1.4 Analyse &amp; Synthese'!I54&amp;CHAR(13)&amp;"("&amp;'(Codierung)'!$C$2&amp;" - "&amp;'1.4 Analyse &amp; Synthese'!C54&amp;")","")</f>
        <v/>
      </c>
      <c r="DL53" s="387" t="str">
        <f t="array" ref="DL53">_xlfn.IFNA(INDEX($DK$6:$DK$66,MATCH(0,COUNTIF($DL$4:DL52,$DK$6:$DK$66),0),1),"")</f>
        <v/>
      </c>
      <c r="DM53" s="277" t="str">
        <f>IF(AND('1.4 Analyse &amp; Synthese'!AG54=1,'1.4 Analyse &amp; Synthese'!F54="Methode"),'1.4 Analyse &amp; Synthese'!I54&amp;CHAR(13)&amp;"("&amp;'(Codierung)'!$C$3&amp;" - "&amp;'1.4 Analyse &amp; Synthese'!C54&amp;")","")</f>
        <v/>
      </c>
      <c r="DN53" s="387" t="str">
        <f t="array" ref="DN53">_xlfn.IFNA(INDEX($DM$6:$DM$66,MATCH(0,COUNTIF($DN$4:DN52,$DM$6:$DM$66),0),1),"")</f>
        <v/>
      </c>
      <c r="DO53" s="277" t="str">
        <f>IF(AND('1.4 Analyse &amp; Synthese'!AG54=1,'1.4 Analyse &amp; Synthese'!F54="Werkzeug"),'1.4 Analyse &amp; Synthese'!I54&amp;CHAR(13)&amp;"("&amp;'(Codierung)'!$C$4&amp;" - "&amp;'1.4 Analyse &amp; Synthese'!C54&amp;")","")</f>
        <v/>
      </c>
      <c r="DP53" s="387" t="str">
        <f t="array" ref="DP53">_xlfn.IFNA(INDEX($DO$6:$DO$66,MATCH(0,COUNTIF($DP$4:DP52,$DO$6:$DO$66),0),1),"")</f>
        <v/>
      </c>
      <c r="DR53" s="277" t="str">
        <f>IF(AND('1.4 Analyse &amp; Synthese'!AH54=1,'1.4 Analyse &amp; Synthese'!F54="Empfehlung"),'1.4 Analyse &amp; Synthese'!I54&amp;CHAR(13)&amp;"("&amp;'(Codierung)'!$C$2&amp;" - "&amp;'1.4 Analyse &amp; Synthese'!C54&amp;")","")</f>
        <v/>
      </c>
      <c r="DS53" s="387" t="str">
        <f t="array" ref="DS53">_xlfn.IFNA(INDEX($DR$6:$DR$66,MATCH(0,COUNTIF($DS$4:DS52,$DR$6:$DR$66),0),1),"")</f>
        <v/>
      </c>
      <c r="DT53" s="277" t="str">
        <f>IF(AND('1.4 Analyse &amp; Synthese'!AH54=1,'1.4 Analyse &amp; Synthese'!F54="Methode"),'1.4 Analyse &amp; Synthese'!I54&amp;CHAR(13)&amp;"("&amp;'(Codierung)'!$C$3&amp;" - "&amp;'1.4 Analyse &amp; Synthese'!C54&amp;")","")</f>
        <v/>
      </c>
      <c r="DU53" s="387" t="str">
        <f t="array" ref="DU53">_xlfn.IFNA(INDEX($DT$6:$DT$66,MATCH(0,COUNTIF($DU$4:DU52,$DT$6:$DT$66),0),1),"")</f>
        <v/>
      </c>
      <c r="DV53" s="277" t="str">
        <f>IF(AND('1.4 Analyse &amp; Synthese'!AH54=1,'1.4 Analyse &amp; Synthese'!F54="Werkzeug"),'1.4 Analyse &amp; Synthese'!I54&amp;CHAR(13)&amp;"("&amp;'(Codierung)'!$C$4&amp;" - "&amp;'1.4 Analyse &amp; Synthese'!C54&amp;")","")</f>
        <v/>
      </c>
      <c r="DW53" s="387" t="str">
        <f t="array" ref="DW53">_xlfn.IFNA(INDEX($DV$6:$DV$66,MATCH(0,COUNTIF($DW$4:DW52,$DV$6:$DV$66),0),1),"")</f>
        <v/>
      </c>
      <c r="DY53" s="277" t="str">
        <f>IF(AND('1.4 Analyse &amp; Synthese'!AI54=1,'1.4 Analyse &amp; Synthese'!F54="Empfehlung"),'1.4 Analyse &amp; Synthese'!I54&amp;CHAR(13)&amp;"("&amp;'(Codierung)'!$C$2&amp;" - "&amp;'1.4 Analyse &amp; Synthese'!C54&amp;")","")</f>
        <v/>
      </c>
      <c r="DZ53" s="387" t="str">
        <f t="array" ref="DZ53">_xlfn.IFNA(INDEX($DY$6:$DY$66,MATCH(0,COUNTIF($DZ$4:DZ52,$DY$6:$DY$66),0),1),"")</f>
        <v/>
      </c>
      <c r="EA53" s="277" t="str">
        <f>IF(AND('1.4 Analyse &amp; Synthese'!AI54=1,'1.4 Analyse &amp; Synthese'!F54="Methode"),'1.4 Analyse &amp; Synthese'!I54&amp;CHAR(13)&amp;"("&amp;'(Codierung)'!$C$3&amp;" - "&amp;'1.4 Analyse &amp; Synthese'!C54&amp;")","")</f>
        <v/>
      </c>
      <c r="EB53" s="387" t="str">
        <f t="array" ref="EB53">_xlfn.IFNA(INDEX($EA$6:$EA$66,MATCH(0,COUNTIF($EB$4:EB52,$EA$6:$EA$66),0),1),"")</f>
        <v/>
      </c>
      <c r="EC53" s="277" t="str">
        <f>IF(AND('1.4 Analyse &amp; Synthese'!AI54=1,'1.4 Analyse &amp; Synthese'!F54="Werkzeug"),'1.4 Analyse &amp; Synthese'!I54&amp;CHAR(13)&amp;"("&amp;'(Codierung)'!$C$4&amp;" - "&amp;'1.4 Analyse &amp; Synthese'!C54&amp;")","")</f>
        <v/>
      </c>
      <c r="ED53" s="277" t="str">
        <f t="array" ref="ED53">_xlfn.IFNA(INDEX($EC$6:$EC$66,MATCH(0,COUNTIF($ED$4:ED52,$EC$6:$EC$66),0),1),"")</f>
        <v/>
      </c>
      <c r="EF53" s="277" t="str">
        <f>IF(AND('1.4 Analyse &amp; Synthese'!AJ54=1,'1.4 Analyse &amp; Synthese'!F54="Empfehlung"),'1.4 Analyse &amp; Synthese'!I54&amp;CHAR(13)&amp;"("&amp;'(Codierung)'!$C$2&amp;" - "&amp;'1.4 Analyse &amp; Synthese'!C54&amp;")","")</f>
        <v/>
      </c>
      <c r="EG53" s="277" t="str">
        <f t="array" ref="EG53">_xlfn.IFNA(INDEX($EF$6:$EF$66,MATCH(0,COUNTIF($EG$4:EG52,$EF$6:$EF$66),0),1),"")</f>
        <v/>
      </c>
      <c r="EH53" s="277" t="str">
        <f>IF(AND('1.4 Analyse &amp; Synthese'!AJ54=1,'1.4 Analyse &amp; Synthese'!F54="Methode"),'1.4 Analyse &amp; Synthese'!I54&amp;CHAR(13)&amp;"("&amp;'(Codierung)'!$C$3&amp;" - "&amp;'1.4 Analyse &amp; Synthese'!C54&amp;")","")</f>
        <v/>
      </c>
      <c r="EI53" s="387" t="str">
        <f t="array" ref="EI53">_xlfn.IFNA(INDEX($EH$6:$EH$66,MATCH(0,COUNTIF($EI$4:EI52,$EH$6:$EH$66),0),1),"")</f>
        <v/>
      </c>
      <c r="EJ53" s="277" t="str">
        <f>IF(AND('1.4 Analyse &amp; Synthese'!AJ54=1,'1.4 Analyse &amp; Synthese'!F54="Werkzeug"),'1.4 Analyse &amp; Synthese'!I54&amp;CHAR(13)&amp;"("&amp;'(Codierung)'!$C$4&amp;" - "&amp;'1.4 Analyse &amp; Synthese'!C54&amp;")","")</f>
        <v/>
      </c>
      <c r="EK53" s="387" t="str">
        <f t="array" ref="EK53">_xlfn.IFNA(INDEX($EJ$6:$EJ$66,MATCH(0,COUNTIF($EK$4:EK52,$EJ$6:$EJ$66),0),1),"")</f>
        <v/>
      </c>
      <c r="EN53" s="222" t="str">
        <f t="shared" si="60"/>
        <v/>
      </c>
      <c r="EO53" s="277" t="str">
        <f t="shared" si="61"/>
        <v/>
      </c>
      <c r="EP53" s="277" t="str">
        <f t="shared" si="62"/>
        <v/>
      </c>
      <c r="EQ53" s="277" t="str">
        <f>ZahlenInBereich(Tabelle1[[Empfehlung]:[Werkzeug]],ROW()-5)</f>
        <v/>
      </c>
      <c r="ER53" s="277" t="str">
        <f t="shared" si="63"/>
        <v/>
      </c>
      <c r="ES53" s="277" t="str">
        <f t="shared" si="64"/>
        <v/>
      </c>
      <c r="ET53" s="277" t="str">
        <f t="shared" si="65"/>
        <v/>
      </c>
      <c r="EU53" s="277" t="str">
        <f>ZahlenInBereich(Tabelle1[[Empfehlung2]:[Werkzeug4]],ROW()-5)</f>
        <v/>
      </c>
      <c r="EV53" s="277" t="str">
        <f t="shared" si="66"/>
        <v/>
      </c>
      <c r="EW53" s="277" t="str">
        <f t="shared" si="67"/>
        <v/>
      </c>
      <c r="EX53" s="277" t="str">
        <f t="shared" si="68"/>
        <v/>
      </c>
      <c r="EY53" s="277" t="str">
        <f>ZahlenInBereich(Tabelle1[[Empfehlung6]:[Werkzeug8]],ROW()-5)</f>
        <v/>
      </c>
      <c r="EZ53" s="277" t="str">
        <f t="shared" si="69"/>
        <v/>
      </c>
      <c r="FA53" s="277" t="str">
        <f t="shared" si="70"/>
        <v/>
      </c>
      <c r="FB53" s="277" t="str">
        <f t="shared" si="71"/>
        <v/>
      </c>
      <c r="FC53" s="277" t="str">
        <f>ZahlenInBereich(Tabelle1[[Empfehlung10]:[Werkzeug12]],ROW()-5)</f>
        <v/>
      </c>
      <c r="FD53" s="277" t="str">
        <f t="shared" si="72"/>
        <v/>
      </c>
      <c r="FE53" s="277" t="str">
        <f t="shared" si="73"/>
        <v/>
      </c>
      <c r="FF53" s="277" t="str">
        <f t="shared" si="74"/>
        <v/>
      </c>
      <c r="FG53" s="277" t="str">
        <f>ZahlenInBereich(Tabelle1[[Empfehlung14]:[Werkzeug16]],ROW()-5)</f>
        <v/>
      </c>
      <c r="FH53" s="277" t="str">
        <f t="shared" si="75"/>
        <v/>
      </c>
      <c r="FI53" s="277" t="str">
        <f t="shared" si="76"/>
        <v/>
      </c>
      <c r="FJ53" s="277" t="str">
        <f t="shared" si="77"/>
        <v/>
      </c>
      <c r="FK53" s="277" t="str">
        <f>ZahlenInBereich(Tabelle1[[Empfehlung18]:[Werkzeug20]],ROW()-5)</f>
        <v/>
      </c>
      <c r="FL53" s="277" t="str">
        <f t="shared" si="78"/>
        <v/>
      </c>
      <c r="FM53" s="277" t="str">
        <f t="shared" si="79"/>
        <v/>
      </c>
      <c r="FN53" s="277" t="str">
        <f t="shared" si="80"/>
        <v/>
      </c>
      <c r="FO53" s="277" t="str">
        <f>ZahlenInBereich(Tabelle1[[Empfehlung22]:[Werkzeug24]],ROW()-5)</f>
        <v/>
      </c>
      <c r="FP53" s="277" t="str">
        <f t="shared" si="81"/>
        <v/>
      </c>
      <c r="FQ53" s="277" t="str">
        <f t="shared" si="82"/>
        <v/>
      </c>
      <c r="FR53" s="277" t="str">
        <f t="shared" si="83"/>
        <v/>
      </c>
      <c r="FS53" s="277" t="str">
        <f>ZahlenInBereich(Tabelle1[[Empfehlung26]:[Werkzeug28]],ROW()-5)</f>
        <v/>
      </c>
      <c r="FT53" s="277" t="str">
        <f t="shared" si="84"/>
        <v/>
      </c>
      <c r="FU53" s="277" t="str">
        <f t="shared" si="85"/>
        <v/>
      </c>
      <c r="FV53" s="277" t="str">
        <f t="shared" si="86"/>
        <v/>
      </c>
      <c r="FW53" s="277" t="str">
        <f>ZahlenInBereich(Tabelle1[[Empfehlung30]:[Werkzeug32]],ROW()-5)</f>
        <v/>
      </c>
      <c r="FX53" s="277" t="str">
        <f t="shared" si="87"/>
        <v/>
      </c>
      <c r="FY53" s="277" t="str">
        <f t="shared" si="88"/>
        <v/>
      </c>
      <c r="FZ53" s="277" t="str">
        <f t="shared" si="89"/>
        <v/>
      </c>
      <c r="GA53" s="277" t="str">
        <f>ZahlenInBereich(Tabelle1[[Empfehlung34]:[Werkzeug36]],ROW()-5)</f>
        <v/>
      </c>
      <c r="GB53" s="277" t="str">
        <f t="shared" si="90"/>
        <v/>
      </c>
      <c r="GC53" s="277" t="str">
        <f t="shared" si="91"/>
        <v/>
      </c>
      <c r="GD53" s="277" t="str">
        <f t="shared" si="92"/>
        <v/>
      </c>
      <c r="GE53" s="277" t="str">
        <f>ZahlenInBereich(Tabelle1[[Empfehlung38]:[Werkzeug40]],ROW()-5)</f>
        <v/>
      </c>
      <c r="GF53" s="277" t="str">
        <f t="shared" si="93"/>
        <v/>
      </c>
      <c r="GG53" s="277" t="str">
        <f t="shared" si="94"/>
        <v/>
      </c>
      <c r="GH53" s="277" t="str">
        <f t="shared" si="95"/>
        <v/>
      </c>
      <c r="GI53" s="277" t="str">
        <f>ZahlenInBereich(Tabelle1[[Empfehlung42]:[Werkzeug44]],ROW()-5)</f>
        <v/>
      </c>
      <c r="GJ53" s="277" t="str">
        <f t="shared" si="96"/>
        <v/>
      </c>
      <c r="GK53" s="277" t="str">
        <f t="shared" si="97"/>
        <v/>
      </c>
      <c r="GL53" s="277" t="str">
        <f t="shared" si="98"/>
        <v/>
      </c>
      <c r="GM53" s="277" t="str">
        <f>ZahlenInBereich(Tabelle1[[Empfehlung46]:[Werkzeug48]],ROW()-5)</f>
        <v/>
      </c>
      <c r="GN53" s="277" t="str">
        <f t="shared" si="99"/>
        <v/>
      </c>
      <c r="GO53" s="277" t="str">
        <f t="shared" si="100"/>
        <v/>
      </c>
      <c r="GP53" s="277" t="str">
        <f t="shared" si="101"/>
        <v/>
      </c>
      <c r="GQ53" s="277" t="str">
        <f>ZahlenInBereich(Tabelle1[[Empfehlung50]:[Werkzeug52]],ROW()-5)</f>
        <v/>
      </c>
      <c r="GR53" s="277" t="str">
        <f t="shared" si="102"/>
        <v/>
      </c>
      <c r="GS53" s="277" t="str">
        <f t="shared" si="103"/>
        <v/>
      </c>
      <c r="GT53" s="277" t="str">
        <f t="shared" si="104"/>
        <v/>
      </c>
      <c r="GU53" s="277" t="str">
        <f>ZahlenInBereich(Tabelle1[[Empfehlung54]:[Werkzeug56]],ROW()-5)</f>
        <v/>
      </c>
      <c r="GV53" s="277" t="str">
        <f t="shared" si="105"/>
        <v/>
      </c>
      <c r="GW53" s="277" t="str">
        <f t="shared" si="106"/>
        <v/>
      </c>
      <c r="GX53" s="277" t="str">
        <f t="shared" si="107"/>
        <v/>
      </c>
      <c r="GY53" s="277" t="str">
        <f>ZahlenInBereich(Tabelle1[[Empfehlung58]:[Werkzeug60]],ROW()-5)</f>
        <v/>
      </c>
      <c r="GZ53" s="277" t="str">
        <f t="shared" si="108"/>
        <v/>
      </c>
      <c r="HA53" s="277" t="str">
        <f t="shared" si="109"/>
        <v/>
      </c>
      <c r="HB53" s="277" t="str">
        <f t="shared" si="110"/>
        <v/>
      </c>
      <c r="HC53" s="277" t="str">
        <f>ZahlenInBereich(Tabelle1[[Empfehlung62]:[Werkzeug64]],ROW()-5)</f>
        <v/>
      </c>
      <c r="HD53" s="277" t="str">
        <f t="shared" si="111"/>
        <v/>
      </c>
      <c r="HE53" s="277" t="str">
        <f t="shared" si="112"/>
        <v/>
      </c>
      <c r="HF53" s="277" t="str">
        <f t="shared" si="113"/>
        <v/>
      </c>
      <c r="HG53" s="277" t="str">
        <f>ZahlenInBereich(Tabelle1[[Empfehlung66]:[Werkzeug68]],ROW()-5)</f>
        <v/>
      </c>
      <c r="HH53" s="277" t="str">
        <f t="shared" si="114"/>
        <v/>
      </c>
      <c r="HI53" s="277" t="str">
        <f t="shared" si="115"/>
        <v/>
      </c>
      <c r="HJ53" s="277" t="str">
        <f t="shared" si="116"/>
        <v/>
      </c>
      <c r="HK53" s="277" t="str">
        <f>ZahlenInBereich(Tabelle1[[Empfehlung70]:[Werkzeug72]],ROW()-5)</f>
        <v/>
      </c>
      <c r="HL53" s="277" t="str">
        <f t="shared" si="117"/>
        <v/>
      </c>
      <c r="HM53" s="277" t="str">
        <f t="shared" si="118"/>
        <v/>
      </c>
      <c r="HN53" s="277" t="str">
        <f t="shared" si="119"/>
        <v/>
      </c>
      <c r="HO53" s="277" t="str">
        <f>ZahlenInBereich(Tabelle1[[Empfehlung74]:[Werkzeug76]],ROW()-5)</f>
        <v/>
      </c>
    </row>
    <row r="54" spans="2:223" x14ac:dyDescent="0.2">
      <c r="B54" s="135">
        <f>'1.4 Analyse &amp; Synthese'!B55</f>
        <v>0</v>
      </c>
      <c r="C54" s="277" t="str">
        <f>IF(AND('1.4 Analyse &amp; Synthese'!Q55=1,'1.4 Analyse &amp; Synthese'!F55="Empfehlung"),'1.4 Analyse &amp; Synthese'!I55&amp;CHAR(13)&amp;"("&amp;'(Codierung)'!$C$2&amp;" - "&amp;'1.4 Analyse &amp; Synthese'!C55&amp;")","")</f>
        <v/>
      </c>
      <c r="D54" s="222" t="str">
        <f t="array" ref="D54">_xlfn.IFNA(INDEX($C$6:$C$66,MATCH(0,COUNTIF($D$4:D53,$C$6:$C$66),0),1),"")</f>
        <v/>
      </c>
      <c r="E54" s="277" t="str">
        <f>IF(AND('1.4 Analyse &amp; Synthese'!Q55=1,'1.4 Analyse &amp; Synthese'!F55="Methode"),'1.4 Analyse &amp; Synthese'!I55&amp;CHAR(13)&amp;"("&amp;'(Codierung)'!$C$3&amp;" - "&amp;'1.4 Analyse &amp; Synthese'!C55&amp;")","")</f>
        <v/>
      </c>
      <c r="F54" s="387" t="str">
        <f t="array" ref="F54">_xlfn.IFNA(INDEX($E$6:$E$66,MATCH(0,COUNTIF($F$4:F53,$E$6:$E$66),0),1),"")</f>
        <v/>
      </c>
      <c r="G54" s="277" t="str">
        <f>IF(AND('1.4 Analyse &amp; Synthese'!Q55=1,'1.4 Analyse &amp; Synthese'!F55="Werkzeug"),'1.4 Analyse &amp; Synthese'!I55&amp;CHAR(13)&amp;"("&amp;'(Codierung)'!$C$4&amp;" - "&amp;'1.4 Analyse &amp; Synthese'!C55&amp;")","")</f>
        <v/>
      </c>
      <c r="H54" s="387" t="str">
        <f t="array" ref="H54">_xlfn.IFNA(INDEX($G$6:$G$66,MATCH(0,COUNTIF($H$4:H53,$G$6:$G$66),0),1),"")</f>
        <v/>
      </c>
      <c r="J54" s="277" t="str">
        <f>IF(AND('1.4 Analyse &amp; Synthese'!R55=1,'1.4 Analyse &amp; Synthese'!F55="Empfehlung"),'1.4 Analyse &amp; Synthese'!I55&amp;CHAR(13)&amp;"("&amp;'(Codierung)'!$C$2&amp;" - "&amp;'1.4 Analyse &amp; Synthese'!C55&amp;")","")</f>
        <v/>
      </c>
      <c r="K54" s="387" t="str">
        <f t="array" ref="K54">_xlfn.IFNA(INDEX($J$6:$J$66,MATCH(0,COUNTIF($K$4:K53,$J$6:$J$66),0),1),"")</f>
        <v/>
      </c>
      <c r="L54" s="277" t="str">
        <f>IF(AND('1.4 Analyse &amp; Synthese'!R55=1,'1.4 Analyse &amp; Synthese'!F55="Methode"),'1.4 Analyse &amp; Synthese'!I55&amp;CHAR(13)&amp;"("&amp;'(Codierung)'!$C$3&amp;" - "&amp;'1.4 Analyse &amp; Synthese'!C55&amp;")","")</f>
        <v/>
      </c>
      <c r="M54" s="387" t="str">
        <f t="array" ref="M54">_xlfn.IFNA(INDEX($L$6:$L$66,MATCH(0,COUNTIF($M$4:M53,$L$6:$L$66),0),1),"")</f>
        <v/>
      </c>
      <c r="N54" s="277" t="str">
        <f>IF(AND('1.4 Analyse &amp; Synthese'!R55=1,'1.4 Analyse &amp; Synthese'!F55="Werkzeug"),'1.4 Analyse &amp; Synthese'!I55&amp;CHAR(13)&amp;"("&amp;'(Codierung)'!$C$4&amp;" - "&amp;'1.4 Analyse &amp; Synthese'!C55&amp;")","")</f>
        <v/>
      </c>
      <c r="O54" s="387" t="str">
        <f t="array" ref="O54">_xlfn.IFNA(INDEX($N$6:$N$66,MATCH(0,COUNTIF($O$4:O53,$N$6:$N$66),0),1),"")</f>
        <v/>
      </c>
      <c r="Q54" s="277" t="str">
        <f>IF(AND('1.4 Analyse &amp; Synthese'!S55=1,'1.4 Analyse &amp; Synthese'!F55="Empfehlung"),'1.4 Analyse &amp; Synthese'!I55&amp;CHAR(13)&amp;"("&amp;'(Codierung)'!$C$2&amp;" - "&amp;'1.4 Analyse &amp; Synthese'!C55&amp;")","")</f>
        <v/>
      </c>
      <c r="R54" s="387" t="str">
        <f t="array" ref="R54">_xlfn.IFNA(INDEX($Q$6:$Q$66,MATCH(0,COUNTIF($R$4:R53,$Q$6:$Q$66),0),1),"")</f>
        <v/>
      </c>
      <c r="S54" s="277" t="str">
        <f>IF(AND('1.4 Analyse &amp; Synthese'!S55=1,'1.4 Analyse &amp; Synthese'!F55="Methode"),'1.4 Analyse &amp; Synthese'!I55&amp;CHAR(13)&amp;"("&amp;'(Codierung)'!$C$3&amp;" - "&amp;'1.4 Analyse &amp; Synthese'!C55&amp;")","")</f>
        <v/>
      </c>
      <c r="T54" s="387" t="str">
        <f t="array" ref="T54">_xlfn.IFNA(INDEX($S$6:$S$66,MATCH(0,COUNTIF($T$4:T53,$S$6:$S$66),0),1),"")</f>
        <v/>
      </c>
      <c r="U54" s="277" t="str">
        <f>IF(AND('1.4 Analyse &amp; Synthese'!S55=1,'1.4 Analyse &amp; Synthese'!F55="Werkzeug"),'1.4 Analyse &amp; Synthese'!I55&amp;CHAR(13)&amp;"("&amp;'(Codierung)'!$C$4&amp;" - "&amp;'1.4 Analyse &amp; Synthese'!C55&amp;")","")</f>
        <v/>
      </c>
      <c r="V54" s="387" t="str">
        <f t="array" ref="V54">_xlfn.IFNA(INDEX($U$6:$U$66,MATCH(0,COUNTIF($V$4:V53,$U$6:$U$66),0),1),"")</f>
        <v/>
      </c>
      <c r="X54" s="277" t="str">
        <f>IF(AND('1.4 Analyse &amp; Synthese'!T55=1,'1.4 Analyse &amp; Synthese'!F55="Empfehlung"),'1.4 Analyse &amp; Synthese'!I55&amp;CHAR(13)&amp;"("&amp;'(Codierung)'!$C$2&amp;" - "&amp;'1.4 Analyse &amp; Synthese'!C55&amp;")","")</f>
        <v/>
      </c>
      <c r="Y54" s="387" t="str">
        <f t="array" ref="Y54">_xlfn.IFNA(INDEX($X$6:$X$66,MATCH(0,COUNTIF($Y$4:Y53,$X$6:$X$66),0),1),"")</f>
        <v/>
      </c>
      <c r="Z54" s="277" t="str">
        <f>IF(AND('1.4 Analyse &amp; Synthese'!T55=1,'1.4 Analyse &amp; Synthese'!F55="Methode"),'1.4 Analyse &amp; Synthese'!I55&amp;CHAR(13)&amp;"("&amp;'(Codierung)'!$C$3&amp;" - "&amp;'1.4 Analyse &amp; Synthese'!C55&amp;")","")</f>
        <v/>
      </c>
      <c r="AA54" s="387" t="str">
        <f t="array" ref="AA54">_xlfn.IFNA(INDEX($Z$6:$Z$66,MATCH(0,COUNTIF($AA$4:AA53,$Z$6:$Z$66),0),1),"")</f>
        <v/>
      </c>
      <c r="AB54" s="277" t="str">
        <f>IF(AND('1.4 Analyse &amp; Synthese'!T55=1,'1.4 Analyse &amp; Synthese'!F55="Werkzeug"),'1.4 Analyse &amp; Synthese'!I55&amp;CHAR(13)&amp;"("&amp;'(Codierung)'!$C$4&amp;" - "&amp;'1.4 Analyse &amp; Synthese'!C55&amp;")","")</f>
        <v/>
      </c>
      <c r="AC54" s="387" t="str">
        <f t="array" ref="AC54">_xlfn.IFNA(INDEX($AB$6:$AB$66,MATCH(0,COUNTIF($AC$4:AC53,$AB$6:$AB$66),0),1),"")</f>
        <v/>
      </c>
      <c r="AE54" s="277" t="str">
        <f>IF(AND('1.4 Analyse &amp; Synthese'!U55=1,'1.4 Analyse &amp; Synthese'!F55="Empfehlung"),'1.4 Analyse &amp; Synthese'!I55&amp;CHAR(13)&amp;"("&amp;'(Codierung)'!$C$2&amp;" - "&amp;'1.4 Analyse &amp; Synthese'!C55&amp;")","")</f>
        <v/>
      </c>
      <c r="AF54" s="387" t="str">
        <f t="array" ref="AF54">_xlfn.IFNA(INDEX($AE$6:$AE$66,MATCH(0,COUNTIF($AF$4:AF53,$AE$6:$AE$66),0),1),"")</f>
        <v/>
      </c>
      <c r="AG54" s="277" t="str">
        <f>IF(AND('1.4 Analyse &amp; Synthese'!U55=1,'1.4 Analyse &amp; Synthese'!F55="Methode"),'1.4 Analyse &amp; Synthese'!I55&amp;CHAR(13)&amp;"("&amp;'(Codierung)'!$C$3&amp;" - "&amp;'1.4 Analyse &amp; Synthese'!C55&amp;")","")</f>
        <v/>
      </c>
      <c r="AH54" s="387" t="str">
        <f t="array" ref="AH54">_xlfn.IFNA(INDEX($AG$6:$AG$66,MATCH(0,COUNTIF($AH$4:AH53,$AG$6:$AG$66),0),1),"")</f>
        <v/>
      </c>
      <c r="AI54" s="277" t="str">
        <f>IF(AND('1.4 Analyse &amp; Synthese'!U55=1,'1.4 Analyse &amp; Synthese'!F55="Werkzeug"),'1.4 Analyse &amp; Synthese'!I55&amp;CHAR(13)&amp;"("&amp;'(Codierung)'!$C$4&amp;" - "&amp;'1.4 Analyse &amp; Synthese'!C55&amp;")","")</f>
        <v/>
      </c>
      <c r="AJ54" s="387" t="str">
        <f t="array" ref="AJ54">_xlfn.IFNA(INDEX($AI$6:$AI$66,MATCH(0,COUNTIF($AJ$4:AJ53,$AI$6:$AI$66),0),1),"")</f>
        <v/>
      </c>
      <c r="AL54" s="277" t="str">
        <f>IF(AND('1.4 Analyse &amp; Synthese'!V55=1,'1.4 Analyse &amp; Synthese'!F55="Empfehlung"),'1.4 Analyse &amp; Synthese'!I55&amp;CHAR(13)&amp;"("&amp;'(Codierung)'!$C$2&amp;" - "&amp;'1.4 Analyse &amp; Synthese'!C55&amp;")","")</f>
        <v/>
      </c>
      <c r="AM54" s="387" t="str">
        <f t="array" ref="AM54">_xlfn.IFNA(INDEX($AL$6:$AL$66,MATCH(0,COUNTIF($AM$4:AM53,$AL$6:$AL$66),0),1),"")</f>
        <v/>
      </c>
      <c r="AN54" s="277" t="str">
        <f>IF(AND('1.4 Analyse &amp; Synthese'!V55=1,'1.4 Analyse &amp; Synthese'!F55="Methode"),'1.4 Analyse &amp; Synthese'!I55&amp;CHAR(13)&amp;"("&amp;'(Codierung)'!$C$3&amp;" - "&amp;'1.4 Analyse &amp; Synthese'!C55&amp;")","")</f>
        <v/>
      </c>
      <c r="AO54" s="387" t="str">
        <f t="array" ref="AO54">_xlfn.IFNA(INDEX($AN$6:$AN$66,MATCH(0,COUNTIF($AO$4:AO53,$AN$6:$AN$66),0),1),"")</f>
        <v/>
      </c>
      <c r="AP54" s="277" t="str">
        <f>IF(AND('1.4 Analyse &amp; Synthese'!V55=1,'1.4 Analyse &amp; Synthese'!F55="Werkzeug"),'1.4 Analyse &amp; Synthese'!I55&amp;CHAR(13)&amp;"("&amp;'(Codierung)'!$C$4&amp;" - "&amp;'1.4 Analyse &amp; Synthese'!C55&amp;")","")</f>
        <v/>
      </c>
      <c r="AQ54" s="387" t="str">
        <f t="array" ref="AQ54">_xlfn.IFNA(INDEX($AP$6:$AP$66,MATCH(0,COUNTIF($AQ$4:AQ53,$AP$6:$AP$66),0),1),"")</f>
        <v/>
      </c>
      <c r="AS54" s="277" t="str">
        <f>IF(AND('1.4 Analyse &amp; Synthese'!W55=1,'1.4 Analyse &amp; Synthese'!F55="Empfehlung"),'1.4 Analyse &amp; Synthese'!I55&amp;CHAR(13)&amp;"("&amp;'(Codierung)'!$C$2&amp;" - "&amp;'1.4 Analyse &amp; Synthese'!C55&amp;")","")</f>
        <v/>
      </c>
      <c r="AT54" s="387" t="str">
        <f t="array" ref="AT54">_xlfn.IFNA(INDEX($AS$6:$AS$66,MATCH(0,COUNTIF($AT$4:AT53,$AS$6:$AS$66),0),1),"")</f>
        <v/>
      </c>
      <c r="AU54" s="277" t="str">
        <f>IF(AND('1.4 Analyse &amp; Synthese'!W55=1,'1.4 Analyse &amp; Synthese'!F55="Methode"),'1.4 Analyse &amp; Synthese'!I55&amp;CHAR(13)&amp;"("&amp;'(Codierung)'!$C$3&amp;" - "&amp;'1.4 Analyse &amp; Synthese'!C55&amp;")","")</f>
        <v/>
      </c>
      <c r="AV54" s="387" t="str">
        <f t="array" ref="AV54">_xlfn.IFNA(INDEX($AU$6:$AU$66,MATCH(0,COUNTIF($AV$4:AV53,$AU$6:$AU$66),0),1),"")</f>
        <v/>
      </c>
      <c r="AW54" s="277" t="str">
        <f>IF(AND('1.4 Analyse &amp; Synthese'!W55=1,'1.4 Analyse &amp; Synthese'!F55="Werkzeug"),'1.4 Analyse &amp; Synthese'!I55&amp;CHAR(13)&amp;"("&amp;'(Codierung)'!$C$4&amp;" - "&amp;'1.4 Analyse &amp; Synthese'!C55&amp;")","")</f>
        <v/>
      </c>
      <c r="AX54" s="387" t="str">
        <f t="array" ref="AX54">_xlfn.IFNA(INDEX($AW$6:$AW$66,MATCH(0,COUNTIF($AX$4:AX53,$AW$6:$AW$66),0),1),"")</f>
        <v/>
      </c>
      <c r="AZ54" s="277" t="str">
        <f>IF(AND('1.4 Analyse &amp; Synthese'!X55=1,'1.4 Analyse &amp; Synthese'!F55="Empfehlung"),'1.4 Analyse &amp; Synthese'!I55&amp;CHAR(13)&amp;"("&amp;'(Codierung)'!$C$2&amp;" - "&amp;'1.4 Analyse &amp; Synthese'!C55&amp;")","")</f>
        <v/>
      </c>
      <c r="BA54" s="387" t="str">
        <f t="array" ref="BA54">_xlfn.IFNA(INDEX($AZ$6:$AZ$66,MATCH(0,COUNTIF($BA$4:BA53,$AZ$6:$AZ$66),0),1),"")</f>
        <v/>
      </c>
      <c r="BB54" s="277" t="str">
        <f>IF(AND('1.4 Analyse &amp; Synthese'!X55=1,'1.4 Analyse &amp; Synthese'!F55="Methode"),'1.4 Analyse &amp; Synthese'!I55&amp;CHAR(13)&amp;"("&amp;'(Codierung)'!$C$3&amp;" - "&amp;'1.4 Analyse &amp; Synthese'!C55&amp;")","")</f>
        <v/>
      </c>
      <c r="BC54" s="387" t="str">
        <f t="array" ref="BC54">_xlfn.IFNA(INDEX($BB$6:$BB$66,MATCH(0,COUNTIF($BC$4:BC53,$BB$6:$BB$66),0),1),"")</f>
        <v/>
      </c>
      <c r="BD54" s="277" t="str">
        <f>IF(AND('1.4 Analyse &amp; Synthese'!X55=1,'1.4 Analyse &amp; Synthese'!F55="Werkzeug"),'1.4 Analyse &amp; Synthese'!I55&amp;CHAR(13)&amp;"("&amp;'(Codierung)'!$C$4&amp;" - "&amp;'1.4 Analyse &amp; Synthese'!C55&amp;")","")</f>
        <v/>
      </c>
      <c r="BE54" s="387" t="str">
        <f t="array" ref="BE54">_xlfn.IFNA(INDEX($BD$6:$BD$66,MATCH(0,COUNTIF($BE$4:BE53,$BD$6:$BD$66),0),1),"")</f>
        <v/>
      </c>
      <c r="BG54" s="277" t="str">
        <f>IF(AND('1.4 Analyse &amp; Synthese'!Y55=1,'1.4 Analyse &amp; Synthese'!F55="Empfehlung"),'1.4 Analyse &amp; Synthese'!I55&amp;CHAR(13)&amp;"("&amp;'(Codierung)'!$C$2&amp;" - "&amp;'1.4 Analyse &amp; Synthese'!C55&amp;")","")</f>
        <v/>
      </c>
      <c r="BH54" s="387" t="str">
        <f t="array" ref="BH54">_xlfn.IFNA(INDEX($BG$6:$BG$66,MATCH(0,COUNTIF($BH$4:BH53,$BG$6:$BG$66),0),1),"")</f>
        <v/>
      </c>
      <c r="BI54" s="277" t="str">
        <f>IF(AND('1.4 Analyse &amp; Synthese'!Y55=1,'1.4 Analyse &amp; Synthese'!F55="Methode"),'1.4 Analyse &amp; Synthese'!I55&amp;CHAR(13)&amp;"("&amp;'(Codierung)'!$C$3&amp;" - "&amp;'1.4 Analyse &amp; Synthese'!C55&amp;")","")</f>
        <v/>
      </c>
      <c r="BJ54" s="387" t="str">
        <f t="array" ref="BJ54">_xlfn.IFNA(INDEX($BI$6:$BI$66,MATCH(0,COUNTIF($BJ$4:BJ53,$BI$6:$BI$66),0),1),"")</f>
        <v/>
      </c>
      <c r="BK54" s="277" t="str">
        <f>IF(AND('1.4 Analyse &amp; Synthese'!Y55=1,'1.4 Analyse &amp; Synthese'!F55="Werkzeug"),'1.4 Analyse &amp; Synthese'!I55&amp;CHAR(13)&amp;"("&amp;'(Codierung)'!$C$4&amp;" - "&amp;'1.4 Analyse &amp; Synthese'!C55&amp;")","")</f>
        <v/>
      </c>
      <c r="BL54" s="387" t="str">
        <f t="array" ref="BL54">_xlfn.IFNA(INDEX($BK$6:$BK$66,MATCH(0,COUNTIF($BL$4:BL53,$BK$6:$BK$66),0),1),"")</f>
        <v/>
      </c>
      <c r="BN54" s="277" t="str">
        <f>IF(AND('1.4 Analyse &amp; Synthese'!Z55=1,'1.4 Analyse &amp; Synthese'!F55="Empfehlung"),'1.4 Analyse &amp; Synthese'!I55&amp;CHAR(13)&amp;"("&amp;'(Codierung)'!$C$2&amp;" - "&amp;'1.4 Analyse &amp; Synthese'!C55&amp;")","")</f>
        <v/>
      </c>
      <c r="BO54" s="387" t="str">
        <f t="array" ref="BO54">_xlfn.IFNA(INDEX($BN$6:$BN$66,MATCH(0,COUNTIF($BO$4:BO53,$BN$6:$BN$66),0),1),"")</f>
        <v/>
      </c>
      <c r="BP54" s="277" t="str">
        <f>IF(AND('1.4 Analyse &amp; Synthese'!Z55=1,'1.4 Analyse &amp; Synthese'!F55="Methode"),'1.4 Analyse &amp; Synthese'!I55&amp;CHAR(13)&amp;"("&amp;'(Codierung)'!$C$3&amp;" - "&amp;'1.4 Analyse &amp; Synthese'!C55&amp;")","")</f>
        <v/>
      </c>
      <c r="BQ54" s="387" t="str">
        <f t="array" ref="BQ54">_xlfn.IFNA(INDEX($BP$6:$BP$66,MATCH(0,COUNTIF($BQ$4:BQ53,$BP$6:$BP$66),0),1),"")</f>
        <v/>
      </c>
      <c r="BR54" s="277" t="str">
        <f>IF(AND('1.4 Analyse &amp; Synthese'!Z55=1,'1.4 Analyse &amp; Synthese'!F55="Werkzeug"),'1.4 Analyse &amp; Synthese'!I55&amp;CHAR(13)&amp;"("&amp;'(Codierung)'!$C$4&amp;" - "&amp;'1.4 Analyse &amp; Synthese'!C55&amp;")","")</f>
        <v/>
      </c>
      <c r="BS54" s="387" t="str">
        <f t="array" ref="BS54">_xlfn.IFNA(INDEX($BR$6:$BR$66,MATCH(0,COUNTIF($BS$4:BS53,$BR$6:$BR$66),0),1),"")</f>
        <v/>
      </c>
      <c r="BU54" s="277" t="str">
        <f>IF(AND('1.4 Analyse &amp; Synthese'!AA55=1,'1.4 Analyse &amp; Synthese'!F55="Empfehlung"),'1.4 Analyse &amp; Synthese'!I55&amp;CHAR(13)&amp;"("&amp;'(Codierung)'!$C$2&amp;" - "&amp;'1.4 Analyse &amp; Synthese'!C55&amp;")","")</f>
        <v/>
      </c>
      <c r="BV54" s="387" t="str">
        <f t="array" ref="BV54">_xlfn.IFNA(INDEX($BU$6:$BU$66,MATCH(0,COUNTIF($BV$4:BV53,$BU$6:$BU$66),0),1),"")</f>
        <v/>
      </c>
      <c r="BW54" s="277" t="str">
        <f>IF(AND('1.4 Analyse &amp; Synthese'!AA55=1,'1.4 Analyse &amp; Synthese'!F55="Methode"),'1.4 Analyse &amp; Synthese'!I55&amp;CHAR(13)&amp;"("&amp;'(Codierung)'!$C$3&amp;" - "&amp;'1.4 Analyse &amp; Synthese'!C55&amp;")","")</f>
        <v/>
      </c>
      <c r="BX54" s="387" t="str">
        <f t="array" ref="BX54">_xlfn.IFNA(INDEX($BW$6:$BW$66,MATCH(0,COUNTIF($BX$4:BX53,$BW$6:$BW$66),0),1),"")</f>
        <v/>
      </c>
      <c r="BY54" s="277" t="str">
        <f>IF(AND('1.4 Analyse &amp; Synthese'!AA55=1,'1.4 Analyse &amp; Synthese'!F55="Werkzeug"),'1.4 Analyse &amp; Synthese'!I55&amp;CHAR(13)&amp;"("&amp;'(Codierung)'!$C$4&amp;" - "&amp;'1.4 Analyse &amp; Synthese'!C55&amp;")","")</f>
        <v/>
      </c>
      <c r="BZ54" s="387" t="str">
        <f t="array" ref="BZ54">_xlfn.IFNA(INDEX($BY$6:$BY$66,MATCH(0,COUNTIF($BZ$4:BZ53,$BY$6:$BY$66),0),1),"")</f>
        <v/>
      </c>
      <c r="CB54" s="277" t="str">
        <f>IF(AND('1.4 Analyse &amp; Synthese'!AB55=1,'1.4 Analyse &amp; Synthese'!F55="Empfehlung"),'1.4 Analyse &amp; Synthese'!I55&amp;CHAR(13)&amp;"("&amp;'(Codierung)'!$C$2&amp;" - "&amp;'1.4 Analyse &amp; Synthese'!C55&amp;")","")</f>
        <v/>
      </c>
      <c r="CC54" s="387" t="str">
        <f t="array" ref="CC54">_xlfn.IFNA(INDEX($CB$6:$CB$66,MATCH(0,COUNTIF($CC$4:CC53,$CB$6:$CB$66),0),1),"")</f>
        <v/>
      </c>
      <c r="CD54" s="277" t="str">
        <f>IF(AND('1.4 Analyse &amp; Synthese'!AB55=1,'1.4 Analyse &amp; Synthese'!F55="Methode"),'1.4 Analyse &amp; Synthese'!I55&amp;CHAR(13)&amp;"("&amp;'(Codierung)'!$C$3&amp;" - "&amp;'1.4 Analyse &amp; Synthese'!C55&amp;")","")</f>
        <v/>
      </c>
      <c r="CE54" s="387" t="str">
        <f t="array" ref="CE54">_xlfn.IFNA(INDEX($CD$6:$CD$66,MATCH(0,COUNTIF($CE$4:CE53,$CD$6:$CD$66),0),1),"")</f>
        <v/>
      </c>
      <c r="CF54" s="277" t="str">
        <f>IF(AND('1.4 Analyse &amp; Synthese'!AB55=1,'1.4 Analyse &amp; Synthese'!F55="Werkzeug"),'1.4 Analyse &amp; Synthese'!I55&amp;CHAR(13)&amp;"("&amp;'(Codierung)'!$C$4&amp;" - "&amp;'1.4 Analyse &amp; Synthese'!C55&amp;")","")</f>
        <v/>
      </c>
      <c r="CG54" s="387" t="str">
        <f t="array" ref="CG54">_xlfn.IFNA(INDEX($CF$6:$CF$66,MATCH(0,COUNTIF($CG$4:CG53,$CF$6:$CF$66),0),1),"")</f>
        <v/>
      </c>
      <c r="CI54" s="277" t="str">
        <f>IF(AND('1.4 Analyse &amp; Synthese'!AC55=1,'1.4 Analyse &amp; Synthese'!F55="Empfehlung"),'1.4 Analyse &amp; Synthese'!I55&amp;CHAR(13)&amp;"("&amp;'(Codierung)'!$C$2&amp;" - "&amp;'1.4 Analyse &amp; Synthese'!C55&amp;")","")</f>
        <v/>
      </c>
      <c r="CJ54" s="387" t="str">
        <f t="array" ref="CJ54">_xlfn.IFNA(INDEX($CI$6:$CI$66,MATCH(0,COUNTIF($CJ$4:CJ53,$CI$6:$CI$66),0),1),"")</f>
        <v/>
      </c>
      <c r="CK54" s="277" t="str">
        <f>IF(AND('1.4 Analyse &amp; Synthese'!AC55=1,'1.4 Analyse &amp; Synthese'!F55="Methode"),'1.4 Analyse &amp; Synthese'!I55&amp;CHAR(13)&amp;"("&amp;'(Codierung)'!$C$3&amp;" - "&amp;'1.4 Analyse &amp; Synthese'!C55&amp;")","")</f>
        <v/>
      </c>
      <c r="CL54" s="387" t="str">
        <f t="array" ref="CL54">_xlfn.IFNA(INDEX($CK$6:$CK$66,MATCH(0,COUNTIF($CL$4:CL53,$CK$6:$CK$66),0),1),"")</f>
        <v/>
      </c>
      <c r="CM54" s="277" t="str">
        <f>IF(AND('1.4 Analyse &amp; Synthese'!AC55=1,'1.4 Analyse &amp; Synthese'!F55="Werkzeug"),'1.4 Analyse &amp; Synthese'!I55&amp;CHAR(13)&amp;"("&amp;'(Codierung)'!$C$4&amp;" - "&amp;'1.4 Analyse &amp; Synthese'!C55&amp;")","")</f>
        <v/>
      </c>
      <c r="CN54" s="387" t="str">
        <f t="array" ref="CN54">_xlfn.IFNA(INDEX($CM$6:$CM$66,MATCH(0,COUNTIF($CN$4:CN53,$CM$6:$CM$66),0),1),"")</f>
        <v/>
      </c>
      <c r="CP54" s="277" t="str">
        <f>IF(AND('1.4 Analyse &amp; Synthese'!AD55=1,'1.4 Analyse &amp; Synthese'!F55="Empfehlung"),'1.4 Analyse &amp; Synthese'!I55&amp;CHAR(13)&amp;"("&amp;'(Codierung)'!$C$2&amp;" - "&amp;'1.4 Analyse &amp; Synthese'!C55&amp;")","")</f>
        <v/>
      </c>
      <c r="CQ54" s="387" t="str">
        <f t="array" ref="CQ54">_xlfn.IFNA(INDEX($CP$6:$CP$66,MATCH(0,COUNTIF($CQ$4:CQ53,$CP$6:$CP$66),0),1),"")</f>
        <v/>
      </c>
      <c r="CR54" s="277" t="str">
        <f>IF(AND('1.4 Analyse &amp; Synthese'!AD55=1,'1.4 Analyse &amp; Synthese'!F55="Methode"),'1.4 Analyse &amp; Synthese'!I55&amp;CHAR(13)&amp;"("&amp;'(Codierung)'!$C$3&amp;" - "&amp;'1.4 Analyse &amp; Synthese'!C55&amp;")","")</f>
        <v/>
      </c>
      <c r="CS54" s="387" t="str">
        <f t="array" ref="CS54">_xlfn.IFNA(INDEX($CR$6:$CR$66,MATCH(0,COUNTIF($CS$4:CS53,$CR$6:$CR$66),0),1),"")</f>
        <v/>
      </c>
      <c r="CT54" s="277" t="str">
        <f>IF(AND('1.4 Analyse &amp; Synthese'!AD55=1,'1.4 Analyse &amp; Synthese'!F55="Werkzeug"),'1.4 Analyse &amp; Synthese'!I55&amp;CHAR(13)&amp;"("&amp;'(Codierung)'!$C$4&amp;" - "&amp;'1.4 Analyse &amp; Synthese'!C55&amp;")","")</f>
        <v/>
      </c>
      <c r="CU54" s="387" t="str">
        <f t="array" ref="CU54">_xlfn.IFNA(INDEX($CT$6:$CT$66,MATCH(0,COUNTIF($CU$4:CU53,$CT$6:$CT$66),0),1),"")</f>
        <v/>
      </c>
      <c r="CW54" s="277" t="str">
        <f>IF(AND('1.4 Analyse &amp; Synthese'!AE55=1,'1.4 Analyse &amp; Synthese'!F55="Empfehlung"),'1.4 Analyse &amp; Synthese'!I55&amp;CHAR(13)&amp;"("&amp;'(Codierung)'!$C$2&amp;" - "&amp;'1.4 Analyse &amp; Synthese'!C55&amp;")","")</f>
        <v/>
      </c>
      <c r="CX54" s="387" t="str">
        <f t="array" ref="CX54">_xlfn.IFNA(INDEX($CW$6:$CW$66,MATCH(0,COUNTIF($CX$4:CX53,$CW$6:$CW$66),0),1),"")</f>
        <v/>
      </c>
      <c r="CY54" s="277" t="str">
        <f>IF(AND('1.4 Analyse &amp; Synthese'!AE55=1,'1.4 Analyse &amp; Synthese'!F55="Methode"),'1.4 Analyse &amp; Synthese'!I55&amp;CHAR(13)&amp;"("&amp;'(Codierung)'!$C$3&amp;" - "&amp;'1.4 Analyse &amp; Synthese'!C55&amp;")","")</f>
        <v/>
      </c>
      <c r="CZ54" s="387" t="str">
        <f t="array" ref="CZ54">_xlfn.IFNA(INDEX($CY$6:$CY$66,MATCH(0,COUNTIF($CZ$4:CZ53,$CY$6:$CY$66),0),1),"")</f>
        <v/>
      </c>
      <c r="DA54" s="277" t="str">
        <f>IF(AND('1.4 Analyse &amp; Synthese'!AE55=1,'1.4 Analyse &amp; Synthese'!F55="Werkzeug"),'1.4 Analyse &amp; Synthese'!I55&amp;CHAR(13)&amp;"("&amp;'(Codierung)'!$C$4&amp;" - "&amp;'1.4 Analyse &amp; Synthese'!C55&amp;")","")</f>
        <v/>
      </c>
      <c r="DB54" s="387" t="str">
        <f t="array" ref="DB54">_xlfn.IFNA(INDEX($DA$6:$DA$66,MATCH(0,COUNTIF($DB$4:DB53,$DA$6:$DA$66),0),1),"")</f>
        <v/>
      </c>
      <c r="DD54" s="277" t="str">
        <f>IF(AND('1.4 Analyse &amp; Synthese'!AF55=1,'1.4 Analyse &amp; Synthese'!F55="Empfehlung"),'1.4 Analyse &amp; Synthese'!I55&amp;CHAR(13)&amp;"("&amp;'(Codierung)'!$C$2&amp;" - "&amp;'1.4 Analyse &amp; Synthese'!C55&amp;")","")</f>
        <v/>
      </c>
      <c r="DE54" s="387" t="str">
        <f t="array" ref="DE54">_xlfn.IFNA(INDEX($DD$6:$DD$66,MATCH(0,COUNTIF($DE$4:DE53,$DD$6:$DD$66),0),1),"")</f>
        <v/>
      </c>
      <c r="DF54" s="277" t="str">
        <f>IF(AND('1.4 Analyse &amp; Synthese'!AF55=1,'1.4 Analyse &amp; Synthese'!F55="Methode"),'1.4 Analyse &amp; Synthese'!I55&amp;CHAR(13)&amp;"("&amp;'(Codierung)'!$C$3&amp;" - "&amp;'1.4 Analyse &amp; Synthese'!C55&amp;")","")</f>
        <v/>
      </c>
      <c r="DG54" s="387" t="str">
        <f t="array" ref="DG54">_xlfn.IFNA(INDEX($DF$6:$DF$66,MATCH(0,COUNTIF($DG$4:DG53,$DF$6:$DF$66),0),1),"")</f>
        <v/>
      </c>
      <c r="DH54" s="277" t="str">
        <f>IF(AND('1.4 Analyse &amp; Synthese'!AF55=1,'1.4 Analyse &amp; Synthese'!F55="Werkzeug"),'1.4 Analyse &amp; Synthese'!I55&amp;CHAR(13)&amp;"("&amp;'(Codierung)'!$C$4&amp;" - "&amp;'1.4 Analyse &amp; Synthese'!C55&amp;")","")</f>
        <v/>
      </c>
      <c r="DI54" s="387" t="str">
        <f t="array" ref="DI54">_xlfn.IFNA(INDEX($DH$6:$DH$66,MATCH(0,COUNTIF($DI$4:DI53,$DH$6:$DH$66),0),1),"")</f>
        <v/>
      </c>
      <c r="DK54" s="277" t="str">
        <f>IF(AND('1.4 Analyse &amp; Synthese'!AG55=1,'1.4 Analyse &amp; Synthese'!F55="Empfehlung"),'1.4 Analyse &amp; Synthese'!I55&amp;CHAR(13)&amp;"("&amp;'(Codierung)'!$C$2&amp;" - "&amp;'1.4 Analyse &amp; Synthese'!C55&amp;")","")</f>
        <v/>
      </c>
      <c r="DL54" s="387" t="str">
        <f t="array" ref="DL54">_xlfn.IFNA(INDEX($DK$6:$DK$66,MATCH(0,COUNTIF($DL$4:DL53,$DK$6:$DK$66),0),1),"")</f>
        <v/>
      </c>
      <c r="DM54" s="277" t="str">
        <f>IF(AND('1.4 Analyse &amp; Synthese'!AG55=1,'1.4 Analyse &amp; Synthese'!F55="Methode"),'1.4 Analyse &amp; Synthese'!I55&amp;CHAR(13)&amp;"("&amp;'(Codierung)'!$C$3&amp;" - "&amp;'1.4 Analyse &amp; Synthese'!C55&amp;")","")</f>
        <v/>
      </c>
      <c r="DN54" s="387" t="str">
        <f t="array" ref="DN54">_xlfn.IFNA(INDEX($DM$6:$DM$66,MATCH(0,COUNTIF($DN$4:DN53,$DM$6:$DM$66),0),1),"")</f>
        <v/>
      </c>
      <c r="DO54" s="277" t="str">
        <f>IF(AND('1.4 Analyse &amp; Synthese'!AG55=1,'1.4 Analyse &amp; Synthese'!F55="Werkzeug"),'1.4 Analyse &amp; Synthese'!I55&amp;CHAR(13)&amp;"("&amp;'(Codierung)'!$C$4&amp;" - "&amp;'1.4 Analyse &amp; Synthese'!C55&amp;")","")</f>
        <v/>
      </c>
      <c r="DP54" s="387" t="str">
        <f t="array" ref="DP54">_xlfn.IFNA(INDEX($DO$6:$DO$66,MATCH(0,COUNTIF($DP$4:DP53,$DO$6:$DO$66),0),1),"")</f>
        <v/>
      </c>
      <c r="DR54" s="277" t="str">
        <f>IF(AND('1.4 Analyse &amp; Synthese'!AH55=1,'1.4 Analyse &amp; Synthese'!F55="Empfehlung"),'1.4 Analyse &amp; Synthese'!I55&amp;CHAR(13)&amp;"("&amp;'(Codierung)'!$C$2&amp;" - "&amp;'1.4 Analyse &amp; Synthese'!C55&amp;")","")</f>
        <v/>
      </c>
      <c r="DS54" s="387" t="str">
        <f t="array" ref="DS54">_xlfn.IFNA(INDEX($DR$6:$DR$66,MATCH(0,COUNTIF($DS$4:DS53,$DR$6:$DR$66),0),1),"")</f>
        <v/>
      </c>
      <c r="DT54" s="277" t="str">
        <f>IF(AND('1.4 Analyse &amp; Synthese'!AH55=1,'1.4 Analyse &amp; Synthese'!F55="Methode"),'1.4 Analyse &amp; Synthese'!I55&amp;CHAR(13)&amp;"("&amp;'(Codierung)'!$C$3&amp;" - "&amp;'1.4 Analyse &amp; Synthese'!C55&amp;")","")</f>
        <v/>
      </c>
      <c r="DU54" s="387" t="str">
        <f t="array" ref="DU54">_xlfn.IFNA(INDEX($DT$6:$DT$66,MATCH(0,COUNTIF($DU$4:DU53,$DT$6:$DT$66),0),1),"")</f>
        <v/>
      </c>
      <c r="DV54" s="277" t="str">
        <f>IF(AND('1.4 Analyse &amp; Synthese'!AH55=1,'1.4 Analyse &amp; Synthese'!F55="Werkzeug"),'1.4 Analyse &amp; Synthese'!I55&amp;CHAR(13)&amp;"("&amp;'(Codierung)'!$C$4&amp;" - "&amp;'1.4 Analyse &amp; Synthese'!C55&amp;")","")</f>
        <v/>
      </c>
      <c r="DW54" s="387" t="str">
        <f t="array" ref="DW54">_xlfn.IFNA(INDEX($DV$6:$DV$66,MATCH(0,COUNTIF($DW$4:DW53,$DV$6:$DV$66),0),1),"")</f>
        <v/>
      </c>
      <c r="DY54" s="277" t="str">
        <f>IF(AND('1.4 Analyse &amp; Synthese'!AI55=1,'1.4 Analyse &amp; Synthese'!F55="Empfehlung"),'1.4 Analyse &amp; Synthese'!I55&amp;CHAR(13)&amp;"("&amp;'(Codierung)'!$C$2&amp;" - "&amp;'1.4 Analyse &amp; Synthese'!C55&amp;")","")</f>
        <v/>
      </c>
      <c r="DZ54" s="387" t="str">
        <f t="array" ref="DZ54">_xlfn.IFNA(INDEX($DY$6:$DY$66,MATCH(0,COUNTIF($DZ$4:DZ53,$DY$6:$DY$66),0),1),"")</f>
        <v/>
      </c>
      <c r="EA54" s="277" t="str">
        <f>IF(AND('1.4 Analyse &amp; Synthese'!AI55=1,'1.4 Analyse &amp; Synthese'!F55="Methode"),'1.4 Analyse &amp; Synthese'!I55&amp;CHAR(13)&amp;"("&amp;'(Codierung)'!$C$3&amp;" - "&amp;'1.4 Analyse &amp; Synthese'!C55&amp;")","")</f>
        <v/>
      </c>
      <c r="EB54" s="387" t="str">
        <f t="array" ref="EB54">_xlfn.IFNA(INDEX($EA$6:$EA$66,MATCH(0,COUNTIF($EB$4:EB53,$EA$6:$EA$66),0),1),"")</f>
        <v/>
      </c>
      <c r="EC54" s="277" t="str">
        <f>IF(AND('1.4 Analyse &amp; Synthese'!AI55=1,'1.4 Analyse &amp; Synthese'!F55="Werkzeug"),'1.4 Analyse &amp; Synthese'!I55&amp;CHAR(13)&amp;"("&amp;'(Codierung)'!$C$4&amp;" - "&amp;'1.4 Analyse &amp; Synthese'!C55&amp;")","")</f>
        <v/>
      </c>
      <c r="ED54" s="277" t="str">
        <f t="array" ref="ED54">_xlfn.IFNA(INDEX($EC$6:$EC$66,MATCH(0,COUNTIF($ED$4:ED53,$EC$6:$EC$66),0),1),"")</f>
        <v/>
      </c>
      <c r="EF54" s="277" t="str">
        <f>IF(AND('1.4 Analyse &amp; Synthese'!AJ55=1,'1.4 Analyse &amp; Synthese'!F55="Empfehlung"),'1.4 Analyse &amp; Synthese'!I55&amp;CHAR(13)&amp;"("&amp;'(Codierung)'!$C$2&amp;" - "&amp;'1.4 Analyse &amp; Synthese'!C55&amp;")","")</f>
        <v/>
      </c>
      <c r="EG54" s="277" t="str">
        <f t="array" ref="EG54">_xlfn.IFNA(INDEX($EF$6:$EF$66,MATCH(0,COUNTIF($EG$4:EG53,$EF$6:$EF$66),0),1),"")</f>
        <v/>
      </c>
      <c r="EH54" s="277" t="str">
        <f>IF(AND('1.4 Analyse &amp; Synthese'!AJ55=1,'1.4 Analyse &amp; Synthese'!F55="Methode"),'1.4 Analyse &amp; Synthese'!I55&amp;CHAR(13)&amp;"("&amp;'(Codierung)'!$C$3&amp;" - "&amp;'1.4 Analyse &amp; Synthese'!C55&amp;")","")</f>
        <v/>
      </c>
      <c r="EI54" s="387" t="str">
        <f t="array" ref="EI54">_xlfn.IFNA(INDEX($EH$6:$EH$66,MATCH(0,COUNTIF($EI$4:EI53,$EH$6:$EH$66),0),1),"")</f>
        <v/>
      </c>
      <c r="EJ54" s="277" t="str">
        <f>IF(AND('1.4 Analyse &amp; Synthese'!AJ55=1,'1.4 Analyse &amp; Synthese'!F55="Werkzeug"),'1.4 Analyse &amp; Synthese'!I55&amp;CHAR(13)&amp;"("&amp;'(Codierung)'!$C$4&amp;" - "&amp;'1.4 Analyse &amp; Synthese'!C55&amp;")","")</f>
        <v/>
      </c>
      <c r="EK54" s="387" t="str">
        <f t="array" ref="EK54">_xlfn.IFNA(INDEX($EJ$6:$EJ$66,MATCH(0,COUNTIF($EK$4:EK53,$EJ$6:$EJ$66),0),1),"")</f>
        <v/>
      </c>
      <c r="EN54" s="222" t="str">
        <f t="shared" si="60"/>
        <v/>
      </c>
      <c r="EO54" s="277" t="str">
        <f t="shared" si="61"/>
        <v/>
      </c>
      <c r="EP54" s="277" t="str">
        <f t="shared" si="62"/>
        <v/>
      </c>
      <c r="EQ54" s="277" t="str">
        <f>ZahlenInBereich(Tabelle1[[Empfehlung]:[Werkzeug]],ROW()-5)</f>
        <v/>
      </c>
      <c r="ER54" s="277" t="str">
        <f t="shared" si="63"/>
        <v/>
      </c>
      <c r="ES54" s="277" t="str">
        <f t="shared" si="64"/>
        <v/>
      </c>
      <c r="ET54" s="277" t="str">
        <f t="shared" si="65"/>
        <v/>
      </c>
      <c r="EU54" s="277" t="str">
        <f>ZahlenInBereich(Tabelle1[[Empfehlung2]:[Werkzeug4]],ROW()-5)</f>
        <v/>
      </c>
      <c r="EV54" s="277" t="str">
        <f t="shared" si="66"/>
        <v/>
      </c>
      <c r="EW54" s="277" t="str">
        <f t="shared" si="67"/>
        <v/>
      </c>
      <c r="EX54" s="277" t="str">
        <f t="shared" si="68"/>
        <v/>
      </c>
      <c r="EY54" s="277" t="str">
        <f>ZahlenInBereich(Tabelle1[[Empfehlung6]:[Werkzeug8]],ROW()-5)</f>
        <v/>
      </c>
      <c r="EZ54" s="277" t="str">
        <f t="shared" si="69"/>
        <v/>
      </c>
      <c r="FA54" s="277" t="str">
        <f t="shared" si="70"/>
        <v/>
      </c>
      <c r="FB54" s="277" t="str">
        <f t="shared" si="71"/>
        <v/>
      </c>
      <c r="FC54" s="277" t="str">
        <f>ZahlenInBereich(Tabelle1[[Empfehlung10]:[Werkzeug12]],ROW()-5)</f>
        <v/>
      </c>
      <c r="FD54" s="277" t="str">
        <f t="shared" si="72"/>
        <v/>
      </c>
      <c r="FE54" s="277" t="str">
        <f t="shared" si="73"/>
        <v/>
      </c>
      <c r="FF54" s="277" t="str">
        <f t="shared" si="74"/>
        <v/>
      </c>
      <c r="FG54" s="277" t="str">
        <f>ZahlenInBereich(Tabelle1[[Empfehlung14]:[Werkzeug16]],ROW()-5)</f>
        <v/>
      </c>
      <c r="FH54" s="277" t="str">
        <f t="shared" si="75"/>
        <v/>
      </c>
      <c r="FI54" s="277" t="str">
        <f t="shared" si="76"/>
        <v/>
      </c>
      <c r="FJ54" s="277" t="str">
        <f t="shared" si="77"/>
        <v/>
      </c>
      <c r="FK54" s="277" t="str">
        <f>ZahlenInBereich(Tabelle1[[Empfehlung18]:[Werkzeug20]],ROW()-5)</f>
        <v/>
      </c>
      <c r="FL54" s="277" t="str">
        <f t="shared" si="78"/>
        <v/>
      </c>
      <c r="FM54" s="277" t="str">
        <f t="shared" si="79"/>
        <v/>
      </c>
      <c r="FN54" s="277" t="str">
        <f t="shared" si="80"/>
        <v/>
      </c>
      <c r="FO54" s="277" t="str">
        <f>ZahlenInBereich(Tabelle1[[Empfehlung22]:[Werkzeug24]],ROW()-5)</f>
        <v/>
      </c>
      <c r="FP54" s="277" t="str">
        <f t="shared" si="81"/>
        <v/>
      </c>
      <c r="FQ54" s="277" t="str">
        <f t="shared" si="82"/>
        <v/>
      </c>
      <c r="FR54" s="277" t="str">
        <f t="shared" si="83"/>
        <v/>
      </c>
      <c r="FS54" s="277" t="str">
        <f>ZahlenInBereich(Tabelle1[[Empfehlung26]:[Werkzeug28]],ROW()-5)</f>
        <v/>
      </c>
      <c r="FT54" s="277" t="str">
        <f t="shared" si="84"/>
        <v/>
      </c>
      <c r="FU54" s="277" t="str">
        <f t="shared" si="85"/>
        <v/>
      </c>
      <c r="FV54" s="277" t="str">
        <f t="shared" si="86"/>
        <v/>
      </c>
      <c r="FW54" s="277" t="str">
        <f>ZahlenInBereich(Tabelle1[[Empfehlung30]:[Werkzeug32]],ROW()-5)</f>
        <v/>
      </c>
      <c r="FX54" s="277" t="str">
        <f t="shared" si="87"/>
        <v/>
      </c>
      <c r="FY54" s="277" t="str">
        <f t="shared" si="88"/>
        <v/>
      </c>
      <c r="FZ54" s="277" t="str">
        <f t="shared" si="89"/>
        <v/>
      </c>
      <c r="GA54" s="277" t="str">
        <f>ZahlenInBereich(Tabelle1[[Empfehlung34]:[Werkzeug36]],ROW()-5)</f>
        <v/>
      </c>
      <c r="GB54" s="277" t="str">
        <f t="shared" si="90"/>
        <v/>
      </c>
      <c r="GC54" s="277" t="str">
        <f t="shared" si="91"/>
        <v/>
      </c>
      <c r="GD54" s="277" t="str">
        <f t="shared" si="92"/>
        <v/>
      </c>
      <c r="GE54" s="277" t="str">
        <f>ZahlenInBereich(Tabelle1[[Empfehlung38]:[Werkzeug40]],ROW()-5)</f>
        <v/>
      </c>
      <c r="GF54" s="277" t="str">
        <f t="shared" si="93"/>
        <v/>
      </c>
      <c r="GG54" s="277" t="str">
        <f t="shared" si="94"/>
        <v/>
      </c>
      <c r="GH54" s="277" t="str">
        <f t="shared" si="95"/>
        <v/>
      </c>
      <c r="GI54" s="277" t="str">
        <f>ZahlenInBereich(Tabelle1[[Empfehlung42]:[Werkzeug44]],ROW()-5)</f>
        <v/>
      </c>
      <c r="GJ54" s="277" t="str">
        <f t="shared" si="96"/>
        <v/>
      </c>
      <c r="GK54" s="277" t="str">
        <f t="shared" si="97"/>
        <v/>
      </c>
      <c r="GL54" s="277" t="str">
        <f t="shared" si="98"/>
        <v/>
      </c>
      <c r="GM54" s="277" t="str">
        <f>ZahlenInBereich(Tabelle1[[Empfehlung46]:[Werkzeug48]],ROW()-5)</f>
        <v/>
      </c>
      <c r="GN54" s="277" t="str">
        <f t="shared" si="99"/>
        <v/>
      </c>
      <c r="GO54" s="277" t="str">
        <f t="shared" si="100"/>
        <v/>
      </c>
      <c r="GP54" s="277" t="str">
        <f t="shared" si="101"/>
        <v/>
      </c>
      <c r="GQ54" s="277" t="str">
        <f>ZahlenInBereich(Tabelle1[[Empfehlung50]:[Werkzeug52]],ROW()-5)</f>
        <v/>
      </c>
      <c r="GR54" s="277" t="str">
        <f t="shared" si="102"/>
        <v/>
      </c>
      <c r="GS54" s="277" t="str">
        <f t="shared" si="103"/>
        <v/>
      </c>
      <c r="GT54" s="277" t="str">
        <f t="shared" si="104"/>
        <v/>
      </c>
      <c r="GU54" s="277" t="str">
        <f>ZahlenInBereich(Tabelle1[[Empfehlung54]:[Werkzeug56]],ROW()-5)</f>
        <v/>
      </c>
      <c r="GV54" s="277" t="str">
        <f t="shared" si="105"/>
        <v/>
      </c>
      <c r="GW54" s="277" t="str">
        <f t="shared" si="106"/>
        <v/>
      </c>
      <c r="GX54" s="277" t="str">
        <f t="shared" si="107"/>
        <v/>
      </c>
      <c r="GY54" s="277" t="str">
        <f>ZahlenInBereich(Tabelle1[[Empfehlung58]:[Werkzeug60]],ROW()-5)</f>
        <v/>
      </c>
      <c r="GZ54" s="277" t="str">
        <f t="shared" si="108"/>
        <v/>
      </c>
      <c r="HA54" s="277" t="str">
        <f t="shared" si="109"/>
        <v/>
      </c>
      <c r="HB54" s="277" t="str">
        <f t="shared" si="110"/>
        <v/>
      </c>
      <c r="HC54" s="277" t="str">
        <f>ZahlenInBereich(Tabelle1[[Empfehlung62]:[Werkzeug64]],ROW()-5)</f>
        <v/>
      </c>
      <c r="HD54" s="277" t="str">
        <f t="shared" si="111"/>
        <v/>
      </c>
      <c r="HE54" s="277" t="str">
        <f t="shared" si="112"/>
        <v/>
      </c>
      <c r="HF54" s="277" t="str">
        <f t="shared" si="113"/>
        <v/>
      </c>
      <c r="HG54" s="277" t="str">
        <f>ZahlenInBereich(Tabelle1[[Empfehlung66]:[Werkzeug68]],ROW()-5)</f>
        <v/>
      </c>
      <c r="HH54" s="277" t="str">
        <f t="shared" si="114"/>
        <v/>
      </c>
      <c r="HI54" s="277" t="str">
        <f t="shared" si="115"/>
        <v/>
      </c>
      <c r="HJ54" s="277" t="str">
        <f t="shared" si="116"/>
        <v/>
      </c>
      <c r="HK54" s="277" t="str">
        <f>ZahlenInBereich(Tabelle1[[Empfehlung70]:[Werkzeug72]],ROW()-5)</f>
        <v/>
      </c>
      <c r="HL54" s="277" t="str">
        <f t="shared" si="117"/>
        <v/>
      </c>
      <c r="HM54" s="277" t="str">
        <f t="shared" si="118"/>
        <v/>
      </c>
      <c r="HN54" s="277" t="str">
        <f t="shared" si="119"/>
        <v/>
      </c>
      <c r="HO54" s="277" t="str">
        <f>ZahlenInBereich(Tabelle1[[Empfehlung74]:[Werkzeug76]],ROW()-5)</f>
        <v/>
      </c>
    </row>
    <row r="55" spans="2:223" x14ac:dyDescent="0.2">
      <c r="B55" s="135">
        <f>'1.4 Analyse &amp; Synthese'!B56</f>
        <v>0</v>
      </c>
      <c r="C55" s="277" t="str">
        <f>IF(AND('1.4 Analyse &amp; Synthese'!Q56=1,'1.4 Analyse &amp; Synthese'!F56="Empfehlung"),'1.4 Analyse &amp; Synthese'!I56&amp;CHAR(13)&amp;"("&amp;'(Codierung)'!$C$2&amp;" - "&amp;'1.4 Analyse &amp; Synthese'!C56&amp;")","")</f>
        <v/>
      </c>
      <c r="D55" s="222" t="str">
        <f t="array" ref="D55">_xlfn.IFNA(INDEX($C$6:$C$66,MATCH(0,COUNTIF($D$4:D54,$C$6:$C$66),0),1),"")</f>
        <v/>
      </c>
      <c r="E55" s="277" t="str">
        <f>IF(AND('1.4 Analyse &amp; Synthese'!Q56=1,'1.4 Analyse &amp; Synthese'!F56="Methode"),'1.4 Analyse &amp; Synthese'!I56&amp;CHAR(13)&amp;"("&amp;'(Codierung)'!$C$3&amp;" - "&amp;'1.4 Analyse &amp; Synthese'!C56&amp;")","")</f>
        <v/>
      </c>
      <c r="F55" s="387" t="str">
        <f t="array" ref="F55">_xlfn.IFNA(INDEX($E$6:$E$66,MATCH(0,COUNTIF($F$4:F54,$E$6:$E$66),0),1),"")</f>
        <v/>
      </c>
      <c r="G55" s="277" t="str">
        <f>IF(AND('1.4 Analyse &amp; Synthese'!Q56=1,'1.4 Analyse &amp; Synthese'!F56="Werkzeug"),'1.4 Analyse &amp; Synthese'!I56&amp;CHAR(13)&amp;"("&amp;'(Codierung)'!$C$4&amp;" - "&amp;'1.4 Analyse &amp; Synthese'!C56&amp;")","")</f>
        <v/>
      </c>
      <c r="H55" s="387" t="str">
        <f t="array" ref="H55">_xlfn.IFNA(INDEX($G$6:$G$66,MATCH(0,COUNTIF($H$4:H54,$G$6:$G$66),0),1),"")</f>
        <v/>
      </c>
      <c r="J55" s="277" t="str">
        <f>IF(AND('1.4 Analyse &amp; Synthese'!R56=1,'1.4 Analyse &amp; Synthese'!F56="Empfehlung"),'1.4 Analyse &amp; Synthese'!I56&amp;CHAR(13)&amp;"("&amp;'(Codierung)'!$C$2&amp;" - "&amp;'1.4 Analyse &amp; Synthese'!C56&amp;")","")</f>
        <v/>
      </c>
      <c r="K55" s="387" t="str">
        <f t="array" ref="K55">_xlfn.IFNA(INDEX($J$6:$J$66,MATCH(0,COUNTIF($K$4:K54,$J$6:$J$66),0),1),"")</f>
        <v/>
      </c>
      <c r="L55" s="277" t="str">
        <f>IF(AND('1.4 Analyse &amp; Synthese'!R56=1,'1.4 Analyse &amp; Synthese'!F56="Methode"),'1.4 Analyse &amp; Synthese'!I56&amp;CHAR(13)&amp;"("&amp;'(Codierung)'!$C$3&amp;" - "&amp;'1.4 Analyse &amp; Synthese'!C56&amp;")","")</f>
        <v/>
      </c>
      <c r="M55" s="387" t="str">
        <f t="array" ref="M55">_xlfn.IFNA(INDEX($L$6:$L$66,MATCH(0,COUNTIF($M$4:M54,$L$6:$L$66),0),1),"")</f>
        <v/>
      </c>
      <c r="N55" s="277" t="str">
        <f>IF(AND('1.4 Analyse &amp; Synthese'!R56=1,'1.4 Analyse &amp; Synthese'!F56="Werkzeug"),'1.4 Analyse &amp; Synthese'!I56&amp;CHAR(13)&amp;"("&amp;'(Codierung)'!$C$4&amp;" - "&amp;'1.4 Analyse &amp; Synthese'!C56&amp;")","")</f>
        <v/>
      </c>
      <c r="O55" s="387" t="str">
        <f t="array" ref="O55">_xlfn.IFNA(INDEX($N$6:$N$66,MATCH(0,COUNTIF($O$4:O54,$N$6:$N$66),0),1),"")</f>
        <v/>
      </c>
      <c r="Q55" s="277" t="str">
        <f>IF(AND('1.4 Analyse &amp; Synthese'!S56=1,'1.4 Analyse &amp; Synthese'!F56="Empfehlung"),'1.4 Analyse &amp; Synthese'!I56&amp;CHAR(13)&amp;"("&amp;'(Codierung)'!$C$2&amp;" - "&amp;'1.4 Analyse &amp; Synthese'!C56&amp;")","")</f>
        <v/>
      </c>
      <c r="R55" s="387" t="str">
        <f t="array" ref="R55">_xlfn.IFNA(INDEX($Q$6:$Q$66,MATCH(0,COUNTIF($R$4:R54,$Q$6:$Q$66),0),1),"")</f>
        <v/>
      </c>
      <c r="S55" s="277" t="str">
        <f>IF(AND('1.4 Analyse &amp; Synthese'!S56=1,'1.4 Analyse &amp; Synthese'!F56="Methode"),'1.4 Analyse &amp; Synthese'!I56&amp;CHAR(13)&amp;"("&amp;'(Codierung)'!$C$3&amp;" - "&amp;'1.4 Analyse &amp; Synthese'!C56&amp;")","")</f>
        <v/>
      </c>
      <c r="T55" s="387" t="str">
        <f t="array" ref="T55">_xlfn.IFNA(INDEX($S$6:$S$66,MATCH(0,COUNTIF($T$4:T54,$S$6:$S$66),0),1),"")</f>
        <v/>
      </c>
      <c r="U55" s="277" t="str">
        <f>IF(AND('1.4 Analyse &amp; Synthese'!S56=1,'1.4 Analyse &amp; Synthese'!F56="Werkzeug"),'1.4 Analyse &amp; Synthese'!I56&amp;CHAR(13)&amp;"("&amp;'(Codierung)'!$C$4&amp;" - "&amp;'1.4 Analyse &amp; Synthese'!C56&amp;")","")</f>
        <v/>
      </c>
      <c r="V55" s="387" t="str">
        <f t="array" ref="V55">_xlfn.IFNA(INDEX($U$6:$U$66,MATCH(0,COUNTIF($V$4:V54,$U$6:$U$66),0),1),"")</f>
        <v/>
      </c>
      <c r="X55" s="277" t="str">
        <f>IF(AND('1.4 Analyse &amp; Synthese'!T56=1,'1.4 Analyse &amp; Synthese'!F56="Empfehlung"),'1.4 Analyse &amp; Synthese'!I56&amp;CHAR(13)&amp;"("&amp;'(Codierung)'!$C$2&amp;" - "&amp;'1.4 Analyse &amp; Synthese'!C56&amp;")","")</f>
        <v/>
      </c>
      <c r="Y55" s="387" t="str">
        <f t="array" ref="Y55">_xlfn.IFNA(INDEX($X$6:$X$66,MATCH(0,COUNTIF($Y$4:Y54,$X$6:$X$66),0),1),"")</f>
        <v/>
      </c>
      <c r="Z55" s="277" t="str">
        <f>IF(AND('1.4 Analyse &amp; Synthese'!T56=1,'1.4 Analyse &amp; Synthese'!F56="Methode"),'1.4 Analyse &amp; Synthese'!I56&amp;CHAR(13)&amp;"("&amp;'(Codierung)'!$C$3&amp;" - "&amp;'1.4 Analyse &amp; Synthese'!C56&amp;")","")</f>
        <v/>
      </c>
      <c r="AA55" s="387" t="str">
        <f t="array" ref="AA55">_xlfn.IFNA(INDEX($Z$6:$Z$66,MATCH(0,COUNTIF($AA$4:AA54,$Z$6:$Z$66),0),1),"")</f>
        <v/>
      </c>
      <c r="AB55" s="277" t="str">
        <f>IF(AND('1.4 Analyse &amp; Synthese'!T56=1,'1.4 Analyse &amp; Synthese'!F56="Werkzeug"),'1.4 Analyse &amp; Synthese'!I56&amp;CHAR(13)&amp;"("&amp;'(Codierung)'!$C$4&amp;" - "&amp;'1.4 Analyse &amp; Synthese'!C56&amp;")","")</f>
        <v/>
      </c>
      <c r="AC55" s="387" t="str">
        <f t="array" ref="AC55">_xlfn.IFNA(INDEX($AB$6:$AB$66,MATCH(0,COUNTIF($AC$4:AC54,$AB$6:$AB$66),0),1),"")</f>
        <v/>
      </c>
      <c r="AE55" s="277" t="str">
        <f>IF(AND('1.4 Analyse &amp; Synthese'!U56=1,'1.4 Analyse &amp; Synthese'!F56="Empfehlung"),'1.4 Analyse &amp; Synthese'!I56&amp;CHAR(13)&amp;"("&amp;'(Codierung)'!$C$2&amp;" - "&amp;'1.4 Analyse &amp; Synthese'!C56&amp;")","")</f>
        <v/>
      </c>
      <c r="AF55" s="387" t="str">
        <f t="array" ref="AF55">_xlfn.IFNA(INDEX($AE$6:$AE$66,MATCH(0,COUNTIF($AF$4:AF54,$AE$6:$AE$66),0),1),"")</f>
        <v/>
      </c>
      <c r="AG55" s="277" t="str">
        <f>IF(AND('1.4 Analyse &amp; Synthese'!U56=1,'1.4 Analyse &amp; Synthese'!F56="Methode"),'1.4 Analyse &amp; Synthese'!I56&amp;CHAR(13)&amp;"("&amp;'(Codierung)'!$C$3&amp;" - "&amp;'1.4 Analyse &amp; Synthese'!C56&amp;")","")</f>
        <v/>
      </c>
      <c r="AH55" s="387" t="str">
        <f t="array" ref="AH55">_xlfn.IFNA(INDEX($AG$6:$AG$66,MATCH(0,COUNTIF($AH$4:AH54,$AG$6:$AG$66),0),1),"")</f>
        <v/>
      </c>
      <c r="AI55" s="277" t="str">
        <f>IF(AND('1.4 Analyse &amp; Synthese'!U56=1,'1.4 Analyse &amp; Synthese'!F56="Werkzeug"),'1.4 Analyse &amp; Synthese'!I56&amp;CHAR(13)&amp;"("&amp;'(Codierung)'!$C$4&amp;" - "&amp;'1.4 Analyse &amp; Synthese'!C56&amp;")","")</f>
        <v/>
      </c>
      <c r="AJ55" s="387" t="str">
        <f t="array" ref="AJ55">_xlfn.IFNA(INDEX($AI$6:$AI$66,MATCH(0,COUNTIF($AJ$4:AJ54,$AI$6:$AI$66),0),1),"")</f>
        <v/>
      </c>
      <c r="AL55" s="277" t="str">
        <f>IF(AND('1.4 Analyse &amp; Synthese'!V56=1,'1.4 Analyse &amp; Synthese'!F56="Empfehlung"),'1.4 Analyse &amp; Synthese'!I56&amp;CHAR(13)&amp;"("&amp;'(Codierung)'!$C$2&amp;" - "&amp;'1.4 Analyse &amp; Synthese'!C56&amp;")","")</f>
        <v/>
      </c>
      <c r="AM55" s="387" t="str">
        <f t="array" ref="AM55">_xlfn.IFNA(INDEX($AL$6:$AL$66,MATCH(0,COUNTIF($AM$4:AM54,$AL$6:$AL$66),0),1),"")</f>
        <v/>
      </c>
      <c r="AN55" s="277" t="str">
        <f>IF(AND('1.4 Analyse &amp; Synthese'!V56=1,'1.4 Analyse &amp; Synthese'!F56="Methode"),'1.4 Analyse &amp; Synthese'!I56&amp;CHAR(13)&amp;"("&amp;'(Codierung)'!$C$3&amp;" - "&amp;'1.4 Analyse &amp; Synthese'!C56&amp;")","")</f>
        <v/>
      </c>
      <c r="AO55" s="387" t="str">
        <f t="array" ref="AO55">_xlfn.IFNA(INDEX($AN$6:$AN$66,MATCH(0,COUNTIF($AO$4:AO54,$AN$6:$AN$66),0),1),"")</f>
        <v/>
      </c>
      <c r="AP55" s="277" t="str">
        <f>IF(AND('1.4 Analyse &amp; Synthese'!V56=1,'1.4 Analyse &amp; Synthese'!F56="Werkzeug"),'1.4 Analyse &amp; Synthese'!I56&amp;CHAR(13)&amp;"("&amp;'(Codierung)'!$C$4&amp;" - "&amp;'1.4 Analyse &amp; Synthese'!C56&amp;")","")</f>
        <v/>
      </c>
      <c r="AQ55" s="387" t="str">
        <f t="array" ref="AQ55">_xlfn.IFNA(INDEX($AP$6:$AP$66,MATCH(0,COUNTIF($AQ$4:AQ54,$AP$6:$AP$66),0),1),"")</f>
        <v/>
      </c>
      <c r="AS55" s="277" t="str">
        <f>IF(AND('1.4 Analyse &amp; Synthese'!W56=1,'1.4 Analyse &amp; Synthese'!F56="Empfehlung"),'1.4 Analyse &amp; Synthese'!I56&amp;CHAR(13)&amp;"("&amp;'(Codierung)'!$C$2&amp;" - "&amp;'1.4 Analyse &amp; Synthese'!C56&amp;")","")</f>
        <v/>
      </c>
      <c r="AT55" s="387" t="str">
        <f t="array" ref="AT55">_xlfn.IFNA(INDEX($AS$6:$AS$66,MATCH(0,COUNTIF($AT$4:AT54,$AS$6:$AS$66),0),1),"")</f>
        <v/>
      </c>
      <c r="AU55" s="277" t="str">
        <f>IF(AND('1.4 Analyse &amp; Synthese'!W56=1,'1.4 Analyse &amp; Synthese'!F56="Methode"),'1.4 Analyse &amp; Synthese'!I56&amp;CHAR(13)&amp;"("&amp;'(Codierung)'!$C$3&amp;" - "&amp;'1.4 Analyse &amp; Synthese'!C56&amp;")","")</f>
        <v/>
      </c>
      <c r="AV55" s="387" t="str">
        <f t="array" ref="AV55">_xlfn.IFNA(INDEX($AU$6:$AU$66,MATCH(0,COUNTIF($AV$4:AV54,$AU$6:$AU$66),0),1),"")</f>
        <v/>
      </c>
      <c r="AW55" s="277" t="str">
        <f>IF(AND('1.4 Analyse &amp; Synthese'!W56=1,'1.4 Analyse &amp; Synthese'!F56="Werkzeug"),'1.4 Analyse &amp; Synthese'!I56&amp;CHAR(13)&amp;"("&amp;'(Codierung)'!$C$4&amp;" - "&amp;'1.4 Analyse &amp; Synthese'!C56&amp;")","")</f>
        <v/>
      </c>
      <c r="AX55" s="387" t="str">
        <f t="array" ref="AX55">_xlfn.IFNA(INDEX($AW$6:$AW$66,MATCH(0,COUNTIF($AX$4:AX54,$AW$6:$AW$66),0),1),"")</f>
        <v/>
      </c>
      <c r="AZ55" s="277" t="str">
        <f>IF(AND('1.4 Analyse &amp; Synthese'!X56=1,'1.4 Analyse &amp; Synthese'!F56="Empfehlung"),'1.4 Analyse &amp; Synthese'!I56&amp;CHAR(13)&amp;"("&amp;'(Codierung)'!$C$2&amp;" - "&amp;'1.4 Analyse &amp; Synthese'!C56&amp;")","")</f>
        <v/>
      </c>
      <c r="BA55" s="387" t="str">
        <f t="array" ref="BA55">_xlfn.IFNA(INDEX($AZ$6:$AZ$66,MATCH(0,COUNTIF($BA$4:BA54,$AZ$6:$AZ$66),0),1),"")</f>
        <v/>
      </c>
      <c r="BB55" s="277" t="str">
        <f>IF(AND('1.4 Analyse &amp; Synthese'!X56=1,'1.4 Analyse &amp; Synthese'!F56="Methode"),'1.4 Analyse &amp; Synthese'!I56&amp;CHAR(13)&amp;"("&amp;'(Codierung)'!$C$3&amp;" - "&amp;'1.4 Analyse &amp; Synthese'!C56&amp;")","")</f>
        <v/>
      </c>
      <c r="BC55" s="387" t="str">
        <f t="array" ref="BC55">_xlfn.IFNA(INDEX($BB$6:$BB$66,MATCH(0,COUNTIF($BC$4:BC54,$BB$6:$BB$66),0),1),"")</f>
        <v/>
      </c>
      <c r="BD55" s="277" t="str">
        <f>IF(AND('1.4 Analyse &amp; Synthese'!X56=1,'1.4 Analyse &amp; Synthese'!F56="Werkzeug"),'1.4 Analyse &amp; Synthese'!I56&amp;CHAR(13)&amp;"("&amp;'(Codierung)'!$C$4&amp;" - "&amp;'1.4 Analyse &amp; Synthese'!C56&amp;")","")</f>
        <v/>
      </c>
      <c r="BE55" s="387" t="str">
        <f t="array" ref="BE55">_xlfn.IFNA(INDEX($BD$6:$BD$66,MATCH(0,COUNTIF($BE$4:BE54,$BD$6:$BD$66),0),1),"")</f>
        <v/>
      </c>
      <c r="BG55" s="277" t="str">
        <f>IF(AND('1.4 Analyse &amp; Synthese'!Y56=1,'1.4 Analyse &amp; Synthese'!F56="Empfehlung"),'1.4 Analyse &amp; Synthese'!I56&amp;CHAR(13)&amp;"("&amp;'(Codierung)'!$C$2&amp;" - "&amp;'1.4 Analyse &amp; Synthese'!C56&amp;")","")</f>
        <v/>
      </c>
      <c r="BH55" s="387" t="str">
        <f t="array" ref="BH55">_xlfn.IFNA(INDEX($BG$6:$BG$66,MATCH(0,COUNTIF($BH$4:BH54,$BG$6:$BG$66),0),1),"")</f>
        <v/>
      </c>
      <c r="BI55" s="277" t="str">
        <f>IF(AND('1.4 Analyse &amp; Synthese'!Y56=1,'1.4 Analyse &amp; Synthese'!F56="Methode"),'1.4 Analyse &amp; Synthese'!I56&amp;CHAR(13)&amp;"("&amp;'(Codierung)'!$C$3&amp;" - "&amp;'1.4 Analyse &amp; Synthese'!C56&amp;")","")</f>
        <v/>
      </c>
      <c r="BJ55" s="387" t="str">
        <f t="array" ref="BJ55">_xlfn.IFNA(INDEX($BI$6:$BI$66,MATCH(0,COUNTIF($BJ$4:BJ54,$BI$6:$BI$66),0),1),"")</f>
        <v/>
      </c>
      <c r="BK55" s="277" t="str">
        <f>IF(AND('1.4 Analyse &amp; Synthese'!Y56=1,'1.4 Analyse &amp; Synthese'!F56="Werkzeug"),'1.4 Analyse &amp; Synthese'!I56&amp;CHAR(13)&amp;"("&amp;'(Codierung)'!$C$4&amp;" - "&amp;'1.4 Analyse &amp; Synthese'!C56&amp;")","")</f>
        <v/>
      </c>
      <c r="BL55" s="387" t="str">
        <f t="array" ref="BL55">_xlfn.IFNA(INDEX($BK$6:$BK$66,MATCH(0,COUNTIF($BL$4:BL54,$BK$6:$BK$66),0),1),"")</f>
        <v/>
      </c>
      <c r="BN55" s="277" t="str">
        <f>IF(AND('1.4 Analyse &amp; Synthese'!Z56=1,'1.4 Analyse &amp; Synthese'!F56="Empfehlung"),'1.4 Analyse &amp; Synthese'!I56&amp;CHAR(13)&amp;"("&amp;'(Codierung)'!$C$2&amp;" - "&amp;'1.4 Analyse &amp; Synthese'!C56&amp;")","")</f>
        <v/>
      </c>
      <c r="BO55" s="387" t="str">
        <f t="array" ref="BO55">_xlfn.IFNA(INDEX($BN$6:$BN$66,MATCH(0,COUNTIF($BO$4:BO54,$BN$6:$BN$66),0),1),"")</f>
        <v/>
      </c>
      <c r="BP55" s="277" t="str">
        <f>IF(AND('1.4 Analyse &amp; Synthese'!Z56=1,'1.4 Analyse &amp; Synthese'!F56="Methode"),'1.4 Analyse &amp; Synthese'!I56&amp;CHAR(13)&amp;"("&amp;'(Codierung)'!$C$3&amp;" - "&amp;'1.4 Analyse &amp; Synthese'!C56&amp;")","")</f>
        <v/>
      </c>
      <c r="BQ55" s="387" t="str">
        <f t="array" ref="BQ55">_xlfn.IFNA(INDEX($BP$6:$BP$66,MATCH(0,COUNTIF($BQ$4:BQ54,$BP$6:$BP$66),0),1),"")</f>
        <v/>
      </c>
      <c r="BR55" s="277" t="str">
        <f>IF(AND('1.4 Analyse &amp; Synthese'!Z56=1,'1.4 Analyse &amp; Synthese'!F56="Werkzeug"),'1.4 Analyse &amp; Synthese'!I56&amp;CHAR(13)&amp;"("&amp;'(Codierung)'!$C$4&amp;" - "&amp;'1.4 Analyse &amp; Synthese'!C56&amp;")","")</f>
        <v/>
      </c>
      <c r="BS55" s="387" t="str">
        <f t="array" ref="BS55">_xlfn.IFNA(INDEX($BR$6:$BR$66,MATCH(0,COUNTIF($BS$4:BS54,$BR$6:$BR$66),0),1),"")</f>
        <v/>
      </c>
      <c r="BU55" s="277" t="str">
        <f>IF(AND('1.4 Analyse &amp; Synthese'!AA56=1,'1.4 Analyse &amp; Synthese'!F56="Empfehlung"),'1.4 Analyse &amp; Synthese'!I56&amp;CHAR(13)&amp;"("&amp;'(Codierung)'!$C$2&amp;" - "&amp;'1.4 Analyse &amp; Synthese'!C56&amp;")","")</f>
        <v/>
      </c>
      <c r="BV55" s="387" t="str">
        <f t="array" ref="BV55">_xlfn.IFNA(INDEX($BU$6:$BU$66,MATCH(0,COUNTIF($BV$4:BV54,$BU$6:$BU$66),0),1),"")</f>
        <v/>
      </c>
      <c r="BW55" s="277" t="str">
        <f>IF(AND('1.4 Analyse &amp; Synthese'!AA56=1,'1.4 Analyse &amp; Synthese'!F56="Methode"),'1.4 Analyse &amp; Synthese'!I56&amp;CHAR(13)&amp;"("&amp;'(Codierung)'!$C$3&amp;" - "&amp;'1.4 Analyse &amp; Synthese'!C56&amp;")","")</f>
        <v/>
      </c>
      <c r="BX55" s="387" t="str">
        <f t="array" ref="BX55">_xlfn.IFNA(INDEX($BW$6:$BW$66,MATCH(0,COUNTIF($BX$4:BX54,$BW$6:$BW$66),0),1),"")</f>
        <v/>
      </c>
      <c r="BY55" s="277" t="str">
        <f>IF(AND('1.4 Analyse &amp; Synthese'!AA56=1,'1.4 Analyse &amp; Synthese'!F56="Werkzeug"),'1.4 Analyse &amp; Synthese'!I56&amp;CHAR(13)&amp;"("&amp;'(Codierung)'!$C$4&amp;" - "&amp;'1.4 Analyse &amp; Synthese'!C56&amp;")","")</f>
        <v/>
      </c>
      <c r="BZ55" s="387" t="str">
        <f t="array" ref="BZ55">_xlfn.IFNA(INDEX($BY$6:$BY$66,MATCH(0,COUNTIF($BZ$4:BZ54,$BY$6:$BY$66),0),1),"")</f>
        <v/>
      </c>
      <c r="CB55" s="277" t="str">
        <f>IF(AND('1.4 Analyse &amp; Synthese'!AB56=1,'1.4 Analyse &amp; Synthese'!F56="Empfehlung"),'1.4 Analyse &amp; Synthese'!I56&amp;CHAR(13)&amp;"("&amp;'(Codierung)'!$C$2&amp;" - "&amp;'1.4 Analyse &amp; Synthese'!C56&amp;")","")</f>
        <v/>
      </c>
      <c r="CC55" s="387" t="str">
        <f t="array" ref="CC55">_xlfn.IFNA(INDEX($CB$6:$CB$66,MATCH(0,COUNTIF($CC$4:CC54,$CB$6:$CB$66),0),1),"")</f>
        <v/>
      </c>
      <c r="CD55" s="277" t="str">
        <f>IF(AND('1.4 Analyse &amp; Synthese'!AB56=1,'1.4 Analyse &amp; Synthese'!F56="Methode"),'1.4 Analyse &amp; Synthese'!I56&amp;CHAR(13)&amp;"("&amp;'(Codierung)'!$C$3&amp;" - "&amp;'1.4 Analyse &amp; Synthese'!C56&amp;")","")</f>
        <v/>
      </c>
      <c r="CE55" s="387" t="str">
        <f t="array" ref="CE55">_xlfn.IFNA(INDEX($CD$6:$CD$66,MATCH(0,COUNTIF($CE$4:CE54,$CD$6:$CD$66),0),1),"")</f>
        <v/>
      </c>
      <c r="CF55" s="277" t="str">
        <f>IF(AND('1.4 Analyse &amp; Synthese'!AB56=1,'1.4 Analyse &amp; Synthese'!F56="Werkzeug"),'1.4 Analyse &amp; Synthese'!I56&amp;CHAR(13)&amp;"("&amp;'(Codierung)'!$C$4&amp;" - "&amp;'1.4 Analyse &amp; Synthese'!C56&amp;")","")</f>
        <v/>
      </c>
      <c r="CG55" s="387" t="str">
        <f t="array" ref="CG55">_xlfn.IFNA(INDEX($CF$6:$CF$66,MATCH(0,COUNTIF($CG$4:CG54,$CF$6:$CF$66),0),1),"")</f>
        <v/>
      </c>
      <c r="CI55" s="277" t="str">
        <f>IF(AND('1.4 Analyse &amp; Synthese'!AC56=1,'1.4 Analyse &amp; Synthese'!F56="Empfehlung"),'1.4 Analyse &amp; Synthese'!I56&amp;CHAR(13)&amp;"("&amp;'(Codierung)'!$C$2&amp;" - "&amp;'1.4 Analyse &amp; Synthese'!C56&amp;")","")</f>
        <v/>
      </c>
      <c r="CJ55" s="387" t="str">
        <f t="array" ref="CJ55">_xlfn.IFNA(INDEX($CI$6:$CI$66,MATCH(0,COUNTIF($CJ$4:CJ54,$CI$6:$CI$66),0),1),"")</f>
        <v/>
      </c>
      <c r="CK55" s="277" t="str">
        <f>IF(AND('1.4 Analyse &amp; Synthese'!AC56=1,'1.4 Analyse &amp; Synthese'!F56="Methode"),'1.4 Analyse &amp; Synthese'!I56&amp;CHAR(13)&amp;"("&amp;'(Codierung)'!$C$3&amp;" - "&amp;'1.4 Analyse &amp; Synthese'!C56&amp;")","")</f>
        <v/>
      </c>
      <c r="CL55" s="387" t="str">
        <f t="array" ref="CL55">_xlfn.IFNA(INDEX($CK$6:$CK$66,MATCH(0,COUNTIF($CL$4:CL54,$CK$6:$CK$66),0),1),"")</f>
        <v/>
      </c>
      <c r="CM55" s="277" t="str">
        <f>IF(AND('1.4 Analyse &amp; Synthese'!AC56=1,'1.4 Analyse &amp; Synthese'!F56="Werkzeug"),'1.4 Analyse &amp; Synthese'!I56&amp;CHAR(13)&amp;"("&amp;'(Codierung)'!$C$4&amp;" - "&amp;'1.4 Analyse &amp; Synthese'!C56&amp;")","")</f>
        <v/>
      </c>
      <c r="CN55" s="387" t="str">
        <f t="array" ref="CN55">_xlfn.IFNA(INDEX($CM$6:$CM$66,MATCH(0,COUNTIF($CN$4:CN54,$CM$6:$CM$66),0),1),"")</f>
        <v/>
      </c>
      <c r="CP55" s="277" t="str">
        <f>IF(AND('1.4 Analyse &amp; Synthese'!AD56=1,'1.4 Analyse &amp; Synthese'!F56="Empfehlung"),'1.4 Analyse &amp; Synthese'!I56&amp;CHAR(13)&amp;"("&amp;'(Codierung)'!$C$2&amp;" - "&amp;'1.4 Analyse &amp; Synthese'!C56&amp;")","")</f>
        <v/>
      </c>
      <c r="CQ55" s="387" t="str">
        <f t="array" ref="CQ55">_xlfn.IFNA(INDEX($CP$6:$CP$66,MATCH(0,COUNTIF($CQ$4:CQ54,$CP$6:$CP$66),0),1),"")</f>
        <v/>
      </c>
      <c r="CR55" s="277" t="str">
        <f>IF(AND('1.4 Analyse &amp; Synthese'!AD56=1,'1.4 Analyse &amp; Synthese'!F56="Methode"),'1.4 Analyse &amp; Synthese'!I56&amp;CHAR(13)&amp;"("&amp;'(Codierung)'!$C$3&amp;" - "&amp;'1.4 Analyse &amp; Synthese'!C56&amp;")","")</f>
        <v/>
      </c>
      <c r="CS55" s="387" t="str">
        <f t="array" ref="CS55">_xlfn.IFNA(INDEX($CR$6:$CR$66,MATCH(0,COUNTIF($CS$4:CS54,$CR$6:$CR$66),0),1),"")</f>
        <v/>
      </c>
      <c r="CT55" s="277" t="str">
        <f>IF(AND('1.4 Analyse &amp; Synthese'!AD56=1,'1.4 Analyse &amp; Synthese'!F56="Werkzeug"),'1.4 Analyse &amp; Synthese'!I56&amp;CHAR(13)&amp;"("&amp;'(Codierung)'!$C$4&amp;" - "&amp;'1.4 Analyse &amp; Synthese'!C56&amp;")","")</f>
        <v/>
      </c>
      <c r="CU55" s="387" t="str">
        <f t="array" ref="CU55">_xlfn.IFNA(INDEX($CT$6:$CT$66,MATCH(0,COUNTIF($CU$4:CU54,$CT$6:$CT$66),0),1),"")</f>
        <v/>
      </c>
      <c r="CW55" s="277" t="str">
        <f>IF(AND('1.4 Analyse &amp; Synthese'!AE56=1,'1.4 Analyse &amp; Synthese'!F56="Empfehlung"),'1.4 Analyse &amp; Synthese'!I56&amp;CHAR(13)&amp;"("&amp;'(Codierung)'!$C$2&amp;" - "&amp;'1.4 Analyse &amp; Synthese'!C56&amp;")","")</f>
        <v/>
      </c>
      <c r="CX55" s="387" t="str">
        <f t="array" ref="CX55">_xlfn.IFNA(INDEX($CW$6:$CW$66,MATCH(0,COUNTIF($CX$4:CX54,$CW$6:$CW$66),0),1),"")</f>
        <v/>
      </c>
      <c r="CY55" s="277" t="str">
        <f>IF(AND('1.4 Analyse &amp; Synthese'!AE56=1,'1.4 Analyse &amp; Synthese'!F56="Methode"),'1.4 Analyse &amp; Synthese'!I56&amp;CHAR(13)&amp;"("&amp;'(Codierung)'!$C$3&amp;" - "&amp;'1.4 Analyse &amp; Synthese'!C56&amp;")","")</f>
        <v/>
      </c>
      <c r="CZ55" s="387" t="str">
        <f t="array" ref="CZ55">_xlfn.IFNA(INDEX($CY$6:$CY$66,MATCH(0,COUNTIF($CZ$4:CZ54,$CY$6:$CY$66),0),1),"")</f>
        <v/>
      </c>
      <c r="DA55" s="277" t="str">
        <f>IF(AND('1.4 Analyse &amp; Synthese'!AE56=1,'1.4 Analyse &amp; Synthese'!F56="Werkzeug"),'1.4 Analyse &amp; Synthese'!I56&amp;CHAR(13)&amp;"("&amp;'(Codierung)'!$C$4&amp;" - "&amp;'1.4 Analyse &amp; Synthese'!C56&amp;")","")</f>
        <v/>
      </c>
      <c r="DB55" s="387" t="str">
        <f t="array" ref="DB55">_xlfn.IFNA(INDEX($DA$6:$DA$66,MATCH(0,COUNTIF($DB$4:DB54,$DA$6:$DA$66),0),1),"")</f>
        <v/>
      </c>
      <c r="DD55" s="277" t="str">
        <f>IF(AND('1.4 Analyse &amp; Synthese'!AF56=1,'1.4 Analyse &amp; Synthese'!F56="Empfehlung"),'1.4 Analyse &amp; Synthese'!I56&amp;CHAR(13)&amp;"("&amp;'(Codierung)'!$C$2&amp;" - "&amp;'1.4 Analyse &amp; Synthese'!C56&amp;")","")</f>
        <v/>
      </c>
      <c r="DE55" s="387" t="str">
        <f t="array" ref="DE55">_xlfn.IFNA(INDEX($DD$6:$DD$66,MATCH(0,COUNTIF($DE$4:DE54,$DD$6:$DD$66),0),1),"")</f>
        <v/>
      </c>
      <c r="DF55" s="277" t="str">
        <f>IF(AND('1.4 Analyse &amp; Synthese'!AF56=1,'1.4 Analyse &amp; Synthese'!F56="Methode"),'1.4 Analyse &amp; Synthese'!I56&amp;CHAR(13)&amp;"("&amp;'(Codierung)'!$C$3&amp;" - "&amp;'1.4 Analyse &amp; Synthese'!C56&amp;")","")</f>
        <v/>
      </c>
      <c r="DG55" s="387" t="str">
        <f t="array" ref="DG55">_xlfn.IFNA(INDEX($DF$6:$DF$66,MATCH(0,COUNTIF($DG$4:DG54,$DF$6:$DF$66),0),1),"")</f>
        <v/>
      </c>
      <c r="DH55" s="277" t="str">
        <f>IF(AND('1.4 Analyse &amp; Synthese'!AF56=1,'1.4 Analyse &amp; Synthese'!F56="Werkzeug"),'1.4 Analyse &amp; Synthese'!I56&amp;CHAR(13)&amp;"("&amp;'(Codierung)'!$C$4&amp;" - "&amp;'1.4 Analyse &amp; Synthese'!C56&amp;")","")</f>
        <v/>
      </c>
      <c r="DI55" s="387" t="str">
        <f t="array" ref="DI55">_xlfn.IFNA(INDEX($DH$6:$DH$66,MATCH(0,COUNTIF($DI$4:DI54,$DH$6:$DH$66),0),1),"")</f>
        <v/>
      </c>
      <c r="DK55" s="277" t="str">
        <f>IF(AND('1.4 Analyse &amp; Synthese'!AG56=1,'1.4 Analyse &amp; Synthese'!F56="Empfehlung"),'1.4 Analyse &amp; Synthese'!I56&amp;CHAR(13)&amp;"("&amp;'(Codierung)'!$C$2&amp;" - "&amp;'1.4 Analyse &amp; Synthese'!C56&amp;")","")</f>
        <v/>
      </c>
      <c r="DL55" s="387" t="str">
        <f t="array" ref="DL55">_xlfn.IFNA(INDEX($DK$6:$DK$66,MATCH(0,COUNTIF($DL$4:DL54,$DK$6:$DK$66),0),1),"")</f>
        <v/>
      </c>
      <c r="DM55" s="277" t="str">
        <f>IF(AND('1.4 Analyse &amp; Synthese'!AG56=1,'1.4 Analyse &amp; Synthese'!F56="Methode"),'1.4 Analyse &amp; Synthese'!I56&amp;CHAR(13)&amp;"("&amp;'(Codierung)'!$C$3&amp;" - "&amp;'1.4 Analyse &amp; Synthese'!C56&amp;")","")</f>
        <v/>
      </c>
      <c r="DN55" s="387" t="str">
        <f t="array" ref="DN55">_xlfn.IFNA(INDEX($DM$6:$DM$66,MATCH(0,COUNTIF($DN$4:DN54,$DM$6:$DM$66),0),1),"")</f>
        <v/>
      </c>
      <c r="DO55" s="277" t="str">
        <f>IF(AND('1.4 Analyse &amp; Synthese'!AG56=1,'1.4 Analyse &amp; Synthese'!F56="Werkzeug"),'1.4 Analyse &amp; Synthese'!I56&amp;CHAR(13)&amp;"("&amp;'(Codierung)'!$C$4&amp;" - "&amp;'1.4 Analyse &amp; Synthese'!C56&amp;")","")</f>
        <v/>
      </c>
      <c r="DP55" s="387" t="str">
        <f t="array" ref="DP55">_xlfn.IFNA(INDEX($DO$6:$DO$66,MATCH(0,COUNTIF($DP$4:DP54,$DO$6:$DO$66),0),1),"")</f>
        <v/>
      </c>
      <c r="DR55" s="277" t="str">
        <f>IF(AND('1.4 Analyse &amp; Synthese'!AH56=1,'1.4 Analyse &amp; Synthese'!F56="Empfehlung"),'1.4 Analyse &amp; Synthese'!I56&amp;CHAR(13)&amp;"("&amp;'(Codierung)'!$C$2&amp;" - "&amp;'1.4 Analyse &amp; Synthese'!C56&amp;")","")</f>
        <v/>
      </c>
      <c r="DS55" s="387" t="str">
        <f t="array" ref="DS55">_xlfn.IFNA(INDEX($DR$6:$DR$66,MATCH(0,COUNTIF($DS$4:DS54,$DR$6:$DR$66),0),1),"")</f>
        <v/>
      </c>
      <c r="DT55" s="277" t="str">
        <f>IF(AND('1.4 Analyse &amp; Synthese'!AH56=1,'1.4 Analyse &amp; Synthese'!F56="Methode"),'1.4 Analyse &amp; Synthese'!I56&amp;CHAR(13)&amp;"("&amp;'(Codierung)'!$C$3&amp;" - "&amp;'1.4 Analyse &amp; Synthese'!C56&amp;")","")</f>
        <v/>
      </c>
      <c r="DU55" s="387" t="str">
        <f t="array" ref="DU55">_xlfn.IFNA(INDEX($DT$6:$DT$66,MATCH(0,COUNTIF($DU$4:DU54,$DT$6:$DT$66),0),1),"")</f>
        <v/>
      </c>
      <c r="DV55" s="277" t="str">
        <f>IF(AND('1.4 Analyse &amp; Synthese'!AH56=1,'1.4 Analyse &amp; Synthese'!F56="Werkzeug"),'1.4 Analyse &amp; Synthese'!I56&amp;CHAR(13)&amp;"("&amp;'(Codierung)'!$C$4&amp;" - "&amp;'1.4 Analyse &amp; Synthese'!C56&amp;")","")</f>
        <v/>
      </c>
      <c r="DW55" s="387" t="str">
        <f t="array" ref="DW55">_xlfn.IFNA(INDEX($DV$6:$DV$66,MATCH(0,COUNTIF($DW$4:DW54,$DV$6:$DV$66),0),1),"")</f>
        <v/>
      </c>
      <c r="DY55" s="277" t="str">
        <f>IF(AND('1.4 Analyse &amp; Synthese'!AI56=1,'1.4 Analyse &amp; Synthese'!F56="Empfehlung"),'1.4 Analyse &amp; Synthese'!I56&amp;CHAR(13)&amp;"("&amp;'(Codierung)'!$C$2&amp;" - "&amp;'1.4 Analyse &amp; Synthese'!C56&amp;")","")</f>
        <v/>
      </c>
      <c r="DZ55" s="387" t="str">
        <f t="array" ref="DZ55">_xlfn.IFNA(INDEX($DY$6:$DY$66,MATCH(0,COUNTIF($DZ$4:DZ54,$DY$6:$DY$66),0),1),"")</f>
        <v/>
      </c>
      <c r="EA55" s="277" t="str">
        <f>IF(AND('1.4 Analyse &amp; Synthese'!AI56=1,'1.4 Analyse &amp; Synthese'!F56="Methode"),'1.4 Analyse &amp; Synthese'!I56&amp;CHAR(13)&amp;"("&amp;'(Codierung)'!$C$3&amp;" - "&amp;'1.4 Analyse &amp; Synthese'!C56&amp;")","")</f>
        <v/>
      </c>
      <c r="EB55" s="387" t="str">
        <f t="array" ref="EB55">_xlfn.IFNA(INDEX($EA$6:$EA$66,MATCH(0,COUNTIF($EB$4:EB54,$EA$6:$EA$66),0),1),"")</f>
        <v/>
      </c>
      <c r="EC55" s="277" t="str">
        <f>IF(AND('1.4 Analyse &amp; Synthese'!AI56=1,'1.4 Analyse &amp; Synthese'!F56="Werkzeug"),'1.4 Analyse &amp; Synthese'!I56&amp;CHAR(13)&amp;"("&amp;'(Codierung)'!$C$4&amp;" - "&amp;'1.4 Analyse &amp; Synthese'!C56&amp;")","")</f>
        <v/>
      </c>
      <c r="ED55" s="277" t="str">
        <f t="array" ref="ED55">_xlfn.IFNA(INDEX($EC$6:$EC$66,MATCH(0,COUNTIF($ED$4:ED54,$EC$6:$EC$66),0),1),"")</f>
        <v/>
      </c>
      <c r="EF55" s="277" t="str">
        <f>IF(AND('1.4 Analyse &amp; Synthese'!AJ56=1,'1.4 Analyse &amp; Synthese'!F56="Empfehlung"),'1.4 Analyse &amp; Synthese'!I56&amp;CHAR(13)&amp;"("&amp;'(Codierung)'!$C$2&amp;" - "&amp;'1.4 Analyse &amp; Synthese'!C56&amp;")","")</f>
        <v/>
      </c>
      <c r="EG55" s="277" t="str">
        <f t="array" ref="EG55">_xlfn.IFNA(INDEX($EF$6:$EF$66,MATCH(0,COUNTIF($EG$4:EG54,$EF$6:$EF$66),0),1),"")</f>
        <v/>
      </c>
      <c r="EH55" s="277" t="str">
        <f>IF(AND('1.4 Analyse &amp; Synthese'!AJ56=1,'1.4 Analyse &amp; Synthese'!F56="Methode"),'1.4 Analyse &amp; Synthese'!I56&amp;CHAR(13)&amp;"("&amp;'(Codierung)'!$C$3&amp;" - "&amp;'1.4 Analyse &amp; Synthese'!C56&amp;")","")</f>
        <v/>
      </c>
      <c r="EI55" s="387" t="str">
        <f t="array" ref="EI55">_xlfn.IFNA(INDEX($EH$6:$EH$66,MATCH(0,COUNTIF($EI$4:EI54,$EH$6:$EH$66),0),1),"")</f>
        <v/>
      </c>
      <c r="EJ55" s="277" t="str">
        <f>IF(AND('1.4 Analyse &amp; Synthese'!AJ56=1,'1.4 Analyse &amp; Synthese'!F56="Werkzeug"),'1.4 Analyse &amp; Synthese'!I56&amp;CHAR(13)&amp;"("&amp;'(Codierung)'!$C$4&amp;" - "&amp;'1.4 Analyse &amp; Synthese'!C56&amp;")","")</f>
        <v/>
      </c>
      <c r="EK55" s="387" t="str">
        <f t="array" ref="EK55">_xlfn.IFNA(INDEX($EJ$6:$EJ$66,MATCH(0,COUNTIF($EK$4:EK54,$EJ$6:$EJ$66),0),1),"")</f>
        <v/>
      </c>
      <c r="EN55" s="222" t="str">
        <f t="shared" si="60"/>
        <v/>
      </c>
      <c r="EO55" s="277" t="str">
        <f t="shared" si="61"/>
        <v/>
      </c>
      <c r="EP55" s="277" t="str">
        <f t="shared" si="62"/>
        <v/>
      </c>
      <c r="EQ55" s="277" t="str">
        <f>ZahlenInBereich(Tabelle1[[Empfehlung]:[Werkzeug]],ROW()-5)</f>
        <v/>
      </c>
      <c r="ER55" s="277" t="str">
        <f t="shared" si="63"/>
        <v/>
      </c>
      <c r="ES55" s="277" t="str">
        <f t="shared" si="64"/>
        <v/>
      </c>
      <c r="ET55" s="277" t="str">
        <f t="shared" si="65"/>
        <v/>
      </c>
      <c r="EU55" s="277" t="str">
        <f>ZahlenInBereich(Tabelle1[[Empfehlung2]:[Werkzeug4]],ROW()-5)</f>
        <v/>
      </c>
      <c r="EV55" s="277" t="str">
        <f t="shared" si="66"/>
        <v/>
      </c>
      <c r="EW55" s="277" t="str">
        <f t="shared" si="67"/>
        <v/>
      </c>
      <c r="EX55" s="277" t="str">
        <f t="shared" si="68"/>
        <v/>
      </c>
      <c r="EY55" s="277" t="str">
        <f>ZahlenInBereich(Tabelle1[[Empfehlung6]:[Werkzeug8]],ROW()-5)</f>
        <v/>
      </c>
      <c r="EZ55" s="277" t="str">
        <f t="shared" si="69"/>
        <v/>
      </c>
      <c r="FA55" s="277" t="str">
        <f t="shared" si="70"/>
        <v/>
      </c>
      <c r="FB55" s="277" t="str">
        <f t="shared" si="71"/>
        <v/>
      </c>
      <c r="FC55" s="277" t="str">
        <f>ZahlenInBereich(Tabelle1[[Empfehlung10]:[Werkzeug12]],ROW()-5)</f>
        <v/>
      </c>
      <c r="FD55" s="277" t="str">
        <f t="shared" si="72"/>
        <v/>
      </c>
      <c r="FE55" s="277" t="str">
        <f t="shared" si="73"/>
        <v/>
      </c>
      <c r="FF55" s="277" t="str">
        <f t="shared" si="74"/>
        <v/>
      </c>
      <c r="FG55" s="277" t="str">
        <f>ZahlenInBereich(Tabelle1[[Empfehlung14]:[Werkzeug16]],ROW()-5)</f>
        <v/>
      </c>
      <c r="FH55" s="277" t="str">
        <f t="shared" si="75"/>
        <v/>
      </c>
      <c r="FI55" s="277" t="str">
        <f t="shared" si="76"/>
        <v/>
      </c>
      <c r="FJ55" s="277" t="str">
        <f t="shared" si="77"/>
        <v/>
      </c>
      <c r="FK55" s="277" t="str">
        <f>ZahlenInBereich(Tabelle1[[Empfehlung18]:[Werkzeug20]],ROW()-5)</f>
        <v/>
      </c>
      <c r="FL55" s="277" t="str">
        <f t="shared" si="78"/>
        <v/>
      </c>
      <c r="FM55" s="277" t="str">
        <f t="shared" si="79"/>
        <v/>
      </c>
      <c r="FN55" s="277" t="str">
        <f t="shared" si="80"/>
        <v/>
      </c>
      <c r="FO55" s="277" t="str">
        <f>ZahlenInBereich(Tabelle1[[Empfehlung22]:[Werkzeug24]],ROW()-5)</f>
        <v/>
      </c>
      <c r="FP55" s="277" t="str">
        <f t="shared" si="81"/>
        <v/>
      </c>
      <c r="FQ55" s="277" t="str">
        <f t="shared" si="82"/>
        <v/>
      </c>
      <c r="FR55" s="277" t="str">
        <f t="shared" si="83"/>
        <v/>
      </c>
      <c r="FS55" s="277" t="str">
        <f>ZahlenInBereich(Tabelle1[[Empfehlung26]:[Werkzeug28]],ROW()-5)</f>
        <v/>
      </c>
      <c r="FT55" s="277" t="str">
        <f t="shared" si="84"/>
        <v/>
      </c>
      <c r="FU55" s="277" t="str">
        <f t="shared" si="85"/>
        <v/>
      </c>
      <c r="FV55" s="277" t="str">
        <f t="shared" si="86"/>
        <v/>
      </c>
      <c r="FW55" s="277" t="str">
        <f>ZahlenInBereich(Tabelle1[[Empfehlung30]:[Werkzeug32]],ROW()-5)</f>
        <v/>
      </c>
      <c r="FX55" s="277" t="str">
        <f t="shared" si="87"/>
        <v/>
      </c>
      <c r="FY55" s="277" t="str">
        <f t="shared" si="88"/>
        <v/>
      </c>
      <c r="FZ55" s="277" t="str">
        <f t="shared" si="89"/>
        <v/>
      </c>
      <c r="GA55" s="277" t="str">
        <f>ZahlenInBereich(Tabelle1[[Empfehlung34]:[Werkzeug36]],ROW()-5)</f>
        <v/>
      </c>
      <c r="GB55" s="277" t="str">
        <f t="shared" si="90"/>
        <v/>
      </c>
      <c r="GC55" s="277" t="str">
        <f t="shared" si="91"/>
        <v/>
      </c>
      <c r="GD55" s="277" t="str">
        <f t="shared" si="92"/>
        <v/>
      </c>
      <c r="GE55" s="277" t="str">
        <f>ZahlenInBereich(Tabelle1[[Empfehlung38]:[Werkzeug40]],ROW()-5)</f>
        <v/>
      </c>
      <c r="GF55" s="277" t="str">
        <f t="shared" si="93"/>
        <v/>
      </c>
      <c r="GG55" s="277" t="str">
        <f t="shared" si="94"/>
        <v/>
      </c>
      <c r="GH55" s="277" t="str">
        <f t="shared" si="95"/>
        <v/>
      </c>
      <c r="GI55" s="277" t="str">
        <f>ZahlenInBereich(Tabelle1[[Empfehlung42]:[Werkzeug44]],ROW()-5)</f>
        <v/>
      </c>
      <c r="GJ55" s="277" t="str">
        <f t="shared" si="96"/>
        <v/>
      </c>
      <c r="GK55" s="277" t="str">
        <f t="shared" si="97"/>
        <v/>
      </c>
      <c r="GL55" s="277" t="str">
        <f t="shared" si="98"/>
        <v/>
      </c>
      <c r="GM55" s="277" t="str">
        <f>ZahlenInBereich(Tabelle1[[Empfehlung46]:[Werkzeug48]],ROW()-5)</f>
        <v/>
      </c>
      <c r="GN55" s="277" t="str">
        <f t="shared" si="99"/>
        <v/>
      </c>
      <c r="GO55" s="277" t="str">
        <f t="shared" si="100"/>
        <v/>
      </c>
      <c r="GP55" s="277" t="str">
        <f t="shared" si="101"/>
        <v/>
      </c>
      <c r="GQ55" s="277" t="str">
        <f>ZahlenInBereich(Tabelle1[[Empfehlung50]:[Werkzeug52]],ROW()-5)</f>
        <v/>
      </c>
      <c r="GR55" s="277" t="str">
        <f t="shared" si="102"/>
        <v/>
      </c>
      <c r="GS55" s="277" t="str">
        <f t="shared" si="103"/>
        <v/>
      </c>
      <c r="GT55" s="277" t="str">
        <f t="shared" si="104"/>
        <v/>
      </c>
      <c r="GU55" s="277" t="str">
        <f>ZahlenInBereich(Tabelle1[[Empfehlung54]:[Werkzeug56]],ROW()-5)</f>
        <v/>
      </c>
      <c r="GV55" s="277" t="str">
        <f t="shared" si="105"/>
        <v/>
      </c>
      <c r="GW55" s="277" t="str">
        <f t="shared" si="106"/>
        <v/>
      </c>
      <c r="GX55" s="277" t="str">
        <f t="shared" si="107"/>
        <v/>
      </c>
      <c r="GY55" s="277" t="str">
        <f>ZahlenInBereich(Tabelle1[[Empfehlung58]:[Werkzeug60]],ROW()-5)</f>
        <v/>
      </c>
      <c r="GZ55" s="277" t="str">
        <f t="shared" si="108"/>
        <v/>
      </c>
      <c r="HA55" s="277" t="str">
        <f t="shared" si="109"/>
        <v/>
      </c>
      <c r="HB55" s="277" t="str">
        <f t="shared" si="110"/>
        <v/>
      </c>
      <c r="HC55" s="277" t="str">
        <f>ZahlenInBereich(Tabelle1[[Empfehlung62]:[Werkzeug64]],ROW()-5)</f>
        <v/>
      </c>
      <c r="HD55" s="277" t="str">
        <f t="shared" si="111"/>
        <v/>
      </c>
      <c r="HE55" s="277" t="str">
        <f t="shared" si="112"/>
        <v/>
      </c>
      <c r="HF55" s="277" t="str">
        <f t="shared" si="113"/>
        <v/>
      </c>
      <c r="HG55" s="277" t="str">
        <f>ZahlenInBereich(Tabelle1[[Empfehlung66]:[Werkzeug68]],ROW()-5)</f>
        <v/>
      </c>
      <c r="HH55" s="277" t="str">
        <f t="shared" si="114"/>
        <v/>
      </c>
      <c r="HI55" s="277" t="str">
        <f t="shared" si="115"/>
        <v/>
      </c>
      <c r="HJ55" s="277" t="str">
        <f t="shared" si="116"/>
        <v/>
      </c>
      <c r="HK55" s="277" t="str">
        <f>ZahlenInBereich(Tabelle1[[Empfehlung70]:[Werkzeug72]],ROW()-5)</f>
        <v/>
      </c>
      <c r="HL55" s="277" t="str">
        <f t="shared" si="117"/>
        <v/>
      </c>
      <c r="HM55" s="277" t="str">
        <f t="shared" si="118"/>
        <v/>
      </c>
      <c r="HN55" s="277" t="str">
        <f t="shared" si="119"/>
        <v/>
      </c>
      <c r="HO55" s="277" t="str">
        <f>ZahlenInBereich(Tabelle1[[Empfehlung74]:[Werkzeug76]],ROW()-5)</f>
        <v/>
      </c>
    </row>
    <row r="56" spans="2:223" x14ac:dyDescent="0.2">
      <c r="B56" s="135">
        <f>'1.4 Analyse &amp; Synthese'!B57</f>
        <v>0</v>
      </c>
      <c r="C56" s="277" t="str">
        <f>IF(AND('1.4 Analyse &amp; Synthese'!Q57=1,'1.4 Analyse &amp; Synthese'!F57="Empfehlung"),'1.4 Analyse &amp; Synthese'!I57&amp;CHAR(13)&amp;"("&amp;'(Codierung)'!$C$2&amp;" - "&amp;'1.4 Analyse &amp; Synthese'!C57&amp;")","")</f>
        <v/>
      </c>
      <c r="D56" s="222" t="str">
        <f t="array" ref="D56">_xlfn.IFNA(INDEX($C$6:$C$66,MATCH(0,COUNTIF($D$4:D55,$C$6:$C$66),0),1),"")</f>
        <v/>
      </c>
      <c r="E56" s="277" t="str">
        <f>IF(AND('1.4 Analyse &amp; Synthese'!Q57=1,'1.4 Analyse &amp; Synthese'!F57="Methode"),'1.4 Analyse &amp; Synthese'!I57&amp;CHAR(13)&amp;"("&amp;'(Codierung)'!$C$3&amp;" - "&amp;'1.4 Analyse &amp; Synthese'!C57&amp;")","")</f>
        <v/>
      </c>
      <c r="F56" s="387" t="str">
        <f t="array" ref="F56">_xlfn.IFNA(INDEX($E$6:$E$66,MATCH(0,COUNTIF($F$4:F55,$E$6:$E$66),0),1),"")</f>
        <v/>
      </c>
      <c r="G56" s="277" t="str">
        <f>IF(AND('1.4 Analyse &amp; Synthese'!Q57=1,'1.4 Analyse &amp; Synthese'!F57="Werkzeug"),'1.4 Analyse &amp; Synthese'!I57&amp;CHAR(13)&amp;"("&amp;'(Codierung)'!$C$4&amp;" - "&amp;'1.4 Analyse &amp; Synthese'!C57&amp;")","")</f>
        <v/>
      </c>
      <c r="H56" s="387" t="str">
        <f t="array" ref="H56">_xlfn.IFNA(INDEX($G$6:$G$66,MATCH(0,COUNTIF($H$4:H55,$G$6:$G$66),0),1),"")</f>
        <v/>
      </c>
      <c r="J56" s="277" t="str">
        <f>IF(AND('1.4 Analyse &amp; Synthese'!R57=1,'1.4 Analyse &amp; Synthese'!F57="Empfehlung"),'1.4 Analyse &amp; Synthese'!I57&amp;CHAR(13)&amp;"("&amp;'(Codierung)'!$C$2&amp;" - "&amp;'1.4 Analyse &amp; Synthese'!C57&amp;")","")</f>
        <v/>
      </c>
      <c r="K56" s="387" t="str">
        <f t="array" ref="K56">_xlfn.IFNA(INDEX($J$6:$J$66,MATCH(0,COUNTIF($K$4:K55,$J$6:$J$66),0),1),"")</f>
        <v/>
      </c>
      <c r="L56" s="277" t="str">
        <f>IF(AND('1.4 Analyse &amp; Synthese'!R57=1,'1.4 Analyse &amp; Synthese'!F57="Methode"),'1.4 Analyse &amp; Synthese'!I57&amp;CHAR(13)&amp;"("&amp;'(Codierung)'!$C$3&amp;" - "&amp;'1.4 Analyse &amp; Synthese'!C57&amp;")","")</f>
        <v/>
      </c>
      <c r="M56" s="387" t="str">
        <f t="array" ref="M56">_xlfn.IFNA(INDEX($L$6:$L$66,MATCH(0,COUNTIF($M$4:M55,$L$6:$L$66),0),1),"")</f>
        <v/>
      </c>
      <c r="N56" s="277" t="str">
        <f>IF(AND('1.4 Analyse &amp; Synthese'!R57=1,'1.4 Analyse &amp; Synthese'!F57="Werkzeug"),'1.4 Analyse &amp; Synthese'!I57&amp;CHAR(13)&amp;"("&amp;'(Codierung)'!$C$4&amp;" - "&amp;'1.4 Analyse &amp; Synthese'!C57&amp;")","")</f>
        <v/>
      </c>
      <c r="O56" s="387" t="str">
        <f t="array" ref="O56">_xlfn.IFNA(INDEX($N$6:$N$66,MATCH(0,COUNTIF($O$4:O55,$N$6:$N$66),0),1),"")</f>
        <v/>
      </c>
      <c r="Q56" s="277" t="str">
        <f>IF(AND('1.4 Analyse &amp; Synthese'!S57=1,'1.4 Analyse &amp; Synthese'!F57="Empfehlung"),'1.4 Analyse &amp; Synthese'!I57&amp;CHAR(13)&amp;"("&amp;'(Codierung)'!$C$2&amp;" - "&amp;'1.4 Analyse &amp; Synthese'!C57&amp;")","")</f>
        <v/>
      </c>
      <c r="R56" s="387" t="str">
        <f t="array" ref="R56">_xlfn.IFNA(INDEX($Q$6:$Q$66,MATCH(0,COUNTIF($R$4:R55,$Q$6:$Q$66),0),1),"")</f>
        <v/>
      </c>
      <c r="S56" s="277" t="str">
        <f>IF(AND('1.4 Analyse &amp; Synthese'!S57=1,'1.4 Analyse &amp; Synthese'!F57="Methode"),'1.4 Analyse &amp; Synthese'!I57&amp;CHAR(13)&amp;"("&amp;'(Codierung)'!$C$3&amp;" - "&amp;'1.4 Analyse &amp; Synthese'!C57&amp;")","")</f>
        <v/>
      </c>
      <c r="T56" s="387" t="str">
        <f t="array" ref="T56">_xlfn.IFNA(INDEX($S$6:$S$66,MATCH(0,COUNTIF($T$4:T55,$S$6:$S$66),0),1),"")</f>
        <v/>
      </c>
      <c r="U56" s="277" t="str">
        <f>IF(AND('1.4 Analyse &amp; Synthese'!S57=1,'1.4 Analyse &amp; Synthese'!F57="Werkzeug"),'1.4 Analyse &amp; Synthese'!I57&amp;CHAR(13)&amp;"("&amp;'(Codierung)'!$C$4&amp;" - "&amp;'1.4 Analyse &amp; Synthese'!C57&amp;")","")</f>
        <v/>
      </c>
      <c r="V56" s="387" t="str">
        <f t="array" ref="V56">_xlfn.IFNA(INDEX($U$6:$U$66,MATCH(0,COUNTIF($V$4:V55,$U$6:$U$66),0),1),"")</f>
        <v/>
      </c>
      <c r="X56" s="277" t="str">
        <f>IF(AND('1.4 Analyse &amp; Synthese'!T57=1,'1.4 Analyse &amp; Synthese'!F57="Empfehlung"),'1.4 Analyse &amp; Synthese'!I57&amp;CHAR(13)&amp;"("&amp;'(Codierung)'!$C$2&amp;" - "&amp;'1.4 Analyse &amp; Synthese'!C57&amp;")","")</f>
        <v/>
      </c>
      <c r="Y56" s="387" t="str">
        <f t="array" ref="Y56">_xlfn.IFNA(INDEX($X$6:$X$66,MATCH(0,COUNTIF($Y$4:Y55,$X$6:$X$66),0),1),"")</f>
        <v/>
      </c>
      <c r="Z56" s="277" t="str">
        <f>IF(AND('1.4 Analyse &amp; Synthese'!T57=1,'1.4 Analyse &amp; Synthese'!F57="Methode"),'1.4 Analyse &amp; Synthese'!I57&amp;CHAR(13)&amp;"("&amp;'(Codierung)'!$C$3&amp;" - "&amp;'1.4 Analyse &amp; Synthese'!C57&amp;")","")</f>
        <v/>
      </c>
      <c r="AA56" s="387" t="str">
        <f t="array" ref="AA56">_xlfn.IFNA(INDEX($Z$6:$Z$66,MATCH(0,COUNTIF($AA$4:AA55,$Z$6:$Z$66),0),1),"")</f>
        <v/>
      </c>
      <c r="AB56" s="277" t="str">
        <f>IF(AND('1.4 Analyse &amp; Synthese'!T57=1,'1.4 Analyse &amp; Synthese'!F57="Werkzeug"),'1.4 Analyse &amp; Synthese'!I57&amp;CHAR(13)&amp;"("&amp;'(Codierung)'!$C$4&amp;" - "&amp;'1.4 Analyse &amp; Synthese'!C57&amp;")","")</f>
        <v/>
      </c>
      <c r="AC56" s="387" t="str">
        <f t="array" ref="AC56">_xlfn.IFNA(INDEX($AB$6:$AB$66,MATCH(0,COUNTIF($AC$4:AC55,$AB$6:$AB$66),0),1),"")</f>
        <v/>
      </c>
      <c r="AE56" s="277" t="str">
        <f>IF(AND('1.4 Analyse &amp; Synthese'!U57=1,'1.4 Analyse &amp; Synthese'!F57="Empfehlung"),'1.4 Analyse &amp; Synthese'!I57&amp;CHAR(13)&amp;"("&amp;'(Codierung)'!$C$2&amp;" - "&amp;'1.4 Analyse &amp; Synthese'!C57&amp;")","")</f>
        <v/>
      </c>
      <c r="AF56" s="387" t="str">
        <f t="array" ref="AF56">_xlfn.IFNA(INDEX($AE$6:$AE$66,MATCH(0,COUNTIF($AF$4:AF55,$AE$6:$AE$66),0),1),"")</f>
        <v/>
      </c>
      <c r="AG56" s="277" t="str">
        <f>IF(AND('1.4 Analyse &amp; Synthese'!U57=1,'1.4 Analyse &amp; Synthese'!F57="Methode"),'1.4 Analyse &amp; Synthese'!I57&amp;CHAR(13)&amp;"("&amp;'(Codierung)'!$C$3&amp;" - "&amp;'1.4 Analyse &amp; Synthese'!C57&amp;")","")</f>
        <v/>
      </c>
      <c r="AH56" s="387" t="str">
        <f t="array" ref="AH56">_xlfn.IFNA(INDEX($AG$6:$AG$66,MATCH(0,COUNTIF($AH$4:AH55,$AG$6:$AG$66),0),1),"")</f>
        <v/>
      </c>
      <c r="AI56" s="277" t="str">
        <f>IF(AND('1.4 Analyse &amp; Synthese'!U57=1,'1.4 Analyse &amp; Synthese'!F57="Werkzeug"),'1.4 Analyse &amp; Synthese'!I57&amp;CHAR(13)&amp;"("&amp;'(Codierung)'!$C$4&amp;" - "&amp;'1.4 Analyse &amp; Synthese'!C57&amp;")","")</f>
        <v/>
      </c>
      <c r="AJ56" s="387" t="str">
        <f t="array" ref="AJ56">_xlfn.IFNA(INDEX($AI$6:$AI$66,MATCH(0,COUNTIF($AJ$4:AJ55,$AI$6:$AI$66),0),1),"")</f>
        <v/>
      </c>
      <c r="AL56" s="277" t="str">
        <f>IF(AND('1.4 Analyse &amp; Synthese'!V57=1,'1.4 Analyse &amp; Synthese'!F57="Empfehlung"),'1.4 Analyse &amp; Synthese'!I57&amp;CHAR(13)&amp;"("&amp;'(Codierung)'!$C$2&amp;" - "&amp;'1.4 Analyse &amp; Synthese'!C57&amp;")","")</f>
        <v/>
      </c>
      <c r="AM56" s="387" t="str">
        <f t="array" ref="AM56">_xlfn.IFNA(INDEX($AL$6:$AL$66,MATCH(0,COUNTIF($AM$4:AM55,$AL$6:$AL$66),0),1),"")</f>
        <v/>
      </c>
      <c r="AN56" s="277" t="str">
        <f>IF(AND('1.4 Analyse &amp; Synthese'!V57=1,'1.4 Analyse &amp; Synthese'!F57="Methode"),'1.4 Analyse &amp; Synthese'!I57&amp;CHAR(13)&amp;"("&amp;'(Codierung)'!$C$3&amp;" - "&amp;'1.4 Analyse &amp; Synthese'!C57&amp;")","")</f>
        <v/>
      </c>
      <c r="AO56" s="387" t="str">
        <f t="array" ref="AO56">_xlfn.IFNA(INDEX($AN$6:$AN$66,MATCH(0,COUNTIF($AO$4:AO55,$AN$6:$AN$66),0),1),"")</f>
        <v/>
      </c>
      <c r="AP56" s="277" t="str">
        <f>IF(AND('1.4 Analyse &amp; Synthese'!V57=1,'1.4 Analyse &amp; Synthese'!F57="Werkzeug"),'1.4 Analyse &amp; Synthese'!I57&amp;CHAR(13)&amp;"("&amp;'(Codierung)'!$C$4&amp;" - "&amp;'1.4 Analyse &amp; Synthese'!C57&amp;")","")</f>
        <v/>
      </c>
      <c r="AQ56" s="387" t="str">
        <f t="array" ref="AQ56">_xlfn.IFNA(INDEX($AP$6:$AP$66,MATCH(0,COUNTIF($AQ$4:AQ55,$AP$6:$AP$66),0),1),"")</f>
        <v/>
      </c>
      <c r="AS56" s="277" t="str">
        <f>IF(AND('1.4 Analyse &amp; Synthese'!W57=1,'1.4 Analyse &amp; Synthese'!F57="Empfehlung"),'1.4 Analyse &amp; Synthese'!I57&amp;CHAR(13)&amp;"("&amp;'(Codierung)'!$C$2&amp;" - "&amp;'1.4 Analyse &amp; Synthese'!C57&amp;")","")</f>
        <v/>
      </c>
      <c r="AT56" s="387" t="str">
        <f t="array" ref="AT56">_xlfn.IFNA(INDEX($AS$6:$AS$66,MATCH(0,COUNTIF($AT$4:AT55,$AS$6:$AS$66),0),1),"")</f>
        <v/>
      </c>
      <c r="AU56" s="277" t="str">
        <f>IF(AND('1.4 Analyse &amp; Synthese'!W57=1,'1.4 Analyse &amp; Synthese'!F57="Methode"),'1.4 Analyse &amp; Synthese'!I57&amp;CHAR(13)&amp;"("&amp;'(Codierung)'!$C$3&amp;" - "&amp;'1.4 Analyse &amp; Synthese'!C57&amp;")","")</f>
        <v/>
      </c>
      <c r="AV56" s="387" t="str">
        <f t="array" ref="AV56">_xlfn.IFNA(INDEX($AU$6:$AU$66,MATCH(0,COUNTIF($AV$4:AV55,$AU$6:$AU$66),0),1),"")</f>
        <v/>
      </c>
      <c r="AW56" s="277" t="str">
        <f>IF(AND('1.4 Analyse &amp; Synthese'!W57=1,'1.4 Analyse &amp; Synthese'!F57="Werkzeug"),'1.4 Analyse &amp; Synthese'!I57&amp;CHAR(13)&amp;"("&amp;'(Codierung)'!$C$4&amp;" - "&amp;'1.4 Analyse &amp; Synthese'!C57&amp;")","")</f>
        <v/>
      </c>
      <c r="AX56" s="387" t="str">
        <f t="array" ref="AX56">_xlfn.IFNA(INDEX($AW$6:$AW$66,MATCH(0,COUNTIF($AX$4:AX55,$AW$6:$AW$66),0),1),"")</f>
        <v/>
      </c>
      <c r="AZ56" s="277" t="str">
        <f>IF(AND('1.4 Analyse &amp; Synthese'!X57=1,'1.4 Analyse &amp; Synthese'!F57="Empfehlung"),'1.4 Analyse &amp; Synthese'!I57&amp;CHAR(13)&amp;"("&amp;'(Codierung)'!$C$2&amp;" - "&amp;'1.4 Analyse &amp; Synthese'!C57&amp;")","")</f>
        <v/>
      </c>
      <c r="BA56" s="387" t="str">
        <f t="array" ref="BA56">_xlfn.IFNA(INDEX($AZ$6:$AZ$66,MATCH(0,COUNTIF($BA$4:BA55,$AZ$6:$AZ$66),0),1),"")</f>
        <v/>
      </c>
      <c r="BB56" s="277" t="str">
        <f>IF(AND('1.4 Analyse &amp; Synthese'!X57=1,'1.4 Analyse &amp; Synthese'!F57="Methode"),'1.4 Analyse &amp; Synthese'!I57&amp;CHAR(13)&amp;"("&amp;'(Codierung)'!$C$3&amp;" - "&amp;'1.4 Analyse &amp; Synthese'!C57&amp;")","")</f>
        <v/>
      </c>
      <c r="BC56" s="387" t="str">
        <f t="array" ref="BC56">_xlfn.IFNA(INDEX($BB$6:$BB$66,MATCH(0,COUNTIF($BC$4:BC55,$BB$6:$BB$66),0),1),"")</f>
        <v/>
      </c>
      <c r="BD56" s="277" t="str">
        <f>IF(AND('1.4 Analyse &amp; Synthese'!X57=1,'1.4 Analyse &amp; Synthese'!F57="Werkzeug"),'1.4 Analyse &amp; Synthese'!I57&amp;CHAR(13)&amp;"("&amp;'(Codierung)'!$C$4&amp;" - "&amp;'1.4 Analyse &amp; Synthese'!C57&amp;")","")</f>
        <v/>
      </c>
      <c r="BE56" s="387" t="str">
        <f t="array" ref="BE56">_xlfn.IFNA(INDEX($BD$6:$BD$66,MATCH(0,COUNTIF($BE$4:BE55,$BD$6:$BD$66),0),1),"")</f>
        <v/>
      </c>
      <c r="BG56" s="277" t="str">
        <f>IF(AND('1.4 Analyse &amp; Synthese'!Y57=1,'1.4 Analyse &amp; Synthese'!F57="Empfehlung"),'1.4 Analyse &amp; Synthese'!I57&amp;CHAR(13)&amp;"("&amp;'(Codierung)'!$C$2&amp;" - "&amp;'1.4 Analyse &amp; Synthese'!C57&amp;")","")</f>
        <v/>
      </c>
      <c r="BH56" s="387" t="str">
        <f t="array" ref="BH56">_xlfn.IFNA(INDEX($BG$6:$BG$66,MATCH(0,COUNTIF($BH$4:BH55,$BG$6:$BG$66),0),1),"")</f>
        <v/>
      </c>
      <c r="BI56" s="277" t="str">
        <f>IF(AND('1.4 Analyse &amp; Synthese'!Y57=1,'1.4 Analyse &amp; Synthese'!F57="Methode"),'1.4 Analyse &amp; Synthese'!I57&amp;CHAR(13)&amp;"("&amp;'(Codierung)'!$C$3&amp;" - "&amp;'1.4 Analyse &amp; Synthese'!C57&amp;")","")</f>
        <v/>
      </c>
      <c r="BJ56" s="387" t="str">
        <f t="array" ref="BJ56">_xlfn.IFNA(INDEX($BI$6:$BI$66,MATCH(0,COUNTIF($BJ$4:BJ55,$BI$6:$BI$66),0),1),"")</f>
        <v/>
      </c>
      <c r="BK56" s="277" t="str">
        <f>IF(AND('1.4 Analyse &amp; Synthese'!Y57=1,'1.4 Analyse &amp; Synthese'!F57="Werkzeug"),'1.4 Analyse &amp; Synthese'!I57&amp;CHAR(13)&amp;"("&amp;'(Codierung)'!$C$4&amp;" - "&amp;'1.4 Analyse &amp; Synthese'!C57&amp;")","")</f>
        <v/>
      </c>
      <c r="BL56" s="387" t="str">
        <f t="array" ref="BL56">_xlfn.IFNA(INDEX($BK$6:$BK$66,MATCH(0,COUNTIF($BL$4:BL55,$BK$6:$BK$66),0),1),"")</f>
        <v/>
      </c>
      <c r="BN56" s="277" t="str">
        <f>IF(AND('1.4 Analyse &amp; Synthese'!Z57=1,'1.4 Analyse &amp; Synthese'!F57="Empfehlung"),'1.4 Analyse &amp; Synthese'!I57&amp;CHAR(13)&amp;"("&amp;'(Codierung)'!$C$2&amp;" - "&amp;'1.4 Analyse &amp; Synthese'!C57&amp;")","")</f>
        <v/>
      </c>
      <c r="BO56" s="387" t="str">
        <f t="array" ref="BO56">_xlfn.IFNA(INDEX($BN$6:$BN$66,MATCH(0,COUNTIF($BO$4:BO55,$BN$6:$BN$66),0),1),"")</f>
        <v/>
      </c>
      <c r="BP56" s="277" t="str">
        <f>IF(AND('1.4 Analyse &amp; Synthese'!Z57=1,'1.4 Analyse &amp; Synthese'!F57="Methode"),'1.4 Analyse &amp; Synthese'!I57&amp;CHAR(13)&amp;"("&amp;'(Codierung)'!$C$3&amp;" - "&amp;'1.4 Analyse &amp; Synthese'!C57&amp;")","")</f>
        <v/>
      </c>
      <c r="BQ56" s="387" t="str">
        <f t="array" ref="BQ56">_xlfn.IFNA(INDEX($BP$6:$BP$66,MATCH(0,COUNTIF($BQ$4:BQ55,$BP$6:$BP$66),0),1),"")</f>
        <v/>
      </c>
      <c r="BR56" s="277" t="str">
        <f>IF(AND('1.4 Analyse &amp; Synthese'!Z57=1,'1.4 Analyse &amp; Synthese'!F57="Werkzeug"),'1.4 Analyse &amp; Synthese'!I57&amp;CHAR(13)&amp;"("&amp;'(Codierung)'!$C$4&amp;" - "&amp;'1.4 Analyse &amp; Synthese'!C57&amp;")","")</f>
        <v/>
      </c>
      <c r="BS56" s="387" t="str">
        <f t="array" ref="BS56">_xlfn.IFNA(INDEX($BR$6:$BR$66,MATCH(0,COUNTIF($BS$4:BS55,$BR$6:$BR$66),0),1),"")</f>
        <v/>
      </c>
      <c r="BU56" s="277" t="str">
        <f>IF(AND('1.4 Analyse &amp; Synthese'!AA57=1,'1.4 Analyse &amp; Synthese'!F57="Empfehlung"),'1.4 Analyse &amp; Synthese'!I57&amp;CHAR(13)&amp;"("&amp;'(Codierung)'!$C$2&amp;" - "&amp;'1.4 Analyse &amp; Synthese'!C57&amp;")","")</f>
        <v/>
      </c>
      <c r="BV56" s="387" t="str">
        <f t="array" ref="BV56">_xlfn.IFNA(INDEX($BU$6:$BU$66,MATCH(0,COUNTIF($BV$4:BV55,$BU$6:$BU$66),0),1),"")</f>
        <v/>
      </c>
      <c r="BW56" s="277" t="str">
        <f>IF(AND('1.4 Analyse &amp; Synthese'!AA57=1,'1.4 Analyse &amp; Synthese'!F57="Methode"),'1.4 Analyse &amp; Synthese'!I57&amp;CHAR(13)&amp;"("&amp;'(Codierung)'!$C$3&amp;" - "&amp;'1.4 Analyse &amp; Synthese'!C57&amp;")","")</f>
        <v/>
      </c>
      <c r="BX56" s="387" t="str">
        <f t="array" ref="BX56">_xlfn.IFNA(INDEX($BW$6:$BW$66,MATCH(0,COUNTIF($BX$4:BX55,$BW$6:$BW$66),0),1),"")</f>
        <v/>
      </c>
      <c r="BY56" s="277" t="str">
        <f>IF(AND('1.4 Analyse &amp; Synthese'!AA57=1,'1.4 Analyse &amp; Synthese'!F57="Werkzeug"),'1.4 Analyse &amp; Synthese'!I57&amp;CHAR(13)&amp;"("&amp;'(Codierung)'!$C$4&amp;" - "&amp;'1.4 Analyse &amp; Synthese'!C57&amp;")","")</f>
        <v/>
      </c>
      <c r="BZ56" s="387" t="str">
        <f t="array" ref="BZ56">_xlfn.IFNA(INDEX($BY$6:$BY$66,MATCH(0,COUNTIF($BZ$4:BZ55,$BY$6:$BY$66),0),1),"")</f>
        <v/>
      </c>
      <c r="CB56" s="277" t="str">
        <f>IF(AND('1.4 Analyse &amp; Synthese'!AB57=1,'1.4 Analyse &amp; Synthese'!F57="Empfehlung"),'1.4 Analyse &amp; Synthese'!I57&amp;CHAR(13)&amp;"("&amp;'(Codierung)'!$C$2&amp;" - "&amp;'1.4 Analyse &amp; Synthese'!C57&amp;")","")</f>
        <v/>
      </c>
      <c r="CC56" s="387" t="str">
        <f t="array" ref="CC56">_xlfn.IFNA(INDEX($CB$6:$CB$66,MATCH(0,COUNTIF($CC$4:CC55,$CB$6:$CB$66),0),1),"")</f>
        <v/>
      </c>
      <c r="CD56" s="277" t="str">
        <f>IF(AND('1.4 Analyse &amp; Synthese'!AB57=1,'1.4 Analyse &amp; Synthese'!F57="Methode"),'1.4 Analyse &amp; Synthese'!I57&amp;CHAR(13)&amp;"("&amp;'(Codierung)'!$C$3&amp;" - "&amp;'1.4 Analyse &amp; Synthese'!C57&amp;")","")</f>
        <v/>
      </c>
      <c r="CE56" s="387" t="str">
        <f t="array" ref="CE56">_xlfn.IFNA(INDEX($CD$6:$CD$66,MATCH(0,COUNTIF($CE$4:CE55,$CD$6:$CD$66),0),1),"")</f>
        <v/>
      </c>
      <c r="CF56" s="277" t="str">
        <f>IF(AND('1.4 Analyse &amp; Synthese'!AB57=1,'1.4 Analyse &amp; Synthese'!F57="Werkzeug"),'1.4 Analyse &amp; Synthese'!I57&amp;CHAR(13)&amp;"("&amp;'(Codierung)'!$C$4&amp;" - "&amp;'1.4 Analyse &amp; Synthese'!C57&amp;")","")</f>
        <v/>
      </c>
      <c r="CG56" s="387" t="str">
        <f t="array" ref="CG56">_xlfn.IFNA(INDEX($CF$6:$CF$66,MATCH(0,COUNTIF($CG$4:CG55,$CF$6:$CF$66),0),1),"")</f>
        <v/>
      </c>
      <c r="CI56" s="277" t="str">
        <f>IF(AND('1.4 Analyse &amp; Synthese'!AC57=1,'1.4 Analyse &amp; Synthese'!F57="Empfehlung"),'1.4 Analyse &amp; Synthese'!I57&amp;CHAR(13)&amp;"("&amp;'(Codierung)'!$C$2&amp;" - "&amp;'1.4 Analyse &amp; Synthese'!C57&amp;")","")</f>
        <v/>
      </c>
      <c r="CJ56" s="387" t="str">
        <f t="array" ref="CJ56">_xlfn.IFNA(INDEX($CI$6:$CI$66,MATCH(0,COUNTIF($CJ$4:CJ55,$CI$6:$CI$66),0),1),"")</f>
        <v/>
      </c>
      <c r="CK56" s="277" t="str">
        <f>IF(AND('1.4 Analyse &amp; Synthese'!AC57=1,'1.4 Analyse &amp; Synthese'!F57="Methode"),'1.4 Analyse &amp; Synthese'!I57&amp;CHAR(13)&amp;"("&amp;'(Codierung)'!$C$3&amp;" - "&amp;'1.4 Analyse &amp; Synthese'!C57&amp;")","")</f>
        <v/>
      </c>
      <c r="CL56" s="387" t="str">
        <f t="array" ref="CL56">_xlfn.IFNA(INDEX($CK$6:$CK$66,MATCH(0,COUNTIF($CL$4:CL55,$CK$6:$CK$66),0),1),"")</f>
        <v/>
      </c>
      <c r="CM56" s="277" t="str">
        <f>IF(AND('1.4 Analyse &amp; Synthese'!AC57=1,'1.4 Analyse &amp; Synthese'!F57="Werkzeug"),'1.4 Analyse &amp; Synthese'!I57&amp;CHAR(13)&amp;"("&amp;'(Codierung)'!$C$4&amp;" - "&amp;'1.4 Analyse &amp; Synthese'!C57&amp;")","")</f>
        <v/>
      </c>
      <c r="CN56" s="387" t="str">
        <f t="array" ref="CN56">_xlfn.IFNA(INDEX($CM$6:$CM$66,MATCH(0,COUNTIF($CN$4:CN55,$CM$6:$CM$66),0),1),"")</f>
        <v/>
      </c>
      <c r="CP56" s="277" t="str">
        <f>IF(AND('1.4 Analyse &amp; Synthese'!AD57=1,'1.4 Analyse &amp; Synthese'!F57="Empfehlung"),'1.4 Analyse &amp; Synthese'!I57&amp;CHAR(13)&amp;"("&amp;'(Codierung)'!$C$2&amp;" - "&amp;'1.4 Analyse &amp; Synthese'!C57&amp;")","")</f>
        <v/>
      </c>
      <c r="CQ56" s="387" t="str">
        <f t="array" ref="CQ56">_xlfn.IFNA(INDEX($CP$6:$CP$66,MATCH(0,COUNTIF($CQ$4:CQ55,$CP$6:$CP$66),0),1),"")</f>
        <v/>
      </c>
      <c r="CR56" s="277" t="str">
        <f>IF(AND('1.4 Analyse &amp; Synthese'!AD57=1,'1.4 Analyse &amp; Synthese'!F57="Methode"),'1.4 Analyse &amp; Synthese'!I57&amp;CHAR(13)&amp;"("&amp;'(Codierung)'!$C$3&amp;" - "&amp;'1.4 Analyse &amp; Synthese'!C57&amp;")","")</f>
        <v/>
      </c>
      <c r="CS56" s="387" t="str">
        <f t="array" ref="CS56">_xlfn.IFNA(INDEX($CR$6:$CR$66,MATCH(0,COUNTIF($CS$4:CS55,$CR$6:$CR$66),0),1),"")</f>
        <v/>
      </c>
      <c r="CT56" s="277" t="str">
        <f>IF(AND('1.4 Analyse &amp; Synthese'!AD57=1,'1.4 Analyse &amp; Synthese'!F57="Werkzeug"),'1.4 Analyse &amp; Synthese'!I57&amp;CHAR(13)&amp;"("&amp;'(Codierung)'!$C$4&amp;" - "&amp;'1.4 Analyse &amp; Synthese'!C57&amp;")","")</f>
        <v/>
      </c>
      <c r="CU56" s="387" t="str">
        <f t="array" ref="CU56">_xlfn.IFNA(INDEX($CT$6:$CT$66,MATCH(0,COUNTIF($CU$4:CU55,$CT$6:$CT$66),0),1),"")</f>
        <v/>
      </c>
      <c r="CW56" s="277" t="str">
        <f>IF(AND('1.4 Analyse &amp; Synthese'!AE57=1,'1.4 Analyse &amp; Synthese'!F57="Empfehlung"),'1.4 Analyse &amp; Synthese'!I57&amp;CHAR(13)&amp;"("&amp;'(Codierung)'!$C$2&amp;" - "&amp;'1.4 Analyse &amp; Synthese'!C57&amp;")","")</f>
        <v/>
      </c>
      <c r="CX56" s="387" t="str">
        <f t="array" ref="CX56">_xlfn.IFNA(INDEX($CW$6:$CW$66,MATCH(0,COUNTIF($CX$4:CX55,$CW$6:$CW$66),0),1),"")</f>
        <v/>
      </c>
      <c r="CY56" s="277" t="str">
        <f>IF(AND('1.4 Analyse &amp; Synthese'!AE57=1,'1.4 Analyse &amp; Synthese'!F57="Methode"),'1.4 Analyse &amp; Synthese'!I57&amp;CHAR(13)&amp;"("&amp;'(Codierung)'!$C$3&amp;" - "&amp;'1.4 Analyse &amp; Synthese'!C57&amp;")","")</f>
        <v/>
      </c>
      <c r="CZ56" s="387" t="str">
        <f t="array" ref="CZ56">_xlfn.IFNA(INDEX($CY$6:$CY$66,MATCH(0,COUNTIF($CZ$4:CZ55,$CY$6:$CY$66),0),1),"")</f>
        <v/>
      </c>
      <c r="DA56" s="277" t="str">
        <f>IF(AND('1.4 Analyse &amp; Synthese'!AE57=1,'1.4 Analyse &amp; Synthese'!F57="Werkzeug"),'1.4 Analyse &amp; Synthese'!I57&amp;CHAR(13)&amp;"("&amp;'(Codierung)'!$C$4&amp;" - "&amp;'1.4 Analyse &amp; Synthese'!C57&amp;")","")</f>
        <v/>
      </c>
      <c r="DB56" s="387" t="str">
        <f t="array" ref="DB56">_xlfn.IFNA(INDEX($DA$6:$DA$66,MATCH(0,COUNTIF($DB$4:DB55,$DA$6:$DA$66),0),1),"")</f>
        <v/>
      </c>
      <c r="DD56" s="277" t="str">
        <f>IF(AND('1.4 Analyse &amp; Synthese'!AF57=1,'1.4 Analyse &amp; Synthese'!F57="Empfehlung"),'1.4 Analyse &amp; Synthese'!I57&amp;CHAR(13)&amp;"("&amp;'(Codierung)'!$C$2&amp;" - "&amp;'1.4 Analyse &amp; Synthese'!C57&amp;")","")</f>
        <v/>
      </c>
      <c r="DE56" s="387" t="str">
        <f t="array" ref="DE56">_xlfn.IFNA(INDEX($DD$6:$DD$66,MATCH(0,COUNTIF($DE$4:DE55,$DD$6:$DD$66),0),1),"")</f>
        <v/>
      </c>
      <c r="DF56" s="277" t="str">
        <f>IF(AND('1.4 Analyse &amp; Synthese'!AF57=1,'1.4 Analyse &amp; Synthese'!F57="Methode"),'1.4 Analyse &amp; Synthese'!I57&amp;CHAR(13)&amp;"("&amp;'(Codierung)'!$C$3&amp;" - "&amp;'1.4 Analyse &amp; Synthese'!C57&amp;")","")</f>
        <v/>
      </c>
      <c r="DG56" s="387" t="str">
        <f t="array" ref="DG56">_xlfn.IFNA(INDEX($DF$6:$DF$66,MATCH(0,COUNTIF($DG$4:DG55,$DF$6:$DF$66),0),1),"")</f>
        <v/>
      </c>
      <c r="DH56" s="277" t="str">
        <f>IF(AND('1.4 Analyse &amp; Synthese'!AF57=1,'1.4 Analyse &amp; Synthese'!F57="Werkzeug"),'1.4 Analyse &amp; Synthese'!I57&amp;CHAR(13)&amp;"("&amp;'(Codierung)'!$C$4&amp;" - "&amp;'1.4 Analyse &amp; Synthese'!C57&amp;")","")</f>
        <v/>
      </c>
      <c r="DI56" s="387" t="str">
        <f t="array" ref="DI56">_xlfn.IFNA(INDEX($DH$6:$DH$66,MATCH(0,COUNTIF($DI$4:DI55,$DH$6:$DH$66),0),1),"")</f>
        <v/>
      </c>
      <c r="DK56" s="277" t="str">
        <f>IF(AND('1.4 Analyse &amp; Synthese'!AG57=1,'1.4 Analyse &amp; Synthese'!F57="Empfehlung"),'1.4 Analyse &amp; Synthese'!I57&amp;CHAR(13)&amp;"("&amp;'(Codierung)'!$C$2&amp;" - "&amp;'1.4 Analyse &amp; Synthese'!C57&amp;")","")</f>
        <v/>
      </c>
      <c r="DL56" s="387" t="str">
        <f t="array" ref="DL56">_xlfn.IFNA(INDEX($DK$6:$DK$66,MATCH(0,COUNTIF($DL$4:DL55,$DK$6:$DK$66),0),1),"")</f>
        <v/>
      </c>
      <c r="DM56" s="277" t="str">
        <f>IF(AND('1.4 Analyse &amp; Synthese'!AG57=1,'1.4 Analyse &amp; Synthese'!F57="Methode"),'1.4 Analyse &amp; Synthese'!I57&amp;CHAR(13)&amp;"("&amp;'(Codierung)'!$C$3&amp;" - "&amp;'1.4 Analyse &amp; Synthese'!C57&amp;")","")</f>
        <v/>
      </c>
      <c r="DN56" s="387" t="str">
        <f t="array" ref="DN56">_xlfn.IFNA(INDEX($DM$6:$DM$66,MATCH(0,COUNTIF($DN$4:DN55,$DM$6:$DM$66),0),1),"")</f>
        <v/>
      </c>
      <c r="DO56" s="277" t="str">
        <f>IF(AND('1.4 Analyse &amp; Synthese'!AG57=1,'1.4 Analyse &amp; Synthese'!F57="Werkzeug"),'1.4 Analyse &amp; Synthese'!I57&amp;CHAR(13)&amp;"("&amp;'(Codierung)'!$C$4&amp;" - "&amp;'1.4 Analyse &amp; Synthese'!C57&amp;")","")</f>
        <v/>
      </c>
      <c r="DP56" s="387" t="str">
        <f t="array" ref="DP56">_xlfn.IFNA(INDEX($DO$6:$DO$66,MATCH(0,COUNTIF($DP$4:DP55,$DO$6:$DO$66),0),1),"")</f>
        <v/>
      </c>
      <c r="DR56" s="277" t="str">
        <f>IF(AND('1.4 Analyse &amp; Synthese'!AH57=1,'1.4 Analyse &amp; Synthese'!F57="Empfehlung"),'1.4 Analyse &amp; Synthese'!I57&amp;CHAR(13)&amp;"("&amp;'(Codierung)'!$C$2&amp;" - "&amp;'1.4 Analyse &amp; Synthese'!C57&amp;")","")</f>
        <v/>
      </c>
      <c r="DS56" s="387" t="str">
        <f t="array" ref="DS56">_xlfn.IFNA(INDEX($DR$6:$DR$66,MATCH(0,COUNTIF($DS$4:DS55,$DR$6:$DR$66),0),1),"")</f>
        <v/>
      </c>
      <c r="DT56" s="277" t="str">
        <f>IF(AND('1.4 Analyse &amp; Synthese'!AH57=1,'1.4 Analyse &amp; Synthese'!F57="Methode"),'1.4 Analyse &amp; Synthese'!I57&amp;CHAR(13)&amp;"("&amp;'(Codierung)'!$C$3&amp;" - "&amp;'1.4 Analyse &amp; Synthese'!C57&amp;")","")</f>
        <v/>
      </c>
      <c r="DU56" s="387" t="str">
        <f t="array" ref="DU56">_xlfn.IFNA(INDEX($DT$6:$DT$66,MATCH(0,COUNTIF($DU$4:DU55,$DT$6:$DT$66),0),1),"")</f>
        <v/>
      </c>
      <c r="DV56" s="277" t="str">
        <f>IF(AND('1.4 Analyse &amp; Synthese'!AH57=1,'1.4 Analyse &amp; Synthese'!F57="Werkzeug"),'1.4 Analyse &amp; Synthese'!I57&amp;CHAR(13)&amp;"("&amp;'(Codierung)'!$C$4&amp;" - "&amp;'1.4 Analyse &amp; Synthese'!C57&amp;")","")</f>
        <v/>
      </c>
      <c r="DW56" s="387" t="str">
        <f t="array" ref="DW56">_xlfn.IFNA(INDEX($DV$6:$DV$66,MATCH(0,COUNTIF($DW$4:DW55,$DV$6:$DV$66),0),1),"")</f>
        <v/>
      </c>
      <c r="DY56" s="277" t="str">
        <f>IF(AND('1.4 Analyse &amp; Synthese'!AI57=1,'1.4 Analyse &amp; Synthese'!F57="Empfehlung"),'1.4 Analyse &amp; Synthese'!I57&amp;CHAR(13)&amp;"("&amp;'(Codierung)'!$C$2&amp;" - "&amp;'1.4 Analyse &amp; Synthese'!C57&amp;")","")</f>
        <v/>
      </c>
      <c r="DZ56" s="387" t="str">
        <f t="array" ref="DZ56">_xlfn.IFNA(INDEX($DY$6:$DY$66,MATCH(0,COUNTIF($DZ$4:DZ55,$DY$6:$DY$66),0),1),"")</f>
        <v/>
      </c>
      <c r="EA56" s="277" t="str">
        <f>IF(AND('1.4 Analyse &amp; Synthese'!AI57=1,'1.4 Analyse &amp; Synthese'!F57="Methode"),'1.4 Analyse &amp; Synthese'!I57&amp;CHAR(13)&amp;"("&amp;'(Codierung)'!$C$3&amp;" - "&amp;'1.4 Analyse &amp; Synthese'!C57&amp;")","")</f>
        <v/>
      </c>
      <c r="EB56" s="387" t="str">
        <f t="array" ref="EB56">_xlfn.IFNA(INDEX($EA$6:$EA$66,MATCH(0,COUNTIF($EB$4:EB55,$EA$6:$EA$66),0),1),"")</f>
        <v/>
      </c>
      <c r="EC56" s="277" t="str">
        <f>IF(AND('1.4 Analyse &amp; Synthese'!AI57=1,'1.4 Analyse &amp; Synthese'!F57="Werkzeug"),'1.4 Analyse &amp; Synthese'!I57&amp;CHAR(13)&amp;"("&amp;'(Codierung)'!$C$4&amp;" - "&amp;'1.4 Analyse &amp; Synthese'!C57&amp;")","")</f>
        <v/>
      </c>
      <c r="ED56" s="277" t="str">
        <f t="array" ref="ED56">_xlfn.IFNA(INDEX($EC$6:$EC$66,MATCH(0,COUNTIF($ED$4:ED55,$EC$6:$EC$66),0),1),"")</f>
        <v/>
      </c>
      <c r="EF56" s="277" t="str">
        <f>IF(AND('1.4 Analyse &amp; Synthese'!AJ57=1,'1.4 Analyse &amp; Synthese'!F57="Empfehlung"),'1.4 Analyse &amp; Synthese'!I57&amp;CHAR(13)&amp;"("&amp;'(Codierung)'!$C$2&amp;" - "&amp;'1.4 Analyse &amp; Synthese'!C57&amp;")","")</f>
        <v/>
      </c>
      <c r="EG56" s="277" t="str">
        <f t="array" ref="EG56">_xlfn.IFNA(INDEX($EF$6:$EF$66,MATCH(0,COUNTIF($EG$4:EG55,$EF$6:$EF$66),0),1),"")</f>
        <v/>
      </c>
      <c r="EH56" s="277" t="str">
        <f>IF(AND('1.4 Analyse &amp; Synthese'!AJ57=1,'1.4 Analyse &amp; Synthese'!F57="Methode"),'1.4 Analyse &amp; Synthese'!I57&amp;CHAR(13)&amp;"("&amp;'(Codierung)'!$C$3&amp;" - "&amp;'1.4 Analyse &amp; Synthese'!C57&amp;")","")</f>
        <v/>
      </c>
      <c r="EI56" s="387" t="str">
        <f t="array" ref="EI56">_xlfn.IFNA(INDEX($EH$6:$EH$66,MATCH(0,COUNTIF($EI$4:EI55,$EH$6:$EH$66),0),1),"")</f>
        <v/>
      </c>
      <c r="EJ56" s="277" t="str">
        <f>IF(AND('1.4 Analyse &amp; Synthese'!AJ57=1,'1.4 Analyse &amp; Synthese'!F57="Werkzeug"),'1.4 Analyse &amp; Synthese'!I57&amp;CHAR(13)&amp;"("&amp;'(Codierung)'!$C$4&amp;" - "&amp;'1.4 Analyse &amp; Synthese'!C57&amp;")","")</f>
        <v/>
      </c>
      <c r="EK56" s="387" t="str">
        <f t="array" ref="EK56">_xlfn.IFNA(INDEX($EJ$6:$EJ$66,MATCH(0,COUNTIF($EK$4:EK55,$EJ$6:$EJ$66),0),1),"")</f>
        <v/>
      </c>
      <c r="EN56" s="222" t="str">
        <f t="shared" si="60"/>
        <v/>
      </c>
      <c r="EO56" s="277" t="str">
        <f t="shared" si="61"/>
        <v/>
      </c>
      <c r="EP56" s="277" t="str">
        <f t="shared" si="62"/>
        <v/>
      </c>
      <c r="EQ56" s="277" t="str">
        <f>ZahlenInBereich(Tabelle1[[Empfehlung]:[Werkzeug]],ROW()-5)</f>
        <v/>
      </c>
      <c r="ER56" s="277" t="str">
        <f t="shared" si="63"/>
        <v/>
      </c>
      <c r="ES56" s="277" t="str">
        <f t="shared" si="64"/>
        <v/>
      </c>
      <c r="ET56" s="277" t="str">
        <f t="shared" si="65"/>
        <v/>
      </c>
      <c r="EU56" s="277" t="str">
        <f>ZahlenInBereich(Tabelle1[[Empfehlung2]:[Werkzeug4]],ROW()-5)</f>
        <v/>
      </c>
      <c r="EV56" s="277" t="str">
        <f t="shared" si="66"/>
        <v/>
      </c>
      <c r="EW56" s="277" t="str">
        <f t="shared" si="67"/>
        <v/>
      </c>
      <c r="EX56" s="277" t="str">
        <f t="shared" si="68"/>
        <v/>
      </c>
      <c r="EY56" s="277" t="str">
        <f>ZahlenInBereich(Tabelle1[[Empfehlung6]:[Werkzeug8]],ROW()-5)</f>
        <v/>
      </c>
      <c r="EZ56" s="277" t="str">
        <f t="shared" si="69"/>
        <v/>
      </c>
      <c r="FA56" s="277" t="str">
        <f t="shared" si="70"/>
        <v/>
      </c>
      <c r="FB56" s="277" t="str">
        <f t="shared" si="71"/>
        <v/>
      </c>
      <c r="FC56" s="277" t="str">
        <f>ZahlenInBereich(Tabelle1[[Empfehlung10]:[Werkzeug12]],ROW()-5)</f>
        <v/>
      </c>
      <c r="FD56" s="277" t="str">
        <f t="shared" si="72"/>
        <v/>
      </c>
      <c r="FE56" s="277" t="str">
        <f t="shared" si="73"/>
        <v/>
      </c>
      <c r="FF56" s="277" t="str">
        <f t="shared" si="74"/>
        <v/>
      </c>
      <c r="FG56" s="277" t="str">
        <f>ZahlenInBereich(Tabelle1[[Empfehlung14]:[Werkzeug16]],ROW()-5)</f>
        <v/>
      </c>
      <c r="FH56" s="277" t="str">
        <f t="shared" si="75"/>
        <v/>
      </c>
      <c r="FI56" s="277" t="str">
        <f t="shared" si="76"/>
        <v/>
      </c>
      <c r="FJ56" s="277" t="str">
        <f t="shared" si="77"/>
        <v/>
      </c>
      <c r="FK56" s="277" t="str">
        <f>ZahlenInBereich(Tabelle1[[Empfehlung18]:[Werkzeug20]],ROW()-5)</f>
        <v/>
      </c>
      <c r="FL56" s="277" t="str">
        <f t="shared" si="78"/>
        <v/>
      </c>
      <c r="FM56" s="277" t="str">
        <f t="shared" si="79"/>
        <v/>
      </c>
      <c r="FN56" s="277" t="str">
        <f t="shared" si="80"/>
        <v/>
      </c>
      <c r="FO56" s="277" t="str">
        <f>ZahlenInBereich(Tabelle1[[Empfehlung22]:[Werkzeug24]],ROW()-5)</f>
        <v/>
      </c>
      <c r="FP56" s="277" t="str">
        <f t="shared" si="81"/>
        <v/>
      </c>
      <c r="FQ56" s="277" t="str">
        <f t="shared" si="82"/>
        <v/>
      </c>
      <c r="FR56" s="277" t="str">
        <f t="shared" si="83"/>
        <v/>
      </c>
      <c r="FS56" s="277" t="str">
        <f>ZahlenInBereich(Tabelle1[[Empfehlung26]:[Werkzeug28]],ROW()-5)</f>
        <v/>
      </c>
      <c r="FT56" s="277" t="str">
        <f t="shared" si="84"/>
        <v/>
      </c>
      <c r="FU56" s="277" t="str">
        <f t="shared" si="85"/>
        <v/>
      </c>
      <c r="FV56" s="277" t="str">
        <f t="shared" si="86"/>
        <v/>
      </c>
      <c r="FW56" s="277" t="str">
        <f>ZahlenInBereich(Tabelle1[[Empfehlung30]:[Werkzeug32]],ROW()-5)</f>
        <v/>
      </c>
      <c r="FX56" s="277" t="str">
        <f t="shared" si="87"/>
        <v/>
      </c>
      <c r="FY56" s="277" t="str">
        <f t="shared" si="88"/>
        <v/>
      </c>
      <c r="FZ56" s="277" t="str">
        <f t="shared" si="89"/>
        <v/>
      </c>
      <c r="GA56" s="277" t="str">
        <f>ZahlenInBereich(Tabelle1[[Empfehlung34]:[Werkzeug36]],ROW()-5)</f>
        <v/>
      </c>
      <c r="GB56" s="277" t="str">
        <f t="shared" si="90"/>
        <v/>
      </c>
      <c r="GC56" s="277" t="str">
        <f t="shared" si="91"/>
        <v/>
      </c>
      <c r="GD56" s="277" t="str">
        <f t="shared" si="92"/>
        <v/>
      </c>
      <c r="GE56" s="277" t="str">
        <f>ZahlenInBereich(Tabelle1[[Empfehlung38]:[Werkzeug40]],ROW()-5)</f>
        <v/>
      </c>
      <c r="GF56" s="277" t="str">
        <f t="shared" si="93"/>
        <v/>
      </c>
      <c r="GG56" s="277" t="str">
        <f t="shared" si="94"/>
        <v/>
      </c>
      <c r="GH56" s="277" t="str">
        <f t="shared" si="95"/>
        <v/>
      </c>
      <c r="GI56" s="277" t="str">
        <f>ZahlenInBereich(Tabelle1[[Empfehlung42]:[Werkzeug44]],ROW()-5)</f>
        <v/>
      </c>
      <c r="GJ56" s="277" t="str">
        <f t="shared" si="96"/>
        <v/>
      </c>
      <c r="GK56" s="277" t="str">
        <f t="shared" si="97"/>
        <v/>
      </c>
      <c r="GL56" s="277" t="str">
        <f t="shared" si="98"/>
        <v/>
      </c>
      <c r="GM56" s="277" t="str">
        <f>ZahlenInBereich(Tabelle1[[Empfehlung46]:[Werkzeug48]],ROW()-5)</f>
        <v/>
      </c>
      <c r="GN56" s="277" t="str">
        <f t="shared" si="99"/>
        <v/>
      </c>
      <c r="GO56" s="277" t="str">
        <f t="shared" si="100"/>
        <v/>
      </c>
      <c r="GP56" s="277" t="str">
        <f t="shared" si="101"/>
        <v/>
      </c>
      <c r="GQ56" s="277" t="str">
        <f>ZahlenInBereich(Tabelle1[[Empfehlung50]:[Werkzeug52]],ROW()-5)</f>
        <v/>
      </c>
      <c r="GR56" s="277" t="str">
        <f t="shared" si="102"/>
        <v/>
      </c>
      <c r="GS56" s="277" t="str">
        <f t="shared" si="103"/>
        <v/>
      </c>
      <c r="GT56" s="277" t="str">
        <f t="shared" si="104"/>
        <v/>
      </c>
      <c r="GU56" s="277" t="str">
        <f>ZahlenInBereich(Tabelle1[[Empfehlung54]:[Werkzeug56]],ROW()-5)</f>
        <v/>
      </c>
      <c r="GV56" s="277" t="str">
        <f t="shared" si="105"/>
        <v/>
      </c>
      <c r="GW56" s="277" t="str">
        <f t="shared" si="106"/>
        <v/>
      </c>
      <c r="GX56" s="277" t="str">
        <f t="shared" si="107"/>
        <v/>
      </c>
      <c r="GY56" s="277" t="str">
        <f>ZahlenInBereich(Tabelle1[[Empfehlung58]:[Werkzeug60]],ROW()-5)</f>
        <v/>
      </c>
      <c r="GZ56" s="277" t="str">
        <f t="shared" si="108"/>
        <v/>
      </c>
      <c r="HA56" s="277" t="str">
        <f t="shared" si="109"/>
        <v/>
      </c>
      <c r="HB56" s="277" t="str">
        <f t="shared" si="110"/>
        <v/>
      </c>
      <c r="HC56" s="277" t="str">
        <f>ZahlenInBereich(Tabelle1[[Empfehlung62]:[Werkzeug64]],ROW()-5)</f>
        <v/>
      </c>
      <c r="HD56" s="277" t="str">
        <f t="shared" si="111"/>
        <v/>
      </c>
      <c r="HE56" s="277" t="str">
        <f t="shared" si="112"/>
        <v/>
      </c>
      <c r="HF56" s="277" t="str">
        <f t="shared" si="113"/>
        <v/>
      </c>
      <c r="HG56" s="277" t="str">
        <f>ZahlenInBereich(Tabelle1[[Empfehlung66]:[Werkzeug68]],ROW()-5)</f>
        <v/>
      </c>
      <c r="HH56" s="277" t="str">
        <f t="shared" si="114"/>
        <v/>
      </c>
      <c r="HI56" s="277" t="str">
        <f t="shared" si="115"/>
        <v/>
      </c>
      <c r="HJ56" s="277" t="str">
        <f t="shared" si="116"/>
        <v/>
      </c>
      <c r="HK56" s="277" t="str">
        <f>ZahlenInBereich(Tabelle1[[Empfehlung70]:[Werkzeug72]],ROW()-5)</f>
        <v/>
      </c>
      <c r="HL56" s="277" t="str">
        <f t="shared" si="117"/>
        <v/>
      </c>
      <c r="HM56" s="277" t="str">
        <f t="shared" si="118"/>
        <v/>
      </c>
      <c r="HN56" s="277" t="str">
        <f t="shared" si="119"/>
        <v/>
      </c>
      <c r="HO56" s="277" t="str">
        <f>ZahlenInBereich(Tabelle1[[Empfehlung74]:[Werkzeug76]],ROW()-5)</f>
        <v/>
      </c>
    </row>
    <row r="57" spans="2:223" x14ac:dyDescent="0.2">
      <c r="B57" s="135">
        <f>'1.4 Analyse &amp; Synthese'!B58</f>
        <v>0</v>
      </c>
      <c r="C57" s="277" t="str">
        <f>IF(AND('1.4 Analyse &amp; Synthese'!Q58=1,'1.4 Analyse &amp; Synthese'!F58="Empfehlung"),'1.4 Analyse &amp; Synthese'!I58&amp;CHAR(13)&amp;"("&amp;'(Codierung)'!$C$2&amp;" - "&amp;'1.4 Analyse &amp; Synthese'!C58&amp;")","")</f>
        <v/>
      </c>
      <c r="D57" s="222" t="str">
        <f t="array" ref="D57">_xlfn.IFNA(INDEX($C$6:$C$66,MATCH(0,COUNTIF($D$4:D56,$C$6:$C$66),0),1),"")</f>
        <v/>
      </c>
      <c r="E57" s="277" t="str">
        <f>IF(AND('1.4 Analyse &amp; Synthese'!Q58=1,'1.4 Analyse &amp; Synthese'!F58="Methode"),'1.4 Analyse &amp; Synthese'!I58&amp;CHAR(13)&amp;"("&amp;'(Codierung)'!$C$3&amp;" - "&amp;'1.4 Analyse &amp; Synthese'!C58&amp;")","")</f>
        <v/>
      </c>
      <c r="F57" s="387" t="str">
        <f t="array" ref="F57">_xlfn.IFNA(INDEX($E$6:$E$66,MATCH(0,COUNTIF($F$4:F56,$E$6:$E$66),0),1),"")</f>
        <v/>
      </c>
      <c r="G57" s="277" t="str">
        <f>IF(AND('1.4 Analyse &amp; Synthese'!Q58=1,'1.4 Analyse &amp; Synthese'!F58="Werkzeug"),'1.4 Analyse &amp; Synthese'!I58&amp;CHAR(13)&amp;"("&amp;'(Codierung)'!$C$4&amp;" - "&amp;'1.4 Analyse &amp; Synthese'!C58&amp;")","")</f>
        <v/>
      </c>
      <c r="H57" s="387" t="str">
        <f t="array" ref="H57">_xlfn.IFNA(INDEX($G$6:$G$66,MATCH(0,COUNTIF($H$4:H56,$G$6:$G$66),0),1),"")</f>
        <v/>
      </c>
      <c r="J57" s="277" t="str">
        <f>IF(AND('1.4 Analyse &amp; Synthese'!R58=1,'1.4 Analyse &amp; Synthese'!F58="Empfehlung"),'1.4 Analyse &amp; Synthese'!I58&amp;CHAR(13)&amp;"("&amp;'(Codierung)'!$C$2&amp;" - "&amp;'1.4 Analyse &amp; Synthese'!C58&amp;")","")</f>
        <v/>
      </c>
      <c r="K57" s="387" t="str">
        <f t="array" ref="K57">_xlfn.IFNA(INDEX($J$6:$J$66,MATCH(0,COUNTIF($K$4:K56,$J$6:$J$66),0),1),"")</f>
        <v/>
      </c>
      <c r="L57" s="277" t="str">
        <f>IF(AND('1.4 Analyse &amp; Synthese'!R58=1,'1.4 Analyse &amp; Synthese'!F58="Methode"),'1.4 Analyse &amp; Synthese'!I58&amp;CHAR(13)&amp;"("&amp;'(Codierung)'!$C$3&amp;" - "&amp;'1.4 Analyse &amp; Synthese'!C58&amp;")","")</f>
        <v/>
      </c>
      <c r="M57" s="387" t="str">
        <f t="array" ref="M57">_xlfn.IFNA(INDEX($L$6:$L$66,MATCH(0,COUNTIF($M$4:M56,$L$6:$L$66),0),1),"")</f>
        <v/>
      </c>
      <c r="N57" s="277" t="str">
        <f>IF(AND('1.4 Analyse &amp; Synthese'!R58=1,'1.4 Analyse &amp; Synthese'!F58="Werkzeug"),'1.4 Analyse &amp; Synthese'!I58&amp;CHAR(13)&amp;"("&amp;'(Codierung)'!$C$4&amp;" - "&amp;'1.4 Analyse &amp; Synthese'!C58&amp;")","")</f>
        <v/>
      </c>
      <c r="O57" s="387" t="str">
        <f t="array" ref="O57">_xlfn.IFNA(INDEX($N$6:$N$66,MATCH(0,COUNTIF($O$4:O56,$N$6:$N$66),0),1),"")</f>
        <v/>
      </c>
      <c r="Q57" s="277" t="str">
        <f>IF(AND('1.4 Analyse &amp; Synthese'!S58=1,'1.4 Analyse &amp; Synthese'!F58="Empfehlung"),'1.4 Analyse &amp; Synthese'!I58&amp;CHAR(13)&amp;"("&amp;'(Codierung)'!$C$2&amp;" - "&amp;'1.4 Analyse &amp; Synthese'!C58&amp;")","")</f>
        <v/>
      </c>
      <c r="R57" s="387" t="str">
        <f t="array" ref="R57">_xlfn.IFNA(INDEX($Q$6:$Q$66,MATCH(0,COUNTIF($R$4:R56,$Q$6:$Q$66),0),1),"")</f>
        <v/>
      </c>
      <c r="S57" s="277" t="str">
        <f>IF(AND('1.4 Analyse &amp; Synthese'!S58=1,'1.4 Analyse &amp; Synthese'!F58="Methode"),'1.4 Analyse &amp; Synthese'!I58&amp;CHAR(13)&amp;"("&amp;'(Codierung)'!$C$3&amp;" - "&amp;'1.4 Analyse &amp; Synthese'!C58&amp;")","")</f>
        <v/>
      </c>
      <c r="T57" s="387" t="str">
        <f t="array" ref="T57">_xlfn.IFNA(INDEX($S$6:$S$66,MATCH(0,COUNTIF($T$4:T56,$S$6:$S$66),0),1),"")</f>
        <v/>
      </c>
      <c r="U57" s="277" t="str">
        <f>IF(AND('1.4 Analyse &amp; Synthese'!S58=1,'1.4 Analyse &amp; Synthese'!F58="Werkzeug"),'1.4 Analyse &amp; Synthese'!I58&amp;CHAR(13)&amp;"("&amp;'(Codierung)'!$C$4&amp;" - "&amp;'1.4 Analyse &amp; Synthese'!C58&amp;")","")</f>
        <v/>
      </c>
      <c r="V57" s="387" t="str">
        <f t="array" ref="V57">_xlfn.IFNA(INDEX($U$6:$U$66,MATCH(0,COUNTIF($V$4:V56,$U$6:$U$66),0),1),"")</f>
        <v/>
      </c>
      <c r="X57" s="277" t="str">
        <f>IF(AND('1.4 Analyse &amp; Synthese'!T58=1,'1.4 Analyse &amp; Synthese'!F58="Empfehlung"),'1.4 Analyse &amp; Synthese'!I58&amp;CHAR(13)&amp;"("&amp;'(Codierung)'!$C$2&amp;" - "&amp;'1.4 Analyse &amp; Synthese'!C58&amp;")","")</f>
        <v/>
      </c>
      <c r="Y57" s="387" t="str">
        <f t="array" ref="Y57">_xlfn.IFNA(INDEX($X$6:$X$66,MATCH(0,COUNTIF($Y$4:Y56,$X$6:$X$66),0),1),"")</f>
        <v/>
      </c>
      <c r="Z57" s="277" t="str">
        <f>IF(AND('1.4 Analyse &amp; Synthese'!T58=1,'1.4 Analyse &amp; Synthese'!F58="Methode"),'1.4 Analyse &amp; Synthese'!I58&amp;CHAR(13)&amp;"("&amp;'(Codierung)'!$C$3&amp;" - "&amp;'1.4 Analyse &amp; Synthese'!C58&amp;")","")</f>
        <v/>
      </c>
      <c r="AA57" s="387" t="str">
        <f t="array" ref="AA57">_xlfn.IFNA(INDEX($Z$6:$Z$66,MATCH(0,COUNTIF($AA$4:AA56,$Z$6:$Z$66),0),1),"")</f>
        <v/>
      </c>
      <c r="AB57" s="277" t="str">
        <f>IF(AND('1.4 Analyse &amp; Synthese'!T58=1,'1.4 Analyse &amp; Synthese'!F58="Werkzeug"),'1.4 Analyse &amp; Synthese'!I58&amp;CHAR(13)&amp;"("&amp;'(Codierung)'!$C$4&amp;" - "&amp;'1.4 Analyse &amp; Synthese'!C58&amp;")","")</f>
        <v/>
      </c>
      <c r="AC57" s="387" t="str">
        <f t="array" ref="AC57">_xlfn.IFNA(INDEX($AB$6:$AB$66,MATCH(0,COUNTIF($AC$4:AC56,$AB$6:$AB$66),0),1),"")</f>
        <v/>
      </c>
      <c r="AE57" s="277" t="str">
        <f>IF(AND('1.4 Analyse &amp; Synthese'!U58=1,'1.4 Analyse &amp; Synthese'!F58="Empfehlung"),'1.4 Analyse &amp; Synthese'!I58&amp;CHAR(13)&amp;"("&amp;'(Codierung)'!$C$2&amp;" - "&amp;'1.4 Analyse &amp; Synthese'!C58&amp;")","")</f>
        <v/>
      </c>
      <c r="AF57" s="387" t="str">
        <f t="array" ref="AF57">_xlfn.IFNA(INDEX($AE$6:$AE$66,MATCH(0,COUNTIF($AF$4:AF56,$AE$6:$AE$66),0),1),"")</f>
        <v/>
      </c>
      <c r="AG57" s="277" t="str">
        <f>IF(AND('1.4 Analyse &amp; Synthese'!U58=1,'1.4 Analyse &amp; Synthese'!F58="Methode"),'1.4 Analyse &amp; Synthese'!I58&amp;CHAR(13)&amp;"("&amp;'(Codierung)'!$C$3&amp;" - "&amp;'1.4 Analyse &amp; Synthese'!C58&amp;")","")</f>
        <v/>
      </c>
      <c r="AH57" s="387" t="str">
        <f t="array" ref="AH57">_xlfn.IFNA(INDEX($AG$6:$AG$66,MATCH(0,COUNTIF($AH$4:AH56,$AG$6:$AG$66),0),1),"")</f>
        <v/>
      </c>
      <c r="AI57" s="277" t="str">
        <f>IF(AND('1.4 Analyse &amp; Synthese'!U58=1,'1.4 Analyse &amp; Synthese'!F58="Werkzeug"),'1.4 Analyse &amp; Synthese'!I58&amp;CHAR(13)&amp;"("&amp;'(Codierung)'!$C$4&amp;" - "&amp;'1.4 Analyse &amp; Synthese'!C58&amp;")","")</f>
        <v/>
      </c>
      <c r="AJ57" s="387" t="str">
        <f t="array" ref="AJ57">_xlfn.IFNA(INDEX($AI$6:$AI$66,MATCH(0,COUNTIF($AJ$4:AJ56,$AI$6:$AI$66),0),1),"")</f>
        <v/>
      </c>
      <c r="AL57" s="277" t="str">
        <f>IF(AND('1.4 Analyse &amp; Synthese'!V58=1,'1.4 Analyse &amp; Synthese'!F58="Empfehlung"),'1.4 Analyse &amp; Synthese'!I58&amp;CHAR(13)&amp;"("&amp;'(Codierung)'!$C$2&amp;" - "&amp;'1.4 Analyse &amp; Synthese'!C58&amp;")","")</f>
        <v/>
      </c>
      <c r="AM57" s="387" t="str">
        <f t="array" ref="AM57">_xlfn.IFNA(INDEX($AL$6:$AL$66,MATCH(0,COUNTIF($AM$4:AM56,$AL$6:$AL$66),0),1),"")</f>
        <v/>
      </c>
      <c r="AN57" s="277" t="str">
        <f>IF(AND('1.4 Analyse &amp; Synthese'!V58=1,'1.4 Analyse &amp; Synthese'!F58="Methode"),'1.4 Analyse &amp; Synthese'!I58&amp;CHAR(13)&amp;"("&amp;'(Codierung)'!$C$3&amp;" - "&amp;'1.4 Analyse &amp; Synthese'!C58&amp;")","")</f>
        <v/>
      </c>
      <c r="AO57" s="387" t="str">
        <f t="array" ref="AO57">_xlfn.IFNA(INDEX($AN$6:$AN$66,MATCH(0,COUNTIF($AO$4:AO56,$AN$6:$AN$66),0),1),"")</f>
        <v/>
      </c>
      <c r="AP57" s="277" t="str">
        <f>IF(AND('1.4 Analyse &amp; Synthese'!V58=1,'1.4 Analyse &amp; Synthese'!F58="Werkzeug"),'1.4 Analyse &amp; Synthese'!I58&amp;CHAR(13)&amp;"("&amp;'(Codierung)'!$C$4&amp;" - "&amp;'1.4 Analyse &amp; Synthese'!C58&amp;")","")</f>
        <v/>
      </c>
      <c r="AQ57" s="387" t="str">
        <f t="array" ref="AQ57">_xlfn.IFNA(INDEX($AP$6:$AP$66,MATCH(0,COUNTIF($AQ$4:AQ56,$AP$6:$AP$66),0),1),"")</f>
        <v/>
      </c>
      <c r="AS57" s="277" t="str">
        <f>IF(AND('1.4 Analyse &amp; Synthese'!W58=1,'1.4 Analyse &amp; Synthese'!F58="Empfehlung"),'1.4 Analyse &amp; Synthese'!I58&amp;CHAR(13)&amp;"("&amp;'(Codierung)'!$C$2&amp;" - "&amp;'1.4 Analyse &amp; Synthese'!C58&amp;")","")</f>
        <v/>
      </c>
      <c r="AT57" s="387" t="str">
        <f t="array" ref="AT57">_xlfn.IFNA(INDEX($AS$6:$AS$66,MATCH(0,COUNTIF($AT$4:AT56,$AS$6:$AS$66),0),1),"")</f>
        <v/>
      </c>
      <c r="AU57" s="277" t="str">
        <f>IF(AND('1.4 Analyse &amp; Synthese'!W58=1,'1.4 Analyse &amp; Synthese'!F58="Methode"),'1.4 Analyse &amp; Synthese'!I58&amp;CHAR(13)&amp;"("&amp;'(Codierung)'!$C$3&amp;" - "&amp;'1.4 Analyse &amp; Synthese'!C58&amp;")","")</f>
        <v/>
      </c>
      <c r="AV57" s="387" t="str">
        <f t="array" ref="AV57">_xlfn.IFNA(INDEX($AU$6:$AU$66,MATCH(0,COUNTIF($AV$4:AV56,$AU$6:$AU$66),0),1),"")</f>
        <v/>
      </c>
      <c r="AW57" s="277" t="str">
        <f>IF(AND('1.4 Analyse &amp; Synthese'!W58=1,'1.4 Analyse &amp; Synthese'!F58="Werkzeug"),'1.4 Analyse &amp; Synthese'!I58&amp;CHAR(13)&amp;"("&amp;'(Codierung)'!$C$4&amp;" - "&amp;'1.4 Analyse &amp; Synthese'!C58&amp;")","")</f>
        <v/>
      </c>
      <c r="AX57" s="387" t="str">
        <f t="array" ref="AX57">_xlfn.IFNA(INDEX($AW$6:$AW$66,MATCH(0,COUNTIF($AX$4:AX56,$AW$6:$AW$66),0),1),"")</f>
        <v/>
      </c>
      <c r="AZ57" s="277" t="str">
        <f>IF(AND('1.4 Analyse &amp; Synthese'!X58=1,'1.4 Analyse &amp; Synthese'!F58="Empfehlung"),'1.4 Analyse &amp; Synthese'!I58&amp;CHAR(13)&amp;"("&amp;'(Codierung)'!$C$2&amp;" - "&amp;'1.4 Analyse &amp; Synthese'!C58&amp;")","")</f>
        <v/>
      </c>
      <c r="BA57" s="387" t="str">
        <f t="array" ref="BA57">_xlfn.IFNA(INDEX($AZ$6:$AZ$66,MATCH(0,COUNTIF($BA$4:BA56,$AZ$6:$AZ$66),0),1),"")</f>
        <v/>
      </c>
      <c r="BB57" s="277" t="str">
        <f>IF(AND('1.4 Analyse &amp; Synthese'!X58=1,'1.4 Analyse &amp; Synthese'!F58="Methode"),'1.4 Analyse &amp; Synthese'!I58&amp;CHAR(13)&amp;"("&amp;'(Codierung)'!$C$3&amp;" - "&amp;'1.4 Analyse &amp; Synthese'!C58&amp;")","")</f>
        <v/>
      </c>
      <c r="BC57" s="387" t="str">
        <f t="array" ref="BC57">_xlfn.IFNA(INDEX($BB$6:$BB$66,MATCH(0,COUNTIF($BC$4:BC56,$BB$6:$BB$66),0),1),"")</f>
        <v/>
      </c>
      <c r="BD57" s="277" t="str">
        <f>IF(AND('1.4 Analyse &amp; Synthese'!X58=1,'1.4 Analyse &amp; Synthese'!F58="Werkzeug"),'1.4 Analyse &amp; Synthese'!I58&amp;CHAR(13)&amp;"("&amp;'(Codierung)'!$C$4&amp;" - "&amp;'1.4 Analyse &amp; Synthese'!C58&amp;")","")</f>
        <v/>
      </c>
      <c r="BE57" s="387" t="str">
        <f t="array" ref="BE57">_xlfn.IFNA(INDEX($BD$6:$BD$66,MATCH(0,COUNTIF($BE$4:BE56,$BD$6:$BD$66),0),1),"")</f>
        <v/>
      </c>
      <c r="BG57" s="277" t="str">
        <f>IF(AND('1.4 Analyse &amp; Synthese'!Y58=1,'1.4 Analyse &amp; Synthese'!F58="Empfehlung"),'1.4 Analyse &amp; Synthese'!I58&amp;CHAR(13)&amp;"("&amp;'(Codierung)'!$C$2&amp;" - "&amp;'1.4 Analyse &amp; Synthese'!C58&amp;")","")</f>
        <v/>
      </c>
      <c r="BH57" s="387" t="str">
        <f t="array" ref="BH57">_xlfn.IFNA(INDEX($BG$6:$BG$66,MATCH(0,COUNTIF($BH$4:BH56,$BG$6:$BG$66),0),1),"")</f>
        <v/>
      </c>
      <c r="BI57" s="277" t="str">
        <f>IF(AND('1.4 Analyse &amp; Synthese'!Y58=1,'1.4 Analyse &amp; Synthese'!F58="Methode"),'1.4 Analyse &amp; Synthese'!I58&amp;CHAR(13)&amp;"("&amp;'(Codierung)'!$C$3&amp;" - "&amp;'1.4 Analyse &amp; Synthese'!C58&amp;")","")</f>
        <v/>
      </c>
      <c r="BJ57" s="387" t="str">
        <f t="array" ref="BJ57">_xlfn.IFNA(INDEX($BI$6:$BI$66,MATCH(0,COUNTIF($BJ$4:BJ56,$BI$6:$BI$66),0),1),"")</f>
        <v/>
      </c>
      <c r="BK57" s="277" t="str">
        <f>IF(AND('1.4 Analyse &amp; Synthese'!Y58=1,'1.4 Analyse &amp; Synthese'!F58="Werkzeug"),'1.4 Analyse &amp; Synthese'!I58&amp;CHAR(13)&amp;"("&amp;'(Codierung)'!$C$4&amp;" - "&amp;'1.4 Analyse &amp; Synthese'!C58&amp;")","")</f>
        <v/>
      </c>
      <c r="BL57" s="387" t="str">
        <f t="array" ref="BL57">_xlfn.IFNA(INDEX($BK$6:$BK$66,MATCH(0,COUNTIF($BL$4:BL56,$BK$6:$BK$66),0),1),"")</f>
        <v/>
      </c>
      <c r="BN57" s="277" t="str">
        <f>IF(AND('1.4 Analyse &amp; Synthese'!Z58=1,'1.4 Analyse &amp; Synthese'!F58="Empfehlung"),'1.4 Analyse &amp; Synthese'!I58&amp;CHAR(13)&amp;"("&amp;'(Codierung)'!$C$2&amp;" - "&amp;'1.4 Analyse &amp; Synthese'!C58&amp;")","")</f>
        <v/>
      </c>
      <c r="BO57" s="387" t="str">
        <f t="array" ref="BO57">_xlfn.IFNA(INDEX($BN$6:$BN$66,MATCH(0,COUNTIF($BO$4:BO56,$BN$6:$BN$66),0),1),"")</f>
        <v/>
      </c>
      <c r="BP57" s="277" t="str">
        <f>IF(AND('1.4 Analyse &amp; Synthese'!Z58=1,'1.4 Analyse &amp; Synthese'!F58="Methode"),'1.4 Analyse &amp; Synthese'!I58&amp;CHAR(13)&amp;"("&amp;'(Codierung)'!$C$3&amp;" - "&amp;'1.4 Analyse &amp; Synthese'!C58&amp;")","")</f>
        <v/>
      </c>
      <c r="BQ57" s="387" t="str">
        <f t="array" ref="BQ57">_xlfn.IFNA(INDEX($BP$6:$BP$66,MATCH(0,COUNTIF($BQ$4:BQ56,$BP$6:$BP$66),0),1),"")</f>
        <v/>
      </c>
      <c r="BR57" s="277" t="str">
        <f>IF(AND('1.4 Analyse &amp; Synthese'!Z58=1,'1.4 Analyse &amp; Synthese'!F58="Werkzeug"),'1.4 Analyse &amp; Synthese'!I58&amp;CHAR(13)&amp;"("&amp;'(Codierung)'!$C$4&amp;" - "&amp;'1.4 Analyse &amp; Synthese'!C58&amp;")","")</f>
        <v/>
      </c>
      <c r="BS57" s="387" t="str">
        <f t="array" ref="BS57">_xlfn.IFNA(INDEX($BR$6:$BR$66,MATCH(0,COUNTIF($BS$4:BS56,$BR$6:$BR$66),0),1),"")</f>
        <v/>
      </c>
      <c r="BU57" s="277" t="str">
        <f>IF(AND('1.4 Analyse &amp; Synthese'!AA58=1,'1.4 Analyse &amp; Synthese'!F58="Empfehlung"),'1.4 Analyse &amp; Synthese'!I58&amp;CHAR(13)&amp;"("&amp;'(Codierung)'!$C$2&amp;" - "&amp;'1.4 Analyse &amp; Synthese'!C58&amp;")","")</f>
        <v/>
      </c>
      <c r="BV57" s="387" t="str">
        <f t="array" ref="BV57">_xlfn.IFNA(INDEX($BU$6:$BU$66,MATCH(0,COUNTIF($BV$4:BV56,$BU$6:$BU$66),0),1),"")</f>
        <v/>
      </c>
      <c r="BW57" s="277" t="str">
        <f>IF(AND('1.4 Analyse &amp; Synthese'!AA58=1,'1.4 Analyse &amp; Synthese'!F58="Methode"),'1.4 Analyse &amp; Synthese'!I58&amp;CHAR(13)&amp;"("&amp;'(Codierung)'!$C$3&amp;" - "&amp;'1.4 Analyse &amp; Synthese'!C58&amp;")","")</f>
        <v/>
      </c>
      <c r="BX57" s="387" t="str">
        <f t="array" ref="BX57">_xlfn.IFNA(INDEX($BW$6:$BW$66,MATCH(0,COUNTIF($BX$4:BX56,$BW$6:$BW$66),0),1),"")</f>
        <v/>
      </c>
      <c r="BY57" s="277" t="str">
        <f>IF(AND('1.4 Analyse &amp; Synthese'!AA58=1,'1.4 Analyse &amp; Synthese'!F58="Werkzeug"),'1.4 Analyse &amp; Synthese'!I58&amp;CHAR(13)&amp;"("&amp;'(Codierung)'!$C$4&amp;" - "&amp;'1.4 Analyse &amp; Synthese'!C58&amp;")","")</f>
        <v/>
      </c>
      <c r="BZ57" s="387" t="str">
        <f t="array" ref="BZ57">_xlfn.IFNA(INDEX($BY$6:$BY$66,MATCH(0,COUNTIF($BZ$4:BZ56,$BY$6:$BY$66),0),1),"")</f>
        <v/>
      </c>
      <c r="CB57" s="277" t="str">
        <f>IF(AND('1.4 Analyse &amp; Synthese'!AB58=1,'1.4 Analyse &amp; Synthese'!F58="Empfehlung"),'1.4 Analyse &amp; Synthese'!I58&amp;CHAR(13)&amp;"("&amp;'(Codierung)'!$C$2&amp;" - "&amp;'1.4 Analyse &amp; Synthese'!C58&amp;")","")</f>
        <v/>
      </c>
      <c r="CC57" s="387" t="str">
        <f t="array" ref="CC57">_xlfn.IFNA(INDEX($CB$6:$CB$66,MATCH(0,COUNTIF($CC$4:CC56,$CB$6:$CB$66),0),1),"")</f>
        <v/>
      </c>
      <c r="CD57" s="277" t="str">
        <f>IF(AND('1.4 Analyse &amp; Synthese'!AB58=1,'1.4 Analyse &amp; Synthese'!F58="Methode"),'1.4 Analyse &amp; Synthese'!I58&amp;CHAR(13)&amp;"("&amp;'(Codierung)'!$C$3&amp;" - "&amp;'1.4 Analyse &amp; Synthese'!C58&amp;")","")</f>
        <v/>
      </c>
      <c r="CE57" s="387" t="str">
        <f t="array" ref="CE57">_xlfn.IFNA(INDEX($CD$6:$CD$66,MATCH(0,COUNTIF($CE$4:CE56,$CD$6:$CD$66),0),1),"")</f>
        <v/>
      </c>
      <c r="CF57" s="277" t="str">
        <f>IF(AND('1.4 Analyse &amp; Synthese'!AB58=1,'1.4 Analyse &amp; Synthese'!F58="Werkzeug"),'1.4 Analyse &amp; Synthese'!I58&amp;CHAR(13)&amp;"("&amp;'(Codierung)'!$C$4&amp;" - "&amp;'1.4 Analyse &amp; Synthese'!C58&amp;")","")</f>
        <v/>
      </c>
      <c r="CG57" s="387" t="str">
        <f t="array" ref="CG57">_xlfn.IFNA(INDEX($CF$6:$CF$66,MATCH(0,COUNTIF($CG$4:CG56,$CF$6:$CF$66),0),1),"")</f>
        <v/>
      </c>
      <c r="CI57" s="277" t="str">
        <f>IF(AND('1.4 Analyse &amp; Synthese'!AC58=1,'1.4 Analyse &amp; Synthese'!F58="Empfehlung"),'1.4 Analyse &amp; Synthese'!I58&amp;CHAR(13)&amp;"("&amp;'(Codierung)'!$C$2&amp;" - "&amp;'1.4 Analyse &amp; Synthese'!C58&amp;")","")</f>
        <v/>
      </c>
      <c r="CJ57" s="387" t="str">
        <f t="array" ref="CJ57">_xlfn.IFNA(INDEX($CI$6:$CI$66,MATCH(0,COUNTIF($CJ$4:CJ56,$CI$6:$CI$66),0),1),"")</f>
        <v/>
      </c>
      <c r="CK57" s="277" t="str">
        <f>IF(AND('1.4 Analyse &amp; Synthese'!AC58=1,'1.4 Analyse &amp; Synthese'!F58="Methode"),'1.4 Analyse &amp; Synthese'!I58&amp;CHAR(13)&amp;"("&amp;'(Codierung)'!$C$3&amp;" - "&amp;'1.4 Analyse &amp; Synthese'!C58&amp;")","")</f>
        <v/>
      </c>
      <c r="CL57" s="387" t="str">
        <f t="array" ref="CL57">_xlfn.IFNA(INDEX($CK$6:$CK$66,MATCH(0,COUNTIF($CL$4:CL56,$CK$6:$CK$66),0),1),"")</f>
        <v/>
      </c>
      <c r="CM57" s="277" t="str">
        <f>IF(AND('1.4 Analyse &amp; Synthese'!AC58=1,'1.4 Analyse &amp; Synthese'!F58="Werkzeug"),'1.4 Analyse &amp; Synthese'!I58&amp;CHAR(13)&amp;"("&amp;'(Codierung)'!$C$4&amp;" - "&amp;'1.4 Analyse &amp; Synthese'!C58&amp;")","")</f>
        <v/>
      </c>
      <c r="CN57" s="387" t="str">
        <f t="array" ref="CN57">_xlfn.IFNA(INDEX($CM$6:$CM$66,MATCH(0,COUNTIF($CN$4:CN56,$CM$6:$CM$66),0),1),"")</f>
        <v/>
      </c>
      <c r="CP57" s="277" t="str">
        <f>IF(AND('1.4 Analyse &amp; Synthese'!AD58=1,'1.4 Analyse &amp; Synthese'!F58="Empfehlung"),'1.4 Analyse &amp; Synthese'!I58&amp;CHAR(13)&amp;"("&amp;'(Codierung)'!$C$2&amp;" - "&amp;'1.4 Analyse &amp; Synthese'!C58&amp;")","")</f>
        <v/>
      </c>
      <c r="CQ57" s="387" t="str">
        <f t="array" ref="CQ57">_xlfn.IFNA(INDEX($CP$6:$CP$66,MATCH(0,COUNTIF($CQ$4:CQ56,$CP$6:$CP$66),0),1),"")</f>
        <v/>
      </c>
      <c r="CR57" s="277" t="str">
        <f>IF(AND('1.4 Analyse &amp; Synthese'!AD58=1,'1.4 Analyse &amp; Synthese'!F58="Methode"),'1.4 Analyse &amp; Synthese'!I58&amp;CHAR(13)&amp;"("&amp;'(Codierung)'!$C$3&amp;" - "&amp;'1.4 Analyse &amp; Synthese'!C58&amp;")","")</f>
        <v/>
      </c>
      <c r="CS57" s="387" t="str">
        <f t="array" ref="CS57">_xlfn.IFNA(INDEX($CR$6:$CR$66,MATCH(0,COUNTIF($CS$4:CS56,$CR$6:$CR$66),0),1),"")</f>
        <v/>
      </c>
      <c r="CT57" s="277" t="str">
        <f>IF(AND('1.4 Analyse &amp; Synthese'!AD58=1,'1.4 Analyse &amp; Synthese'!F58="Werkzeug"),'1.4 Analyse &amp; Synthese'!I58&amp;CHAR(13)&amp;"("&amp;'(Codierung)'!$C$4&amp;" - "&amp;'1.4 Analyse &amp; Synthese'!C58&amp;")","")</f>
        <v/>
      </c>
      <c r="CU57" s="387" t="str">
        <f t="array" ref="CU57">_xlfn.IFNA(INDEX($CT$6:$CT$66,MATCH(0,COUNTIF($CU$4:CU56,$CT$6:$CT$66),0),1),"")</f>
        <v/>
      </c>
      <c r="CW57" s="277" t="str">
        <f>IF(AND('1.4 Analyse &amp; Synthese'!AE58=1,'1.4 Analyse &amp; Synthese'!F58="Empfehlung"),'1.4 Analyse &amp; Synthese'!I58&amp;CHAR(13)&amp;"("&amp;'(Codierung)'!$C$2&amp;" - "&amp;'1.4 Analyse &amp; Synthese'!C58&amp;")","")</f>
        <v/>
      </c>
      <c r="CX57" s="387" t="str">
        <f t="array" ref="CX57">_xlfn.IFNA(INDEX($CW$6:$CW$66,MATCH(0,COUNTIF($CX$4:CX56,$CW$6:$CW$66),0),1),"")</f>
        <v/>
      </c>
      <c r="CY57" s="277" t="str">
        <f>IF(AND('1.4 Analyse &amp; Synthese'!AE58=1,'1.4 Analyse &amp; Synthese'!F58="Methode"),'1.4 Analyse &amp; Synthese'!I58&amp;CHAR(13)&amp;"("&amp;'(Codierung)'!$C$3&amp;" - "&amp;'1.4 Analyse &amp; Synthese'!C58&amp;")","")</f>
        <v/>
      </c>
      <c r="CZ57" s="387" t="str">
        <f t="array" ref="CZ57">_xlfn.IFNA(INDEX($CY$6:$CY$66,MATCH(0,COUNTIF($CZ$4:CZ56,$CY$6:$CY$66),0),1),"")</f>
        <v/>
      </c>
      <c r="DA57" s="277" t="str">
        <f>IF(AND('1.4 Analyse &amp; Synthese'!AE58=1,'1.4 Analyse &amp; Synthese'!F58="Werkzeug"),'1.4 Analyse &amp; Synthese'!I58&amp;CHAR(13)&amp;"("&amp;'(Codierung)'!$C$4&amp;" - "&amp;'1.4 Analyse &amp; Synthese'!C58&amp;")","")</f>
        <v/>
      </c>
      <c r="DB57" s="387" t="str">
        <f t="array" ref="DB57">_xlfn.IFNA(INDEX($DA$6:$DA$66,MATCH(0,COUNTIF($DB$4:DB56,$DA$6:$DA$66),0),1),"")</f>
        <v/>
      </c>
      <c r="DD57" s="277" t="str">
        <f>IF(AND('1.4 Analyse &amp; Synthese'!AF58=1,'1.4 Analyse &amp; Synthese'!F58="Empfehlung"),'1.4 Analyse &amp; Synthese'!I58&amp;CHAR(13)&amp;"("&amp;'(Codierung)'!$C$2&amp;" - "&amp;'1.4 Analyse &amp; Synthese'!C58&amp;")","")</f>
        <v/>
      </c>
      <c r="DE57" s="387" t="str">
        <f t="array" ref="DE57">_xlfn.IFNA(INDEX($DD$6:$DD$66,MATCH(0,COUNTIF($DE$4:DE56,$DD$6:$DD$66),0),1),"")</f>
        <v/>
      </c>
      <c r="DF57" s="277" t="str">
        <f>IF(AND('1.4 Analyse &amp; Synthese'!AF58=1,'1.4 Analyse &amp; Synthese'!F58="Methode"),'1.4 Analyse &amp; Synthese'!I58&amp;CHAR(13)&amp;"("&amp;'(Codierung)'!$C$3&amp;" - "&amp;'1.4 Analyse &amp; Synthese'!C58&amp;")","")</f>
        <v/>
      </c>
      <c r="DG57" s="387" t="str">
        <f t="array" ref="DG57">_xlfn.IFNA(INDEX($DF$6:$DF$66,MATCH(0,COUNTIF($DG$4:DG56,$DF$6:$DF$66),0),1),"")</f>
        <v/>
      </c>
      <c r="DH57" s="277" t="str">
        <f>IF(AND('1.4 Analyse &amp; Synthese'!AF58=1,'1.4 Analyse &amp; Synthese'!F58="Werkzeug"),'1.4 Analyse &amp; Synthese'!I58&amp;CHAR(13)&amp;"("&amp;'(Codierung)'!$C$4&amp;" - "&amp;'1.4 Analyse &amp; Synthese'!C58&amp;")","")</f>
        <v/>
      </c>
      <c r="DI57" s="387" t="str">
        <f t="array" ref="DI57">_xlfn.IFNA(INDEX($DH$6:$DH$66,MATCH(0,COUNTIF($DI$4:DI56,$DH$6:$DH$66),0),1),"")</f>
        <v/>
      </c>
      <c r="DK57" s="277" t="str">
        <f>IF(AND('1.4 Analyse &amp; Synthese'!AG58=1,'1.4 Analyse &amp; Synthese'!F58="Empfehlung"),'1.4 Analyse &amp; Synthese'!I58&amp;CHAR(13)&amp;"("&amp;'(Codierung)'!$C$2&amp;" - "&amp;'1.4 Analyse &amp; Synthese'!C58&amp;")","")</f>
        <v/>
      </c>
      <c r="DL57" s="387" t="str">
        <f t="array" ref="DL57">_xlfn.IFNA(INDEX($DK$6:$DK$66,MATCH(0,COUNTIF($DL$4:DL56,$DK$6:$DK$66),0),1),"")</f>
        <v/>
      </c>
      <c r="DM57" s="277" t="str">
        <f>IF(AND('1.4 Analyse &amp; Synthese'!AG58=1,'1.4 Analyse &amp; Synthese'!F58="Methode"),'1.4 Analyse &amp; Synthese'!I58&amp;CHAR(13)&amp;"("&amp;'(Codierung)'!$C$3&amp;" - "&amp;'1.4 Analyse &amp; Synthese'!C58&amp;")","")</f>
        <v/>
      </c>
      <c r="DN57" s="387" t="str">
        <f t="array" ref="DN57">_xlfn.IFNA(INDEX($DM$6:$DM$66,MATCH(0,COUNTIF($DN$4:DN56,$DM$6:$DM$66),0),1),"")</f>
        <v/>
      </c>
      <c r="DO57" s="277" t="str">
        <f>IF(AND('1.4 Analyse &amp; Synthese'!AG58=1,'1.4 Analyse &amp; Synthese'!F58="Werkzeug"),'1.4 Analyse &amp; Synthese'!I58&amp;CHAR(13)&amp;"("&amp;'(Codierung)'!$C$4&amp;" - "&amp;'1.4 Analyse &amp; Synthese'!C58&amp;")","")</f>
        <v/>
      </c>
      <c r="DP57" s="387" t="str">
        <f t="array" ref="DP57">_xlfn.IFNA(INDEX($DO$6:$DO$66,MATCH(0,COUNTIF($DP$4:DP56,$DO$6:$DO$66),0),1),"")</f>
        <v/>
      </c>
      <c r="DR57" s="277" t="str">
        <f>IF(AND('1.4 Analyse &amp; Synthese'!AH58=1,'1.4 Analyse &amp; Synthese'!F58="Empfehlung"),'1.4 Analyse &amp; Synthese'!I58&amp;CHAR(13)&amp;"("&amp;'(Codierung)'!$C$2&amp;" - "&amp;'1.4 Analyse &amp; Synthese'!C58&amp;")","")</f>
        <v/>
      </c>
      <c r="DS57" s="387" t="str">
        <f t="array" ref="DS57">_xlfn.IFNA(INDEX($DR$6:$DR$66,MATCH(0,COUNTIF($DS$4:DS56,$DR$6:$DR$66),0),1),"")</f>
        <v/>
      </c>
      <c r="DT57" s="277" t="str">
        <f>IF(AND('1.4 Analyse &amp; Synthese'!AH58=1,'1.4 Analyse &amp; Synthese'!F58="Methode"),'1.4 Analyse &amp; Synthese'!I58&amp;CHAR(13)&amp;"("&amp;'(Codierung)'!$C$3&amp;" - "&amp;'1.4 Analyse &amp; Synthese'!C58&amp;")","")</f>
        <v/>
      </c>
      <c r="DU57" s="387" t="str">
        <f t="array" ref="DU57">_xlfn.IFNA(INDEX($DT$6:$DT$66,MATCH(0,COUNTIF($DU$4:DU56,$DT$6:$DT$66),0),1),"")</f>
        <v/>
      </c>
      <c r="DV57" s="277" t="str">
        <f>IF(AND('1.4 Analyse &amp; Synthese'!AH58=1,'1.4 Analyse &amp; Synthese'!F58="Werkzeug"),'1.4 Analyse &amp; Synthese'!I58&amp;CHAR(13)&amp;"("&amp;'(Codierung)'!$C$4&amp;" - "&amp;'1.4 Analyse &amp; Synthese'!C58&amp;")","")</f>
        <v/>
      </c>
      <c r="DW57" s="387" t="str">
        <f t="array" ref="DW57">_xlfn.IFNA(INDEX($DV$6:$DV$66,MATCH(0,COUNTIF($DW$4:DW56,$DV$6:$DV$66),0),1),"")</f>
        <v/>
      </c>
      <c r="DY57" s="277" t="str">
        <f>IF(AND('1.4 Analyse &amp; Synthese'!AI58=1,'1.4 Analyse &amp; Synthese'!F58="Empfehlung"),'1.4 Analyse &amp; Synthese'!I58&amp;CHAR(13)&amp;"("&amp;'(Codierung)'!$C$2&amp;" - "&amp;'1.4 Analyse &amp; Synthese'!C58&amp;")","")</f>
        <v/>
      </c>
      <c r="DZ57" s="387" t="str">
        <f t="array" ref="DZ57">_xlfn.IFNA(INDEX($DY$6:$DY$66,MATCH(0,COUNTIF($DZ$4:DZ56,$DY$6:$DY$66),0),1),"")</f>
        <v/>
      </c>
      <c r="EA57" s="277" t="str">
        <f>IF(AND('1.4 Analyse &amp; Synthese'!AI58=1,'1.4 Analyse &amp; Synthese'!F58="Methode"),'1.4 Analyse &amp; Synthese'!I58&amp;CHAR(13)&amp;"("&amp;'(Codierung)'!$C$3&amp;" - "&amp;'1.4 Analyse &amp; Synthese'!C58&amp;")","")</f>
        <v/>
      </c>
      <c r="EB57" s="387" t="str">
        <f t="array" ref="EB57">_xlfn.IFNA(INDEX($EA$6:$EA$66,MATCH(0,COUNTIF($EB$4:EB56,$EA$6:$EA$66),0),1),"")</f>
        <v/>
      </c>
      <c r="EC57" s="277" t="str">
        <f>IF(AND('1.4 Analyse &amp; Synthese'!AI58=1,'1.4 Analyse &amp; Synthese'!F58="Werkzeug"),'1.4 Analyse &amp; Synthese'!I58&amp;CHAR(13)&amp;"("&amp;'(Codierung)'!$C$4&amp;" - "&amp;'1.4 Analyse &amp; Synthese'!C58&amp;")","")</f>
        <v/>
      </c>
      <c r="ED57" s="277" t="str">
        <f t="array" ref="ED57">_xlfn.IFNA(INDEX($EC$6:$EC$66,MATCH(0,COUNTIF($ED$4:ED56,$EC$6:$EC$66),0),1),"")</f>
        <v/>
      </c>
      <c r="EF57" s="277" t="str">
        <f>IF(AND('1.4 Analyse &amp; Synthese'!AJ58=1,'1.4 Analyse &amp; Synthese'!F58="Empfehlung"),'1.4 Analyse &amp; Synthese'!I58&amp;CHAR(13)&amp;"("&amp;'(Codierung)'!$C$2&amp;" - "&amp;'1.4 Analyse &amp; Synthese'!C58&amp;")","")</f>
        <v/>
      </c>
      <c r="EG57" s="277" t="str">
        <f t="array" ref="EG57">_xlfn.IFNA(INDEX($EF$6:$EF$66,MATCH(0,COUNTIF($EG$4:EG56,$EF$6:$EF$66),0),1),"")</f>
        <v/>
      </c>
      <c r="EH57" s="277" t="str">
        <f>IF(AND('1.4 Analyse &amp; Synthese'!AJ58=1,'1.4 Analyse &amp; Synthese'!F58="Methode"),'1.4 Analyse &amp; Synthese'!I58&amp;CHAR(13)&amp;"("&amp;'(Codierung)'!$C$3&amp;" - "&amp;'1.4 Analyse &amp; Synthese'!C58&amp;")","")</f>
        <v/>
      </c>
      <c r="EI57" s="387" t="str">
        <f t="array" ref="EI57">_xlfn.IFNA(INDEX($EH$6:$EH$66,MATCH(0,COUNTIF($EI$4:EI56,$EH$6:$EH$66),0),1),"")</f>
        <v/>
      </c>
      <c r="EJ57" s="277" t="str">
        <f>IF(AND('1.4 Analyse &amp; Synthese'!AJ58=1,'1.4 Analyse &amp; Synthese'!F58="Werkzeug"),'1.4 Analyse &amp; Synthese'!I58&amp;CHAR(13)&amp;"("&amp;'(Codierung)'!$C$4&amp;" - "&amp;'1.4 Analyse &amp; Synthese'!C58&amp;")","")</f>
        <v/>
      </c>
      <c r="EK57" s="387" t="str">
        <f t="array" ref="EK57">_xlfn.IFNA(INDEX($EJ$6:$EJ$66,MATCH(0,COUNTIF($EK$4:EK56,$EJ$6:$EJ$66),0),1),"")</f>
        <v/>
      </c>
      <c r="EN57" s="222" t="str">
        <f t="shared" si="60"/>
        <v/>
      </c>
      <c r="EO57" s="277" t="str">
        <f t="shared" si="61"/>
        <v/>
      </c>
      <c r="EP57" s="277" t="str">
        <f t="shared" si="62"/>
        <v/>
      </c>
      <c r="EQ57" s="277" t="str">
        <f>ZahlenInBereich(Tabelle1[[Empfehlung]:[Werkzeug]],ROW()-5)</f>
        <v/>
      </c>
      <c r="ER57" s="277" t="str">
        <f t="shared" si="63"/>
        <v/>
      </c>
      <c r="ES57" s="277" t="str">
        <f t="shared" si="64"/>
        <v/>
      </c>
      <c r="ET57" s="277" t="str">
        <f t="shared" si="65"/>
        <v/>
      </c>
      <c r="EU57" s="277" t="str">
        <f>ZahlenInBereich(Tabelle1[[Empfehlung2]:[Werkzeug4]],ROW()-5)</f>
        <v/>
      </c>
      <c r="EV57" s="277" t="str">
        <f t="shared" si="66"/>
        <v/>
      </c>
      <c r="EW57" s="277" t="str">
        <f t="shared" si="67"/>
        <v/>
      </c>
      <c r="EX57" s="277" t="str">
        <f t="shared" si="68"/>
        <v/>
      </c>
      <c r="EY57" s="277" t="str">
        <f>ZahlenInBereich(Tabelle1[[Empfehlung6]:[Werkzeug8]],ROW()-5)</f>
        <v/>
      </c>
      <c r="EZ57" s="277" t="str">
        <f t="shared" si="69"/>
        <v/>
      </c>
      <c r="FA57" s="277" t="str">
        <f t="shared" si="70"/>
        <v/>
      </c>
      <c r="FB57" s="277" t="str">
        <f t="shared" si="71"/>
        <v/>
      </c>
      <c r="FC57" s="277" t="str">
        <f>ZahlenInBereich(Tabelle1[[Empfehlung10]:[Werkzeug12]],ROW()-5)</f>
        <v/>
      </c>
      <c r="FD57" s="277" t="str">
        <f t="shared" si="72"/>
        <v/>
      </c>
      <c r="FE57" s="277" t="str">
        <f t="shared" si="73"/>
        <v/>
      </c>
      <c r="FF57" s="277" t="str">
        <f t="shared" si="74"/>
        <v/>
      </c>
      <c r="FG57" s="277" t="str">
        <f>ZahlenInBereich(Tabelle1[[Empfehlung14]:[Werkzeug16]],ROW()-5)</f>
        <v/>
      </c>
      <c r="FH57" s="277" t="str">
        <f t="shared" si="75"/>
        <v/>
      </c>
      <c r="FI57" s="277" t="str">
        <f t="shared" si="76"/>
        <v/>
      </c>
      <c r="FJ57" s="277" t="str">
        <f t="shared" si="77"/>
        <v/>
      </c>
      <c r="FK57" s="277" t="str">
        <f>ZahlenInBereich(Tabelle1[[Empfehlung18]:[Werkzeug20]],ROW()-5)</f>
        <v/>
      </c>
      <c r="FL57" s="277" t="str">
        <f t="shared" si="78"/>
        <v/>
      </c>
      <c r="FM57" s="277" t="str">
        <f t="shared" si="79"/>
        <v/>
      </c>
      <c r="FN57" s="277" t="str">
        <f t="shared" si="80"/>
        <v/>
      </c>
      <c r="FO57" s="277" t="str">
        <f>ZahlenInBereich(Tabelle1[[Empfehlung22]:[Werkzeug24]],ROW()-5)</f>
        <v/>
      </c>
      <c r="FP57" s="277" t="str">
        <f t="shared" si="81"/>
        <v/>
      </c>
      <c r="FQ57" s="277" t="str">
        <f t="shared" si="82"/>
        <v/>
      </c>
      <c r="FR57" s="277" t="str">
        <f t="shared" si="83"/>
        <v/>
      </c>
      <c r="FS57" s="277" t="str">
        <f>ZahlenInBereich(Tabelle1[[Empfehlung26]:[Werkzeug28]],ROW()-5)</f>
        <v/>
      </c>
      <c r="FT57" s="277" t="str">
        <f t="shared" si="84"/>
        <v/>
      </c>
      <c r="FU57" s="277" t="str">
        <f t="shared" si="85"/>
        <v/>
      </c>
      <c r="FV57" s="277" t="str">
        <f t="shared" si="86"/>
        <v/>
      </c>
      <c r="FW57" s="277" t="str">
        <f>ZahlenInBereich(Tabelle1[[Empfehlung30]:[Werkzeug32]],ROW()-5)</f>
        <v/>
      </c>
      <c r="FX57" s="277" t="str">
        <f t="shared" si="87"/>
        <v/>
      </c>
      <c r="FY57" s="277" t="str">
        <f t="shared" si="88"/>
        <v/>
      </c>
      <c r="FZ57" s="277" t="str">
        <f t="shared" si="89"/>
        <v/>
      </c>
      <c r="GA57" s="277" t="str">
        <f>ZahlenInBereich(Tabelle1[[Empfehlung34]:[Werkzeug36]],ROW()-5)</f>
        <v/>
      </c>
      <c r="GB57" s="277" t="str">
        <f t="shared" si="90"/>
        <v/>
      </c>
      <c r="GC57" s="277" t="str">
        <f t="shared" si="91"/>
        <v/>
      </c>
      <c r="GD57" s="277" t="str">
        <f t="shared" si="92"/>
        <v/>
      </c>
      <c r="GE57" s="277" t="str">
        <f>ZahlenInBereich(Tabelle1[[Empfehlung38]:[Werkzeug40]],ROW()-5)</f>
        <v/>
      </c>
      <c r="GF57" s="277" t="str">
        <f t="shared" si="93"/>
        <v/>
      </c>
      <c r="GG57" s="277" t="str">
        <f t="shared" si="94"/>
        <v/>
      </c>
      <c r="GH57" s="277" t="str">
        <f t="shared" si="95"/>
        <v/>
      </c>
      <c r="GI57" s="277" t="str">
        <f>ZahlenInBereich(Tabelle1[[Empfehlung42]:[Werkzeug44]],ROW()-5)</f>
        <v/>
      </c>
      <c r="GJ57" s="277" t="str">
        <f t="shared" si="96"/>
        <v/>
      </c>
      <c r="GK57" s="277" t="str">
        <f t="shared" si="97"/>
        <v/>
      </c>
      <c r="GL57" s="277" t="str">
        <f t="shared" si="98"/>
        <v/>
      </c>
      <c r="GM57" s="277" t="str">
        <f>ZahlenInBereich(Tabelle1[[Empfehlung46]:[Werkzeug48]],ROW()-5)</f>
        <v/>
      </c>
      <c r="GN57" s="277" t="str">
        <f t="shared" si="99"/>
        <v/>
      </c>
      <c r="GO57" s="277" t="str">
        <f t="shared" si="100"/>
        <v/>
      </c>
      <c r="GP57" s="277" t="str">
        <f t="shared" si="101"/>
        <v/>
      </c>
      <c r="GQ57" s="277" t="str">
        <f>ZahlenInBereich(Tabelle1[[Empfehlung50]:[Werkzeug52]],ROW()-5)</f>
        <v/>
      </c>
      <c r="GR57" s="277" t="str">
        <f t="shared" si="102"/>
        <v/>
      </c>
      <c r="GS57" s="277" t="str">
        <f t="shared" si="103"/>
        <v/>
      </c>
      <c r="GT57" s="277" t="str">
        <f t="shared" si="104"/>
        <v/>
      </c>
      <c r="GU57" s="277" t="str">
        <f>ZahlenInBereich(Tabelle1[[Empfehlung54]:[Werkzeug56]],ROW()-5)</f>
        <v/>
      </c>
      <c r="GV57" s="277" t="str">
        <f t="shared" si="105"/>
        <v/>
      </c>
      <c r="GW57" s="277" t="str">
        <f t="shared" si="106"/>
        <v/>
      </c>
      <c r="GX57" s="277" t="str">
        <f t="shared" si="107"/>
        <v/>
      </c>
      <c r="GY57" s="277" t="str">
        <f>ZahlenInBereich(Tabelle1[[Empfehlung58]:[Werkzeug60]],ROW()-5)</f>
        <v/>
      </c>
      <c r="GZ57" s="277" t="str">
        <f t="shared" si="108"/>
        <v/>
      </c>
      <c r="HA57" s="277" t="str">
        <f t="shared" si="109"/>
        <v/>
      </c>
      <c r="HB57" s="277" t="str">
        <f t="shared" si="110"/>
        <v/>
      </c>
      <c r="HC57" s="277" t="str">
        <f>ZahlenInBereich(Tabelle1[[Empfehlung62]:[Werkzeug64]],ROW()-5)</f>
        <v/>
      </c>
      <c r="HD57" s="277" t="str">
        <f t="shared" si="111"/>
        <v/>
      </c>
      <c r="HE57" s="277" t="str">
        <f t="shared" si="112"/>
        <v/>
      </c>
      <c r="HF57" s="277" t="str">
        <f t="shared" si="113"/>
        <v/>
      </c>
      <c r="HG57" s="277" t="str">
        <f>ZahlenInBereich(Tabelle1[[Empfehlung66]:[Werkzeug68]],ROW()-5)</f>
        <v/>
      </c>
      <c r="HH57" s="277" t="str">
        <f t="shared" si="114"/>
        <v/>
      </c>
      <c r="HI57" s="277" t="str">
        <f t="shared" si="115"/>
        <v/>
      </c>
      <c r="HJ57" s="277" t="str">
        <f t="shared" si="116"/>
        <v/>
      </c>
      <c r="HK57" s="277" t="str">
        <f>ZahlenInBereich(Tabelle1[[Empfehlung70]:[Werkzeug72]],ROW()-5)</f>
        <v/>
      </c>
      <c r="HL57" s="277" t="str">
        <f t="shared" si="117"/>
        <v/>
      </c>
      <c r="HM57" s="277" t="str">
        <f t="shared" si="118"/>
        <v/>
      </c>
      <c r="HN57" s="277" t="str">
        <f t="shared" si="119"/>
        <v/>
      </c>
      <c r="HO57" s="277" t="str">
        <f>ZahlenInBereich(Tabelle1[[Empfehlung74]:[Werkzeug76]],ROW()-5)</f>
        <v/>
      </c>
    </row>
    <row r="58" spans="2:223" x14ac:dyDescent="0.2">
      <c r="B58" s="135">
        <f>'1.4 Analyse &amp; Synthese'!B59</f>
        <v>0</v>
      </c>
      <c r="C58" s="277" t="str">
        <f>IF(AND('1.4 Analyse &amp; Synthese'!Q59=1,'1.4 Analyse &amp; Synthese'!F59="Empfehlung"),'1.4 Analyse &amp; Synthese'!I59&amp;CHAR(13)&amp;"("&amp;'(Codierung)'!$C$2&amp;" - "&amp;'1.4 Analyse &amp; Synthese'!C59&amp;")","")</f>
        <v/>
      </c>
      <c r="D58" s="222" t="str">
        <f t="array" ref="D58">_xlfn.IFNA(INDEX($C$6:$C$66,MATCH(0,COUNTIF($D$4:D57,$C$6:$C$66),0),1),"")</f>
        <v/>
      </c>
      <c r="E58" s="277" t="str">
        <f>IF(AND('1.4 Analyse &amp; Synthese'!Q59=1,'1.4 Analyse &amp; Synthese'!F59="Methode"),'1.4 Analyse &amp; Synthese'!I59&amp;CHAR(13)&amp;"("&amp;'(Codierung)'!$C$3&amp;" - "&amp;'1.4 Analyse &amp; Synthese'!C59&amp;")","")</f>
        <v/>
      </c>
      <c r="F58" s="387" t="str">
        <f t="array" ref="F58">_xlfn.IFNA(INDEX($E$6:$E$66,MATCH(0,COUNTIF($F$4:F57,$E$6:$E$66),0),1),"")</f>
        <v/>
      </c>
      <c r="G58" s="277" t="str">
        <f>IF(AND('1.4 Analyse &amp; Synthese'!Q59=1,'1.4 Analyse &amp; Synthese'!F59="Werkzeug"),'1.4 Analyse &amp; Synthese'!I59&amp;CHAR(13)&amp;"("&amp;'(Codierung)'!$C$4&amp;" - "&amp;'1.4 Analyse &amp; Synthese'!C59&amp;")","")</f>
        <v/>
      </c>
      <c r="H58" s="387" t="str">
        <f t="array" ref="H58">_xlfn.IFNA(INDEX($G$6:$G$66,MATCH(0,COUNTIF($H$4:H57,$G$6:$G$66),0),1),"")</f>
        <v/>
      </c>
      <c r="J58" s="277" t="str">
        <f>IF(AND('1.4 Analyse &amp; Synthese'!R59=1,'1.4 Analyse &amp; Synthese'!F59="Empfehlung"),'1.4 Analyse &amp; Synthese'!I59&amp;CHAR(13)&amp;"("&amp;'(Codierung)'!$C$2&amp;" - "&amp;'1.4 Analyse &amp; Synthese'!C59&amp;")","")</f>
        <v/>
      </c>
      <c r="K58" s="387" t="str">
        <f t="array" ref="K58">_xlfn.IFNA(INDEX($J$6:$J$66,MATCH(0,COUNTIF($K$4:K57,$J$6:$J$66),0),1),"")</f>
        <v/>
      </c>
      <c r="L58" s="277" t="str">
        <f>IF(AND('1.4 Analyse &amp; Synthese'!R59=1,'1.4 Analyse &amp; Synthese'!F59="Methode"),'1.4 Analyse &amp; Synthese'!I59&amp;CHAR(13)&amp;"("&amp;'(Codierung)'!$C$3&amp;" - "&amp;'1.4 Analyse &amp; Synthese'!C59&amp;")","")</f>
        <v/>
      </c>
      <c r="M58" s="387" t="str">
        <f t="array" ref="M58">_xlfn.IFNA(INDEX($L$6:$L$66,MATCH(0,COUNTIF($M$4:M57,$L$6:$L$66),0),1),"")</f>
        <v/>
      </c>
      <c r="N58" s="277" t="str">
        <f>IF(AND('1.4 Analyse &amp; Synthese'!R59=1,'1.4 Analyse &amp; Synthese'!F59="Werkzeug"),'1.4 Analyse &amp; Synthese'!I59&amp;CHAR(13)&amp;"("&amp;'(Codierung)'!$C$4&amp;" - "&amp;'1.4 Analyse &amp; Synthese'!C59&amp;")","")</f>
        <v/>
      </c>
      <c r="O58" s="387" t="str">
        <f t="array" ref="O58">_xlfn.IFNA(INDEX($N$6:$N$66,MATCH(0,COUNTIF($O$4:O57,$N$6:$N$66),0),1),"")</f>
        <v/>
      </c>
      <c r="Q58" s="277" t="str">
        <f>IF(AND('1.4 Analyse &amp; Synthese'!S59=1,'1.4 Analyse &amp; Synthese'!F59="Empfehlung"),'1.4 Analyse &amp; Synthese'!I59&amp;CHAR(13)&amp;"("&amp;'(Codierung)'!$C$2&amp;" - "&amp;'1.4 Analyse &amp; Synthese'!C59&amp;")","")</f>
        <v/>
      </c>
      <c r="R58" s="387" t="str">
        <f t="array" ref="R58">_xlfn.IFNA(INDEX($Q$6:$Q$66,MATCH(0,COUNTIF($R$4:R57,$Q$6:$Q$66),0),1),"")</f>
        <v/>
      </c>
      <c r="S58" s="277" t="str">
        <f>IF(AND('1.4 Analyse &amp; Synthese'!S59=1,'1.4 Analyse &amp; Synthese'!F59="Methode"),'1.4 Analyse &amp; Synthese'!I59&amp;CHAR(13)&amp;"("&amp;'(Codierung)'!$C$3&amp;" - "&amp;'1.4 Analyse &amp; Synthese'!C59&amp;")","")</f>
        <v/>
      </c>
      <c r="T58" s="387" t="str">
        <f t="array" ref="T58">_xlfn.IFNA(INDEX($S$6:$S$66,MATCH(0,COUNTIF($T$4:T57,$S$6:$S$66),0),1),"")</f>
        <v/>
      </c>
      <c r="U58" s="277" t="str">
        <f>IF(AND('1.4 Analyse &amp; Synthese'!S59=1,'1.4 Analyse &amp; Synthese'!F59="Werkzeug"),'1.4 Analyse &amp; Synthese'!I59&amp;CHAR(13)&amp;"("&amp;'(Codierung)'!$C$4&amp;" - "&amp;'1.4 Analyse &amp; Synthese'!C59&amp;")","")</f>
        <v/>
      </c>
      <c r="V58" s="387" t="str">
        <f t="array" ref="V58">_xlfn.IFNA(INDEX($U$6:$U$66,MATCH(0,COUNTIF($V$4:V57,$U$6:$U$66),0),1),"")</f>
        <v/>
      </c>
      <c r="X58" s="277" t="str">
        <f>IF(AND('1.4 Analyse &amp; Synthese'!T59=1,'1.4 Analyse &amp; Synthese'!F59="Empfehlung"),'1.4 Analyse &amp; Synthese'!I59&amp;CHAR(13)&amp;"("&amp;'(Codierung)'!$C$2&amp;" - "&amp;'1.4 Analyse &amp; Synthese'!C59&amp;")","")</f>
        <v/>
      </c>
      <c r="Y58" s="387" t="str">
        <f t="array" ref="Y58">_xlfn.IFNA(INDEX($X$6:$X$66,MATCH(0,COUNTIF($Y$4:Y57,$X$6:$X$66),0),1),"")</f>
        <v/>
      </c>
      <c r="Z58" s="277" t="str">
        <f>IF(AND('1.4 Analyse &amp; Synthese'!T59=1,'1.4 Analyse &amp; Synthese'!F59="Methode"),'1.4 Analyse &amp; Synthese'!I59&amp;CHAR(13)&amp;"("&amp;'(Codierung)'!$C$3&amp;" - "&amp;'1.4 Analyse &amp; Synthese'!C59&amp;")","")</f>
        <v/>
      </c>
      <c r="AA58" s="387" t="str">
        <f t="array" ref="AA58">_xlfn.IFNA(INDEX($Z$6:$Z$66,MATCH(0,COUNTIF($AA$4:AA57,$Z$6:$Z$66),0),1),"")</f>
        <v/>
      </c>
      <c r="AB58" s="277" t="str">
        <f>IF(AND('1.4 Analyse &amp; Synthese'!T59=1,'1.4 Analyse &amp; Synthese'!F59="Werkzeug"),'1.4 Analyse &amp; Synthese'!I59&amp;CHAR(13)&amp;"("&amp;'(Codierung)'!$C$4&amp;" - "&amp;'1.4 Analyse &amp; Synthese'!C59&amp;")","")</f>
        <v/>
      </c>
      <c r="AC58" s="387" t="str">
        <f t="array" ref="AC58">_xlfn.IFNA(INDEX($AB$6:$AB$66,MATCH(0,COUNTIF($AC$4:AC57,$AB$6:$AB$66),0),1),"")</f>
        <v/>
      </c>
      <c r="AE58" s="277" t="str">
        <f>IF(AND('1.4 Analyse &amp; Synthese'!U59=1,'1.4 Analyse &amp; Synthese'!F59="Empfehlung"),'1.4 Analyse &amp; Synthese'!I59&amp;CHAR(13)&amp;"("&amp;'(Codierung)'!$C$2&amp;" - "&amp;'1.4 Analyse &amp; Synthese'!C59&amp;")","")</f>
        <v/>
      </c>
      <c r="AF58" s="387" t="str">
        <f t="array" ref="AF58">_xlfn.IFNA(INDEX($AE$6:$AE$66,MATCH(0,COUNTIF($AF$4:AF57,$AE$6:$AE$66),0),1),"")</f>
        <v/>
      </c>
      <c r="AG58" s="277" t="str">
        <f>IF(AND('1.4 Analyse &amp; Synthese'!U59=1,'1.4 Analyse &amp; Synthese'!F59="Methode"),'1.4 Analyse &amp; Synthese'!I59&amp;CHAR(13)&amp;"("&amp;'(Codierung)'!$C$3&amp;" - "&amp;'1.4 Analyse &amp; Synthese'!C59&amp;")","")</f>
        <v/>
      </c>
      <c r="AH58" s="387" t="str">
        <f t="array" ref="AH58">_xlfn.IFNA(INDEX($AG$6:$AG$66,MATCH(0,COUNTIF($AH$4:AH57,$AG$6:$AG$66),0),1),"")</f>
        <v/>
      </c>
      <c r="AI58" s="277" t="str">
        <f>IF(AND('1.4 Analyse &amp; Synthese'!U59=1,'1.4 Analyse &amp; Synthese'!F59="Werkzeug"),'1.4 Analyse &amp; Synthese'!I59&amp;CHAR(13)&amp;"("&amp;'(Codierung)'!$C$4&amp;" - "&amp;'1.4 Analyse &amp; Synthese'!C59&amp;")","")</f>
        <v/>
      </c>
      <c r="AJ58" s="387" t="str">
        <f t="array" ref="AJ58">_xlfn.IFNA(INDEX($AI$6:$AI$66,MATCH(0,COUNTIF($AJ$4:AJ57,$AI$6:$AI$66),0),1),"")</f>
        <v/>
      </c>
      <c r="AL58" s="277" t="str">
        <f>IF(AND('1.4 Analyse &amp; Synthese'!V59=1,'1.4 Analyse &amp; Synthese'!F59="Empfehlung"),'1.4 Analyse &amp; Synthese'!I59&amp;CHAR(13)&amp;"("&amp;'(Codierung)'!$C$2&amp;" - "&amp;'1.4 Analyse &amp; Synthese'!C59&amp;")","")</f>
        <v/>
      </c>
      <c r="AM58" s="387" t="str">
        <f t="array" ref="AM58">_xlfn.IFNA(INDEX($AL$6:$AL$66,MATCH(0,COUNTIF($AM$4:AM57,$AL$6:$AL$66),0),1),"")</f>
        <v/>
      </c>
      <c r="AN58" s="277" t="str">
        <f>IF(AND('1.4 Analyse &amp; Synthese'!V59=1,'1.4 Analyse &amp; Synthese'!F59="Methode"),'1.4 Analyse &amp; Synthese'!I59&amp;CHAR(13)&amp;"("&amp;'(Codierung)'!$C$3&amp;" - "&amp;'1.4 Analyse &amp; Synthese'!C59&amp;")","")</f>
        <v/>
      </c>
      <c r="AO58" s="387" t="str">
        <f t="array" ref="AO58">_xlfn.IFNA(INDEX($AN$6:$AN$66,MATCH(0,COUNTIF($AO$4:AO57,$AN$6:$AN$66),0),1),"")</f>
        <v/>
      </c>
      <c r="AP58" s="277" t="str">
        <f>IF(AND('1.4 Analyse &amp; Synthese'!V59=1,'1.4 Analyse &amp; Synthese'!F59="Werkzeug"),'1.4 Analyse &amp; Synthese'!I59&amp;CHAR(13)&amp;"("&amp;'(Codierung)'!$C$4&amp;" - "&amp;'1.4 Analyse &amp; Synthese'!C59&amp;")","")</f>
        <v/>
      </c>
      <c r="AQ58" s="387" t="str">
        <f t="array" ref="AQ58">_xlfn.IFNA(INDEX($AP$6:$AP$66,MATCH(0,COUNTIF($AQ$4:AQ57,$AP$6:$AP$66),0),1),"")</f>
        <v/>
      </c>
      <c r="AS58" s="277" t="str">
        <f>IF(AND('1.4 Analyse &amp; Synthese'!W59=1,'1.4 Analyse &amp; Synthese'!F59="Empfehlung"),'1.4 Analyse &amp; Synthese'!I59&amp;CHAR(13)&amp;"("&amp;'(Codierung)'!$C$2&amp;" - "&amp;'1.4 Analyse &amp; Synthese'!C59&amp;")","")</f>
        <v/>
      </c>
      <c r="AT58" s="387" t="str">
        <f t="array" ref="AT58">_xlfn.IFNA(INDEX($AS$6:$AS$66,MATCH(0,COUNTIF($AT$4:AT57,$AS$6:$AS$66),0),1),"")</f>
        <v/>
      </c>
      <c r="AU58" s="277" t="str">
        <f>IF(AND('1.4 Analyse &amp; Synthese'!W59=1,'1.4 Analyse &amp; Synthese'!F59="Methode"),'1.4 Analyse &amp; Synthese'!I59&amp;CHAR(13)&amp;"("&amp;'(Codierung)'!$C$3&amp;" - "&amp;'1.4 Analyse &amp; Synthese'!C59&amp;")","")</f>
        <v/>
      </c>
      <c r="AV58" s="387" t="str">
        <f t="array" ref="AV58">_xlfn.IFNA(INDEX($AU$6:$AU$66,MATCH(0,COUNTIF($AV$4:AV57,$AU$6:$AU$66),0),1),"")</f>
        <v/>
      </c>
      <c r="AW58" s="277" t="str">
        <f>IF(AND('1.4 Analyse &amp; Synthese'!W59=1,'1.4 Analyse &amp; Synthese'!F59="Werkzeug"),'1.4 Analyse &amp; Synthese'!I59&amp;CHAR(13)&amp;"("&amp;'(Codierung)'!$C$4&amp;" - "&amp;'1.4 Analyse &amp; Synthese'!C59&amp;")","")</f>
        <v/>
      </c>
      <c r="AX58" s="387" t="str">
        <f t="array" ref="AX58">_xlfn.IFNA(INDEX($AW$6:$AW$66,MATCH(0,COUNTIF($AX$4:AX57,$AW$6:$AW$66),0),1),"")</f>
        <v/>
      </c>
      <c r="AZ58" s="277" t="str">
        <f>IF(AND('1.4 Analyse &amp; Synthese'!X59=1,'1.4 Analyse &amp; Synthese'!F59="Empfehlung"),'1.4 Analyse &amp; Synthese'!I59&amp;CHAR(13)&amp;"("&amp;'(Codierung)'!$C$2&amp;" - "&amp;'1.4 Analyse &amp; Synthese'!C59&amp;")","")</f>
        <v/>
      </c>
      <c r="BA58" s="387" t="str">
        <f t="array" ref="BA58">_xlfn.IFNA(INDEX($AZ$6:$AZ$66,MATCH(0,COUNTIF($BA$4:BA57,$AZ$6:$AZ$66),0),1),"")</f>
        <v/>
      </c>
      <c r="BB58" s="277" t="str">
        <f>IF(AND('1.4 Analyse &amp; Synthese'!X59=1,'1.4 Analyse &amp; Synthese'!F59="Methode"),'1.4 Analyse &amp; Synthese'!I59&amp;CHAR(13)&amp;"("&amp;'(Codierung)'!$C$3&amp;" - "&amp;'1.4 Analyse &amp; Synthese'!C59&amp;")","")</f>
        <v/>
      </c>
      <c r="BC58" s="387" t="str">
        <f t="array" ref="BC58">_xlfn.IFNA(INDEX($BB$6:$BB$66,MATCH(0,COUNTIF($BC$4:BC57,$BB$6:$BB$66),0),1),"")</f>
        <v/>
      </c>
      <c r="BD58" s="277" t="str">
        <f>IF(AND('1.4 Analyse &amp; Synthese'!X59=1,'1.4 Analyse &amp; Synthese'!F59="Werkzeug"),'1.4 Analyse &amp; Synthese'!I59&amp;CHAR(13)&amp;"("&amp;'(Codierung)'!$C$4&amp;" - "&amp;'1.4 Analyse &amp; Synthese'!C59&amp;")","")</f>
        <v/>
      </c>
      <c r="BE58" s="387" t="str">
        <f t="array" ref="BE58">_xlfn.IFNA(INDEX($BD$6:$BD$66,MATCH(0,COUNTIF($BE$4:BE57,$BD$6:$BD$66),0),1),"")</f>
        <v/>
      </c>
      <c r="BG58" s="277" t="str">
        <f>IF(AND('1.4 Analyse &amp; Synthese'!Y59=1,'1.4 Analyse &amp; Synthese'!F59="Empfehlung"),'1.4 Analyse &amp; Synthese'!I59&amp;CHAR(13)&amp;"("&amp;'(Codierung)'!$C$2&amp;" - "&amp;'1.4 Analyse &amp; Synthese'!C59&amp;")","")</f>
        <v/>
      </c>
      <c r="BH58" s="387" t="str">
        <f t="array" ref="BH58">_xlfn.IFNA(INDEX($BG$6:$BG$66,MATCH(0,COUNTIF($BH$4:BH57,$BG$6:$BG$66),0),1),"")</f>
        <v/>
      </c>
      <c r="BI58" s="277" t="str">
        <f>IF(AND('1.4 Analyse &amp; Synthese'!Y59=1,'1.4 Analyse &amp; Synthese'!F59="Methode"),'1.4 Analyse &amp; Synthese'!I59&amp;CHAR(13)&amp;"("&amp;'(Codierung)'!$C$3&amp;" - "&amp;'1.4 Analyse &amp; Synthese'!C59&amp;")","")</f>
        <v/>
      </c>
      <c r="BJ58" s="387" t="str">
        <f t="array" ref="BJ58">_xlfn.IFNA(INDEX($BI$6:$BI$66,MATCH(0,COUNTIF($BJ$4:BJ57,$BI$6:$BI$66),0),1),"")</f>
        <v/>
      </c>
      <c r="BK58" s="277" t="str">
        <f>IF(AND('1.4 Analyse &amp; Synthese'!Y59=1,'1.4 Analyse &amp; Synthese'!F59="Werkzeug"),'1.4 Analyse &amp; Synthese'!I59&amp;CHAR(13)&amp;"("&amp;'(Codierung)'!$C$4&amp;" - "&amp;'1.4 Analyse &amp; Synthese'!C59&amp;")","")</f>
        <v/>
      </c>
      <c r="BL58" s="387" t="str">
        <f t="array" ref="BL58">_xlfn.IFNA(INDEX($BK$6:$BK$66,MATCH(0,COUNTIF($BL$4:BL57,$BK$6:$BK$66),0),1),"")</f>
        <v/>
      </c>
      <c r="BN58" s="277" t="str">
        <f>IF(AND('1.4 Analyse &amp; Synthese'!Z59=1,'1.4 Analyse &amp; Synthese'!F59="Empfehlung"),'1.4 Analyse &amp; Synthese'!I59&amp;CHAR(13)&amp;"("&amp;'(Codierung)'!$C$2&amp;" - "&amp;'1.4 Analyse &amp; Synthese'!C59&amp;")","")</f>
        <v/>
      </c>
      <c r="BO58" s="387" t="str">
        <f t="array" ref="BO58">_xlfn.IFNA(INDEX($BN$6:$BN$66,MATCH(0,COUNTIF($BO$4:BO57,$BN$6:$BN$66),0),1),"")</f>
        <v/>
      </c>
      <c r="BP58" s="277" t="str">
        <f>IF(AND('1.4 Analyse &amp; Synthese'!Z59=1,'1.4 Analyse &amp; Synthese'!F59="Methode"),'1.4 Analyse &amp; Synthese'!I59&amp;CHAR(13)&amp;"("&amp;'(Codierung)'!$C$3&amp;" - "&amp;'1.4 Analyse &amp; Synthese'!C59&amp;")","")</f>
        <v/>
      </c>
      <c r="BQ58" s="387" t="str">
        <f t="array" ref="BQ58">_xlfn.IFNA(INDEX($BP$6:$BP$66,MATCH(0,COUNTIF($BQ$4:BQ57,$BP$6:$BP$66),0),1),"")</f>
        <v/>
      </c>
      <c r="BR58" s="277" t="str">
        <f>IF(AND('1.4 Analyse &amp; Synthese'!Z59=1,'1.4 Analyse &amp; Synthese'!F59="Werkzeug"),'1.4 Analyse &amp; Synthese'!I59&amp;CHAR(13)&amp;"("&amp;'(Codierung)'!$C$4&amp;" - "&amp;'1.4 Analyse &amp; Synthese'!C59&amp;")","")</f>
        <v/>
      </c>
      <c r="BS58" s="387" t="str">
        <f t="array" ref="BS58">_xlfn.IFNA(INDEX($BR$6:$BR$66,MATCH(0,COUNTIF($BS$4:BS57,$BR$6:$BR$66),0),1),"")</f>
        <v/>
      </c>
      <c r="BU58" s="277" t="str">
        <f>IF(AND('1.4 Analyse &amp; Synthese'!AA59=1,'1.4 Analyse &amp; Synthese'!F59="Empfehlung"),'1.4 Analyse &amp; Synthese'!I59&amp;CHAR(13)&amp;"("&amp;'(Codierung)'!$C$2&amp;" - "&amp;'1.4 Analyse &amp; Synthese'!C59&amp;")","")</f>
        <v/>
      </c>
      <c r="BV58" s="387" t="str">
        <f t="array" ref="BV58">_xlfn.IFNA(INDEX($BU$6:$BU$66,MATCH(0,COUNTIF($BV$4:BV57,$BU$6:$BU$66),0),1),"")</f>
        <v/>
      </c>
      <c r="BW58" s="277" t="str">
        <f>IF(AND('1.4 Analyse &amp; Synthese'!AA59=1,'1.4 Analyse &amp; Synthese'!F59="Methode"),'1.4 Analyse &amp; Synthese'!I59&amp;CHAR(13)&amp;"("&amp;'(Codierung)'!$C$3&amp;" - "&amp;'1.4 Analyse &amp; Synthese'!C59&amp;")","")</f>
        <v/>
      </c>
      <c r="BX58" s="387" t="str">
        <f t="array" ref="BX58">_xlfn.IFNA(INDEX($BW$6:$BW$66,MATCH(0,COUNTIF($BX$4:BX57,$BW$6:$BW$66),0),1),"")</f>
        <v/>
      </c>
      <c r="BY58" s="277" t="str">
        <f>IF(AND('1.4 Analyse &amp; Synthese'!AA59=1,'1.4 Analyse &amp; Synthese'!F59="Werkzeug"),'1.4 Analyse &amp; Synthese'!I59&amp;CHAR(13)&amp;"("&amp;'(Codierung)'!$C$4&amp;" - "&amp;'1.4 Analyse &amp; Synthese'!C59&amp;")","")</f>
        <v/>
      </c>
      <c r="BZ58" s="387" t="str">
        <f t="array" ref="BZ58">_xlfn.IFNA(INDEX($BY$6:$BY$66,MATCH(0,COUNTIF($BZ$4:BZ57,$BY$6:$BY$66),0),1),"")</f>
        <v/>
      </c>
      <c r="CB58" s="277" t="str">
        <f>IF(AND('1.4 Analyse &amp; Synthese'!AB59=1,'1.4 Analyse &amp; Synthese'!F59="Empfehlung"),'1.4 Analyse &amp; Synthese'!I59&amp;CHAR(13)&amp;"("&amp;'(Codierung)'!$C$2&amp;" - "&amp;'1.4 Analyse &amp; Synthese'!C59&amp;")","")</f>
        <v/>
      </c>
      <c r="CC58" s="387" t="str">
        <f t="array" ref="CC58">_xlfn.IFNA(INDEX($CB$6:$CB$66,MATCH(0,COUNTIF($CC$4:CC57,$CB$6:$CB$66),0),1),"")</f>
        <v/>
      </c>
      <c r="CD58" s="277" t="str">
        <f>IF(AND('1.4 Analyse &amp; Synthese'!AB59=1,'1.4 Analyse &amp; Synthese'!F59="Methode"),'1.4 Analyse &amp; Synthese'!I59&amp;CHAR(13)&amp;"("&amp;'(Codierung)'!$C$3&amp;" - "&amp;'1.4 Analyse &amp; Synthese'!C59&amp;")","")</f>
        <v/>
      </c>
      <c r="CE58" s="387" t="str">
        <f t="array" ref="CE58">_xlfn.IFNA(INDEX($CD$6:$CD$66,MATCH(0,COUNTIF($CE$4:CE57,$CD$6:$CD$66),0),1),"")</f>
        <v/>
      </c>
      <c r="CF58" s="277" t="str">
        <f>IF(AND('1.4 Analyse &amp; Synthese'!AB59=1,'1.4 Analyse &amp; Synthese'!F59="Werkzeug"),'1.4 Analyse &amp; Synthese'!I59&amp;CHAR(13)&amp;"("&amp;'(Codierung)'!$C$4&amp;" - "&amp;'1.4 Analyse &amp; Synthese'!C59&amp;")","")</f>
        <v/>
      </c>
      <c r="CG58" s="387" t="str">
        <f t="array" ref="CG58">_xlfn.IFNA(INDEX($CF$6:$CF$66,MATCH(0,COUNTIF($CG$4:CG57,$CF$6:$CF$66),0),1),"")</f>
        <v/>
      </c>
      <c r="CI58" s="277" t="str">
        <f>IF(AND('1.4 Analyse &amp; Synthese'!AC59=1,'1.4 Analyse &amp; Synthese'!F59="Empfehlung"),'1.4 Analyse &amp; Synthese'!I59&amp;CHAR(13)&amp;"("&amp;'(Codierung)'!$C$2&amp;" - "&amp;'1.4 Analyse &amp; Synthese'!C59&amp;")","")</f>
        <v/>
      </c>
      <c r="CJ58" s="387" t="str">
        <f t="array" ref="CJ58">_xlfn.IFNA(INDEX($CI$6:$CI$66,MATCH(0,COUNTIF($CJ$4:CJ57,$CI$6:$CI$66),0),1),"")</f>
        <v/>
      </c>
      <c r="CK58" s="277" t="str">
        <f>IF(AND('1.4 Analyse &amp; Synthese'!AC59=1,'1.4 Analyse &amp; Synthese'!F59="Methode"),'1.4 Analyse &amp; Synthese'!I59&amp;CHAR(13)&amp;"("&amp;'(Codierung)'!$C$3&amp;" - "&amp;'1.4 Analyse &amp; Synthese'!C59&amp;")","")</f>
        <v/>
      </c>
      <c r="CL58" s="387" t="str">
        <f t="array" ref="CL58">_xlfn.IFNA(INDEX($CK$6:$CK$66,MATCH(0,COUNTIF($CL$4:CL57,$CK$6:$CK$66),0),1),"")</f>
        <v/>
      </c>
      <c r="CM58" s="277" t="str">
        <f>IF(AND('1.4 Analyse &amp; Synthese'!AC59=1,'1.4 Analyse &amp; Synthese'!F59="Werkzeug"),'1.4 Analyse &amp; Synthese'!I59&amp;CHAR(13)&amp;"("&amp;'(Codierung)'!$C$4&amp;" - "&amp;'1.4 Analyse &amp; Synthese'!C59&amp;")","")</f>
        <v/>
      </c>
      <c r="CN58" s="387" t="str">
        <f t="array" ref="CN58">_xlfn.IFNA(INDEX($CM$6:$CM$66,MATCH(0,COUNTIF($CN$4:CN57,$CM$6:$CM$66),0),1),"")</f>
        <v/>
      </c>
      <c r="CP58" s="277" t="str">
        <f>IF(AND('1.4 Analyse &amp; Synthese'!AD59=1,'1.4 Analyse &amp; Synthese'!F59="Empfehlung"),'1.4 Analyse &amp; Synthese'!I59&amp;CHAR(13)&amp;"("&amp;'(Codierung)'!$C$2&amp;" - "&amp;'1.4 Analyse &amp; Synthese'!C59&amp;")","")</f>
        <v/>
      </c>
      <c r="CQ58" s="387" t="str">
        <f t="array" ref="CQ58">_xlfn.IFNA(INDEX($CP$6:$CP$66,MATCH(0,COUNTIF($CQ$4:CQ57,$CP$6:$CP$66),0),1),"")</f>
        <v/>
      </c>
      <c r="CR58" s="277" t="str">
        <f>IF(AND('1.4 Analyse &amp; Synthese'!AD59=1,'1.4 Analyse &amp; Synthese'!F59="Methode"),'1.4 Analyse &amp; Synthese'!I59&amp;CHAR(13)&amp;"("&amp;'(Codierung)'!$C$3&amp;" - "&amp;'1.4 Analyse &amp; Synthese'!C59&amp;")","")</f>
        <v/>
      </c>
      <c r="CS58" s="387" t="str">
        <f t="array" ref="CS58">_xlfn.IFNA(INDEX($CR$6:$CR$66,MATCH(0,COUNTIF($CS$4:CS57,$CR$6:$CR$66),0),1),"")</f>
        <v/>
      </c>
      <c r="CT58" s="277" t="str">
        <f>IF(AND('1.4 Analyse &amp; Synthese'!AD59=1,'1.4 Analyse &amp; Synthese'!F59="Werkzeug"),'1.4 Analyse &amp; Synthese'!I59&amp;CHAR(13)&amp;"("&amp;'(Codierung)'!$C$4&amp;" - "&amp;'1.4 Analyse &amp; Synthese'!C59&amp;")","")</f>
        <v/>
      </c>
      <c r="CU58" s="387" t="str">
        <f t="array" ref="CU58">_xlfn.IFNA(INDEX($CT$6:$CT$66,MATCH(0,COUNTIF($CU$4:CU57,$CT$6:$CT$66),0),1),"")</f>
        <v/>
      </c>
      <c r="CW58" s="277" t="str">
        <f>IF(AND('1.4 Analyse &amp; Synthese'!AE59=1,'1.4 Analyse &amp; Synthese'!F59="Empfehlung"),'1.4 Analyse &amp; Synthese'!I59&amp;CHAR(13)&amp;"("&amp;'(Codierung)'!$C$2&amp;" - "&amp;'1.4 Analyse &amp; Synthese'!C59&amp;")","")</f>
        <v/>
      </c>
      <c r="CX58" s="387" t="str">
        <f t="array" ref="CX58">_xlfn.IFNA(INDEX($CW$6:$CW$66,MATCH(0,COUNTIF($CX$4:CX57,$CW$6:$CW$66),0),1),"")</f>
        <v/>
      </c>
      <c r="CY58" s="277" t="str">
        <f>IF(AND('1.4 Analyse &amp; Synthese'!AE59=1,'1.4 Analyse &amp; Synthese'!F59="Methode"),'1.4 Analyse &amp; Synthese'!I59&amp;CHAR(13)&amp;"("&amp;'(Codierung)'!$C$3&amp;" - "&amp;'1.4 Analyse &amp; Synthese'!C59&amp;")","")</f>
        <v/>
      </c>
      <c r="CZ58" s="387" t="str">
        <f t="array" ref="CZ58">_xlfn.IFNA(INDEX($CY$6:$CY$66,MATCH(0,COUNTIF($CZ$4:CZ57,$CY$6:$CY$66),0),1),"")</f>
        <v/>
      </c>
      <c r="DA58" s="277" t="str">
        <f>IF(AND('1.4 Analyse &amp; Synthese'!AE59=1,'1.4 Analyse &amp; Synthese'!F59="Werkzeug"),'1.4 Analyse &amp; Synthese'!I59&amp;CHAR(13)&amp;"("&amp;'(Codierung)'!$C$4&amp;" - "&amp;'1.4 Analyse &amp; Synthese'!C59&amp;")","")</f>
        <v/>
      </c>
      <c r="DB58" s="387" t="str">
        <f t="array" ref="DB58">_xlfn.IFNA(INDEX($DA$6:$DA$66,MATCH(0,COUNTIF($DB$4:DB57,$DA$6:$DA$66),0),1),"")</f>
        <v/>
      </c>
      <c r="DD58" s="277" t="str">
        <f>IF(AND('1.4 Analyse &amp; Synthese'!AF59=1,'1.4 Analyse &amp; Synthese'!F59="Empfehlung"),'1.4 Analyse &amp; Synthese'!I59&amp;CHAR(13)&amp;"("&amp;'(Codierung)'!$C$2&amp;" - "&amp;'1.4 Analyse &amp; Synthese'!C59&amp;")","")</f>
        <v/>
      </c>
      <c r="DE58" s="387" t="str">
        <f t="array" ref="DE58">_xlfn.IFNA(INDEX($DD$6:$DD$66,MATCH(0,COUNTIF($DE$4:DE57,$DD$6:$DD$66),0),1),"")</f>
        <v/>
      </c>
      <c r="DF58" s="277" t="str">
        <f>IF(AND('1.4 Analyse &amp; Synthese'!AF59=1,'1.4 Analyse &amp; Synthese'!F59="Methode"),'1.4 Analyse &amp; Synthese'!I59&amp;CHAR(13)&amp;"("&amp;'(Codierung)'!$C$3&amp;" - "&amp;'1.4 Analyse &amp; Synthese'!C59&amp;")","")</f>
        <v/>
      </c>
      <c r="DG58" s="387" t="str">
        <f t="array" ref="DG58">_xlfn.IFNA(INDEX($DF$6:$DF$66,MATCH(0,COUNTIF($DG$4:DG57,$DF$6:$DF$66),0),1),"")</f>
        <v/>
      </c>
      <c r="DH58" s="277" t="str">
        <f>IF(AND('1.4 Analyse &amp; Synthese'!AF59=1,'1.4 Analyse &amp; Synthese'!F59="Werkzeug"),'1.4 Analyse &amp; Synthese'!I59&amp;CHAR(13)&amp;"("&amp;'(Codierung)'!$C$4&amp;" - "&amp;'1.4 Analyse &amp; Synthese'!C59&amp;")","")</f>
        <v/>
      </c>
      <c r="DI58" s="387" t="str">
        <f t="array" ref="DI58">_xlfn.IFNA(INDEX($DH$6:$DH$66,MATCH(0,COUNTIF($DI$4:DI57,$DH$6:$DH$66),0),1),"")</f>
        <v/>
      </c>
      <c r="DK58" s="277" t="str">
        <f>IF(AND('1.4 Analyse &amp; Synthese'!AG59=1,'1.4 Analyse &amp; Synthese'!F59="Empfehlung"),'1.4 Analyse &amp; Synthese'!I59&amp;CHAR(13)&amp;"("&amp;'(Codierung)'!$C$2&amp;" - "&amp;'1.4 Analyse &amp; Synthese'!C59&amp;")","")</f>
        <v/>
      </c>
      <c r="DL58" s="387" t="str">
        <f t="array" ref="DL58">_xlfn.IFNA(INDEX($DK$6:$DK$66,MATCH(0,COUNTIF($DL$4:DL57,$DK$6:$DK$66),0),1),"")</f>
        <v/>
      </c>
      <c r="DM58" s="277" t="str">
        <f>IF(AND('1.4 Analyse &amp; Synthese'!AG59=1,'1.4 Analyse &amp; Synthese'!F59="Methode"),'1.4 Analyse &amp; Synthese'!I59&amp;CHAR(13)&amp;"("&amp;'(Codierung)'!$C$3&amp;" - "&amp;'1.4 Analyse &amp; Synthese'!C59&amp;")","")</f>
        <v/>
      </c>
      <c r="DN58" s="387" t="str">
        <f t="array" ref="DN58">_xlfn.IFNA(INDEX($DM$6:$DM$66,MATCH(0,COUNTIF($DN$4:DN57,$DM$6:$DM$66),0),1),"")</f>
        <v/>
      </c>
      <c r="DO58" s="277" t="str">
        <f>IF(AND('1.4 Analyse &amp; Synthese'!AG59=1,'1.4 Analyse &amp; Synthese'!F59="Werkzeug"),'1.4 Analyse &amp; Synthese'!I59&amp;CHAR(13)&amp;"("&amp;'(Codierung)'!$C$4&amp;" - "&amp;'1.4 Analyse &amp; Synthese'!C59&amp;")","")</f>
        <v/>
      </c>
      <c r="DP58" s="387" t="str">
        <f t="array" ref="DP58">_xlfn.IFNA(INDEX($DO$6:$DO$66,MATCH(0,COUNTIF($DP$4:DP57,$DO$6:$DO$66),0),1),"")</f>
        <v/>
      </c>
      <c r="DR58" s="277" t="str">
        <f>IF(AND('1.4 Analyse &amp; Synthese'!AH59=1,'1.4 Analyse &amp; Synthese'!F59="Empfehlung"),'1.4 Analyse &amp; Synthese'!I59&amp;CHAR(13)&amp;"("&amp;'(Codierung)'!$C$2&amp;" - "&amp;'1.4 Analyse &amp; Synthese'!C59&amp;")","")</f>
        <v/>
      </c>
      <c r="DS58" s="387" t="str">
        <f t="array" ref="DS58">_xlfn.IFNA(INDEX($DR$6:$DR$66,MATCH(0,COUNTIF($DS$4:DS57,$DR$6:$DR$66),0),1),"")</f>
        <v/>
      </c>
      <c r="DT58" s="277" t="str">
        <f>IF(AND('1.4 Analyse &amp; Synthese'!AH59=1,'1.4 Analyse &amp; Synthese'!F59="Methode"),'1.4 Analyse &amp; Synthese'!I59&amp;CHAR(13)&amp;"("&amp;'(Codierung)'!$C$3&amp;" - "&amp;'1.4 Analyse &amp; Synthese'!C59&amp;")","")</f>
        <v/>
      </c>
      <c r="DU58" s="387" t="str">
        <f t="array" ref="DU58">_xlfn.IFNA(INDEX($DT$6:$DT$66,MATCH(0,COUNTIF($DU$4:DU57,$DT$6:$DT$66),0),1),"")</f>
        <v/>
      </c>
      <c r="DV58" s="277" t="str">
        <f>IF(AND('1.4 Analyse &amp; Synthese'!AH59=1,'1.4 Analyse &amp; Synthese'!F59="Werkzeug"),'1.4 Analyse &amp; Synthese'!I59&amp;CHAR(13)&amp;"("&amp;'(Codierung)'!$C$4&amp;" - "&amp;'1.4 Analyse &amp; Synthese'!C59&amp;")","")</f>
        <v/>
      </c>
      <c r="DW58" s="387" t="str">
        <f t="array" ref="DW58">_xlfn.IFNA(INDEX($DV$6:$DV$66,MATCH(0,COUNTIF($DW$4:DW57,$DV$6:$DV$66),0),1),"")</f>
        <v/>
      </c>
      <c r="DY58" s="277" t="str">
        <f>IF(AND('1.4 Analyse &amp; Synthese'!AI59=1,'1.4 Analyse &amp; Synthese'!F59="Empfehlung"),'1.4 Analyse &amp; Synthese'!I59&amp;CHAR(13)&amp;"("&amp;'(Codierung)'!$C$2&amp;" - "&amp;'1.4 Analyse &amp; Synthese'!C59&amp;")","")</f>
        <v/>
      </c>
      <c r="DZ58" s="387" t="str">
        <f t="array" ref="DZ58">_xlfn.IFNA(INDEX($DY$6:$DY$66,MATCH(0,COUNTIF($DZ$4:DZ57,$DY$6:$DY$66),0),1),"")</f>
        <v/>
      </c>
      <c r="EA58" s="277" t="str">
        <f>IF(AND('1.4 Analyse &amp; Synthese'!AI59=1,'1.4 Analyse &amp; Synthese'!F59="Methode"),'1.4 Analyse &amp; Synthese'!I59&amp;CHAR(13)&amp;"("&amp;'(Codierung)'!$C$3&amp;" - "&amp;'1.4 Analyse &amp; Synthese'!C59&amp;")","")</f>
        <v/>
      </c>
      <c r="EB58" s="387" t="str">
        <f t="array" ref="EB58">_xlfn.IFNA(INDEX($EA$6:$EA$66,MATCH(0,COUNTIF($EB$4:EB57,$EA$6:$EA$66),0),1),"")</f>
        <v/>
      </c>
      <c r="EC58" s="277" t="str">
        <f>IF(AND('1.4 Analyse &amp; Synthese'!AI59=1,'1.4 Analyse &amp; Synthese'!F59="Werkzeug"),'1.4 Analyse &amp; Synthese'!I59&amp;CHAR(13)&amp;"("&amp;'(Codierung)'!$C$4&amp;" - "&amp;'1.4 Analyse &amp; Synthese'!C59&amp;")","")</f>
        <v/>
      </c>
      <c r="ED58" s="277" t="str">
        <f t="array" ref="ED58">_xlfn.IFNA(INDEX($EC$6:$EC$66,MATCH(0,COUNTIF($ED$4:ED57,$EC$6:$EC$66),0),1),"")</f>
        <v/>
      </c>
      <c r="EF58" s="277" t="str">
        <f>IF(AND('1.4 Analyse &amp; Synthese'!AJ59=1,'1.4 Analyse &amp; Synthese'!F59="Empfehlung"),'1.4 Analyse &amp; Synthese'!I59&amp;CHAR(13)&amp;"("&amp;'(Codierung)'!$C$2&amp;" - "&amp;'1.4 Analyse &amp; Synthese'!C59&amp;")","")</f>
        <v/>
      </c>
      <c r="EG58" s="277" t="str">
        <f t="array" ref="EG58">_xlfn.IFNA(INDEX($EF$6:$EF$66,MATCH(0,COUNTIF($EG$4:EG57,$EF$6:$EF$66),0),1),"")</f>
        <v/>
      </c>
      <c r="EH58" s="277" t="str">
        <f>IF(AND('1.4 Analyse &amp; Synthese'!AJ59=1,'1.4 Analyse &amp; Synthese'!F59="Methode"),'1.4 Analyse &amp; Synthese'!I59&amp;CHAR(13)&amp;"("&amp;'(Codierung)'!$C$3&amp;" - "&amp;'1.4 Analyse &amp; Synthese'!C59&amp;")","")</f>
        <v/>
      </c>
      <c r="EI58" s="387" t="str">
        <f t="array" ref="EI58">_xlfn.IFNA(INDEX($EH$6:$EH$66,MATCH(0,COUNTIF($EI$4:EI57,$EH$6:$EH$66),0),1),"")</f>
        <v/>
      </c>
      <c r="EJ58" s="277" t="str">
        <f>IF(AND('1.4 Analyse &amp; Synthese'!AJ59=1,'1.4 Analyse &amp; Synthese'!F59="Werkzeug"),'1.4 Analyse &amp; Synthese'!I59&amp;CHAR(13)&amp;"("&amp;'(Codierung)'!$C$4&amp;" - "&amp;'1.4 Analyse &amp; Synthese'!C59&amp;")","")</f>
        <v/>
      </c>
      <c r="EK58" s="387" t="str">
        <f t="array" ref="EK58">_xlfn.IFNA(INDEX($EJ$6:$EJ$66,MATCH(0,COUNTIF($EK$4:EK57,$EJ$6:$EJ$66),0),1),"")</f>
        <v/>
      </c>
      <c r="EN58" s="222" t="str">
        <f t="shared" si="60"/>
        <v/>
      </c>
      <c r="EO58" s="277" t="str">
        <f t="shared" si="61"/>
        <v/>
      </c>
      <c r="EP58" s="277" t="str">
        <f t="shared" si="62"/>
        <v/>
      </c>
      <c r="EQ58" s="277" t="str">
        <f>ZahlenInBereich(Tabelle1[[Empfehlung]:[Werkzeug]],ROW()-5)</f>
        <v/>
      </c>
      <c r="ER58" s="277" t="str">
        <f t="shared" si="63"/>
        <v/>
      </c>
      <c r="ES58" s="277" t="str">
        <f t="shared" si="64"/>
        <v/>
      </c>
      <c r="ET58" s="277" t="str">
        <f t="shared" si="65"/>
        <v/>
      </c>
      <c r="EU58" s="277" t="str">
        <f>ZahlenInBereich(Tabelle1[[Empfehlung2]:[Werkzeug4]],ROW()-5)</f>
        <v/>
      </c>
      <c r="EV58" s="277" t="str">
        <f t="shared" si="66"/>
        <v/>
      </c>
      <c r="EW58" s="277" t="str">
        <f t="shared" si="67"/>
        <v/>
      </c>
      <c r="EX58" s="277" t="str">
        <f t="shared" si="68"/>
        <v/>
      </c>
      <c r="EY58" s="277" t="str">
        <f>ZahlenInBereich(Tabelle1[[Empfehlung6]:[Werkzeug8]],ROW()-5)</f>
        <v/>
      </c>
      <c r="EZ58" s="277" t="str">
        <f t="shared" si="69"/>
        <v/>
      </c>
      <c r="FA58" s="277" t="str">
        <f t="shared" si="70"/>
        <v/>
      </c>
      <c r="FB58" s="277" t="str">
        <f t="shared" si="71"/>
        <v/>
      </c>
      <c r="FC58" s="277" t="str">
        <f>ZahlenInBereich(Tabelle1[[Empfehlung10]:[Werkzeug12]],ROW()-5)</f>
        <v/>
      </c>
      <c r="FD58" s="277" t="str">
        <f t="shared" si="72"/>
        <v/>
      </c>
      <c r="FE58" s="277" t="str">
        <f t="shared" si="73"/>
        <v/>
      </c>
      <c r="FF58" s="277" t="str">
        <f t="shared" si="74"/>
        <v/>
      </c>
      <c r="FG58" s="277" t="str">
        <f>ZahlenInBereich(Tabelle1[[Empfehlung14]:[Werkzeug16]],ROW()-5)</f>
        <v/>
      </c>
      <c r="FH58" s="277" t="str">
        <f t="shared" si="75"/>
        <v/>
      </c>
      <c r="FI58" s="277" t="str">
        <f t="shared" si="76"/>
        <v/>
      </c>
      <c r="FJ58" s="277" t="str">
        <f t="shared" si="77"/>
        <v/>
      </c>
      <c r="FK58" s="277" t="str">
        <f>ZahlenInBereich(Tabelle1[[Empfehlung18]:[Werkzeug20]],ROW()-5)</f>
        <v/>
      </c>
      <c r="FL58" s="277" t="str">
        <f t="shared" si="78"/>
        <v/>
      </c>
      <c r="FM58" s="277" t="str">
        <f t="shared" si="79"/>
        <v/>
      </c>
      <c r="FN58" s="277" t="str">
        <f t="shared" si="80"/>
        <v/>
      </c>
      <c r="FO58" s="277" t="str">
        <f>ZahlenInBereich(Tabelle1[[Empfehlung22]:[Werkzeug24]],ROW()-5)</f>
        <v/>
      </c>
      <c r="FP58" s="277" t="str">
        <f t="shared" si="81"/>
        <v/>
      </c>
      <c r="FQ58" s="277" t="str">
        <f t="shared" si="82"/>
        <v/>
      </c>
      <c r="FR58" s="277" t="str">
        <f t="shared" si="83"/>
        <v/>
      </c>
      <c r="FS58" s="277" t="str">
        <f>ZahlenInBereich(Tabelle1[[Empfehlung26]:[Werkzeug28]],ROW()-5)</f>
        <v/>
      </c>
      <c r="FT58" s="277" t="str">
        <f t="shared" si="84"/>
        <v/>
      </c>
      <c r="FU58" s="277" t="str">
        <f t="shared" si="85"/>
        <v/>
      </c>
      <c r="FV58" s="277" t="str">
        <f t="shared" si="86"/>
        <v/>
      </c>
      <c r="FW58" s="277" t="str">
        <f>ZahlenInBereich(Tabelle1[[Empfehlung30]:[Werkzeug32]],ROW()-5)</f>
        <v/>
      </c>
      <c r="FX58" s="277" t="str">
        <f t="shared" si="87"/>
        <v/>
      </c>
      <c r="FY58" s="277" t="str">
        <f t="shared" si="88"/>
        <v/>
      </c>
      <c r="FZ58" s="277" t="str">
        <f t="shared" si="89"/>
        <v/>
      </c>
      <c r="GA58" s="277" t="str">
        <f>ZahlenInBereich(Tabelle1[[Empfehlung34]:[Werkzeug36]],ROW()-5)</f>
        <v/>
      </c>
      <c r="GB58" s="277" t="str">
        <f t="shared" si="90"/>
        <v/>
      </c>
      <c r="GC58" s="277" t="str">
        <f t="shared" si="91"/>
        <v/>
      </c>
      <c r="GD58" s="277" t="str">
        <f t="shared" si="92"/>
        <v/>
      </c>
      <c r="GE58" s="277" t="str">
        <f>ZahlenInBereich(Tabelle1[[Empfehlung38]:[Werkzeug40]],ROW()-5)</f>
        <v/>
      </c>
      <c r="GF58" s="277" t="str">
        <f t="shared" si="93"/>
        <v/>
      </c>
      <c r="GG58" s="277" t="str">
        <f t="shared" si="94"/>
        <v/>
      </c>
      <c r="GH58" s="277" t="str">
        <f t="shared" si="95"/>
        <v/>
      </c>
      <c r="GI58" s="277" t="str">
        <f>ZahlenInBereich(Tabelle1[[Empfehlung42]:[Werkzeug44]],ROW()-5)</f>
        <v/>
      </c>
      <c r="GJ58" s="277" t="str">
        <f t="shared" si="96"/>
        <v/>
      </c>
      <c r="GK58" s="277" t="str">
        <f t="shared" si="97"/>
        <v/>
      </c>
      <c r="GL58" s="277" t="str">
        <f t="shared" si="98"/>
        <v/>
      </c>
      <c r="GM58" s="277" t="str">
        <f>ZahlenInBereich(Tabelle1[[Empfehlung46]:[Werkzeug48]],ROW()-5)</f>
        <v/>
      </c>
      <c r="GN58" s="277" t="str">
        <f t="shared" si="99"/>
        <v/>
      </c>
      <c r="GO58" s="277" t="str">
        <f t="shared" si="100"/>
        <v/>
      </c>
      <c r="GP58" s="277" t="str">
        <f t="shared" si="101"/>
        <v/>
      </c>
      <c r="GQ58" s="277" t="str">
        <f>ZahlenInBereich(Tabelle1[[Empfehlung50]:[Werkzeug52]],ROW()-5)</f>
        <v/>
      </c>
      <c r="GR58" s="277" t="str">
        <f t="shared" si="102"/>
        <v/>
      </c>
      <c r="GS58" s="277" t="str">
        <f t="shared" si="103"/>
        <v/>
      </c>
      <c r="GT58" s="277" t="str">
        <f t="shared" si="104"/>
        <v/>
      </c>
      <c r="GU58" s="277" t="str">
        <f>ZahlenInBereich(Tabelle1[[Empfehlung54]:[Werkzeug56]],ROW()-5)</f>
        <v/>
      </c>
      <c r="GV58" s="277" t="str">
        <f t="shared" si="105"/>
        <v/>
      </c>
      <c r="GW58" s="277" t="str">
        <f t="shared" si="106"/>
        <v/>
      </c>
      <c r="GX58" s="277" t="str">
        <f t="shared" si="107"/>
        <v/>
      </c>
      <c r="GY58" s="277" t="str">
        <f>ZahlenInBereich(Tabelle1[[Empfehlung58]:[Werkzeug60]],ROW()-5)</f>
        <v/>
      </c>
      <c r="GZ58" s="277" t="str">
        <f t="shared" si="108"/>
        <v/>
      </c>
      <c r="HA58" s="277" t="str">
        <f t="shared" si="109"/>
        <v/>
      </c>
      <c r="HB58" s="277" t="str">
        <f t="shared" si="110"/>
        <v/>
      </c>
      <c r="HC58" s="277" t="str">
        <f>ZahlenInBereich(Tabelle1[[Empfehlung62]:[Werkzeug64]],ROW()-5)</f>
        <v/>
      </c>
      <c r="HD58" s="277" t="str">
        <f t="shared" si="111"/>
        <v/>
      </c>
      <c r="HE58" s="277" t="str">
        <f t="shared" si="112"/>
        <v/>
      </c>
      <c r="HF58" s="277" t="str">
        <f t="shared" si="113"/>
        <v/>
      </c>
      <c r="HG58" s="277" t="str">
        <f>ZahlenInBereich(Tabelle1[[Empfehlung66]:[Werkzeug68]],ROW()-5)</f>
        <v/>
      </c>
      <c r="HH58" s="277" t="str">
        <f t="shared" si="114"/>
        <v/>
      </c>
      <c r="HI58" s="277" t="str">
        <f t="shared" si="115"/>
        <v/>
      </c>
      <c r="HJ58" s="277" t="str">
        <f t="shared" si="116"/>
        <v/>
      </c>
      <c r="HK58" s="277" t="str">
        <f>ZahlenInBereich(Tabelle1[[Empfehlung70]:[Werkzeug72]],ROW()-5)</f>
        <v/>
      </c>
      <c r="HL58" s="277" t="str">
        <f t="shared" si="117"/>
        <v/>
      </c>
      <c r="HM58" s="277" t="str">
        <f t="shared" si="118"/>
        <v/>
      </c>
      <c r="HN58" s="277" t="str">
        <f t="shared" si="119"/>
        <v/>
      </c>
      <c r="HO58" s="277" t="str">
        <f>ZahlenInBereich(Tabelle1[[Empfehlung74]:[Werkzeug76]],ROW()-5)</f>
        <v/>
      </c>
    </row>
    <row r="59" spans="2:223" x14ac:dyDescent="0.2">
      <c r="B59" s="135">
        <f>'1.4 Analyse &amp; Synthese'!B60</f>
        <v>0</v>
      </c>
      <c r="C59" s="277" t="str">
        <f>IF(AND('1.4 Analyse &amp; Synthese'!Q60=1,'1.4 Analyse &amp; Synthese'!F60="Empfehlung"),'1.4 Analyse &amp; Synthese'!I60&amp;CHAR(13)&amp;"("&amp;'(Codierung)'!$C$2&amp;" - "&amp;'1.4 Analyse &amp; Synthese'!C60&amp;")","")</f>
        <v/>
      </c>
      <c r="D59" s="222" t="str">
        <f t="array" ref="D59">_xlfn.IFNA(INDEX($C$6:$C$66,MATCH(0,COUNTIF($D$4:D58,$C$6:$C$66),0),1),"")</f>
        <v/>
      </c>
      <c r="E59" s="277" t="str">
        <f>IF(AND('1.4 Analyse &amp; Synthese'!Q60=1,'1.4 Analyse &amp; Synthese'!F60="Methode"),'1.4 Analyse &amp; Synthese'!I60&amp;CHAR(13)&amp;"("&amp;'(Codierung)'!$C$3&amp;" - "&amp;'1.4 Analyse &amp; Synthese'!C60&amp;")","")</f>
        <v/>
      </c>
      <c r="F59" s="387" t="str">
        <f t="array" ref="F59">_xlfn.IFNA(INDEX($E$6:$E$66,MATCH(0,COUNTIF($F$4:F58,$E$6:$E$66),0),1),"")</f>
        <v/>
      </c>
      <c r="G59" s="277" t="str">
        <f>IF(AND('1.4 Analyse &amp; Synthese'!Q60=1,'1.4 Analyse &amp; Synthese'!F60="Werkzeug"),'1.4 Analyse &amp; Synthese'!I60&amp;CHAR(13)&amp;"("&amp;'(Codierung)'!$C$4&amp;" - "&amp;'1.4 Analyse &amp; Synthese'!C60&amp;")","")</f>
        <v/>
      </c>
      <c r="H59" s="387" t="str">
        <f t="array" ref="H59">_xlfn.IFNA(INDEX($G$6:$G$66,MATCH(0,COUNTIF($H$4:H58,$G$6:$G$66),0),1),"")</f>
        <v/>
      </c>
      <c r="J59" s="277" t="str">
        <f>IF(AND('1.4 Analyse &amp; Synthese'!R60=1,'1.4 Analyse &amp; Synthese'!F60="Empfehlung"),'1.4 Analyse &amp; Synthese'!I60&amp;CHAR(13)&amp;"("&amp;'(Codierung)'!$C$2&amp;" - "&amp;'1.4 Analyse &amp; Synthese'!C60&amp;")","")</f>
        <v/>
      </c>
      <c r="K59" s="387" t="str">
        <f t="array" ref="K59">_xlfn.IFNA(INDEX($J$6:$J$66,MATCH(0,COUNTIF($K$4:K58,$J$6:$J$66),0),1),"")</f>
        <v/>
      </c>
      <c r="L59" s="277" t="str">
        <f>IF(AND('1.4 Analyse &amp; Synthese'!R60=1,'1.4 Analyse &amp; Synthese'!F60="Methode"),'1.4 Analyse &amp; Synthese'!I60&amp;CHAR(13)&amp;"("&amp;'(Codierung)'!$C$3&amp;" - "&amp;'1.4 Analyse &amp; Synthese'!C60&amp;")","")</f>
        <v/>
      </c>
      <c r="M59" s="387" t="str">
        <f t="array" ref="M59">_xlfn.IFNA(INDEX($L$6:$L$66,MATCH(0,COUNTIF($M$4:M58,$L$6:$L$66),0),1),"")</f>
        <v/>
      </c>
      <c r="N59" s="277" t="str">
        <f>IF(AND('1.4 Analyse &amp; Synthese'!R60=1,'1.4 Analyse &amp; Synthese'!F60="Werkzeug"),'1.4 Analyse &amp; Synthese'!I60&amp;CHAR(13)&amp;"("&amp;'(Codierung)'!$C$4&amp;" - "&amp;'1.4 Analyse &amp; Synthese'!C60&amp;")","")</f>
        <v/>
      </c>
      <c r="O59" s="387" t="str">
        <f t="array" ref="O59">_xlfn.IFNA(INDEX($N$6:$N$66,MATCH(0,COUNTIF($O$4:O58,$N$6:$N$66),0),1),"")</f>
        <v/>
      </c>
      <c r="Q59" s="277" t="str">
        <f>IF(AND('1.4 Analyse &amp; Synthese'!S60=1,'1.4 Analyse &amp; Synthese'!F60="Empfehlung"),'1.4 Analyse &amp; Synthese'!I60&amp;CHAR(13)&amp;"("&amp;'(Codierung)'!$C$2&amp;" - "&amp;'1.4 Analyse &amp; Synthese'!C60&amp;")","")</f>
        <v/>
      </c>
      <c r="R59" s="387" t="str">
        <f t="array" ref="R59">_xlfn.IFNA(INDEX($Q$6:$Q$66,MATCH(0,COUNTIF($R$4:R58,$Q$6:$Q$66),0),1),"")</f>
        <v/>
      </c>
      <c r="S59" s="277" t="str">
        <f>IF(AND('1.4 Analyse &amp; Synthese'!S60=1,'1.4 Analyse &amp; Synthese'!F60="Methode"),'1.4 Analyse &amp; Synthese'!I60&amp;CHAR(13)&amp;"("&amp;'(Codierung)'!$C$3&amp;" - "&amp;'1.4 Analyse &amp; Synthese'!C60&amp;")","")</f>
        <v/>
      </c>
      <c r="T59" s="387" t="str">
        <f t="array" ref="T59">_xlfn.IFNA(INDEX($S$6:$S$66,MATCH(0,COUNTIF($T$4:T58,$S$6:$S$66),0),1),"")</f>
        <v/>
      </c>
      <c r="U59" s="277" t="str">
        <f>IF(AND('1.4 Analyse &amp; Synthese'!S60=1,'1.4 Analyse &amp; Synthese'!F60="Werkzeug"),'1.4 Analyse &amp; Synthese'!I60&amp;CHAR(13)&amp;"("&amp;'(Codierung)'!$C$4&amp;" - "&amp;'1.4 Analyse &amp; Synthese'!C60&amp;")","")</f>
        <v/>
      </c>
      <c r="V59" s="387" t="str">
        <f t="array" ref="V59">_xlfn.IFNA(INDEX($U$6:$U$66,MATCH(0,COUNTIF($V$4:V58,$U$6:$U$66),0),1),"")</f>
        <v/>
      </c>
      <c r="X59" s="277" t="str">
        <f>IF(AND('1.4 Analyse &amp; Synthese'!T60=1,'1.4 Analyse &amp; Synthese'!F60="Empfehlung"),'1.4 Analyse &amp; Synthese'!I60&amp;CHAR(13)&amp;"("&amp;'(Codierung)'!$C$2&amp;" - "&amp;'1.4 Analyse &amp; Synthese'!C60&amp;")","")</f>
        <v/>
      </c>
      <c r="Y59" s="387" t="str">
        <f t="array" ref="Y59">_xlfn.IFNA(INDEX($X$6:$X$66,MATCH(0,COUNTIF($Y$4:Y58,$X$6:$X$66),0),1),"")</f>
        <v/>
      </c>
      <c r="Z59" s="277" t="str">
        <f>IF(AND('1.4 Analyse &amp; Synthese'!T60=1,'1.4 Analyse &amp; Synthese'!F60="Methode"),'1.4 Analyse &amp; Synthese'!I60&amp;CHAR(13)&amp;"("&amp;'(Codierung)'!$C$3&amp;" - "&amp;'1.4 Analyse &amp; Synthese'!C60&amp;")","")</f>
        <v/>
      </c>
      <c r="AA59" s="387" t="str">
        <f t="array" ref="AA59">_xlfn.IFNA(INDEX($Z$6:$Z$66,MATCH(0,COUNTIF($AA$4:AA58,$Z$6:$Z$66),0),1),"")</f>
        <v/>
      </c>
      <c r="AB59" s="277" t="str">
        <f>IF(AND('1.4 Analyse &amp; Synthese'!T60=1,'1.4 Analyse &amp; Synthese'!F60="Werkzeug"),'1.4 Analyse &amp; Synthese'!I60&amp;CHAR(13)&amp;"("&amp;'(Codierung)'!$C$4&amp;" - "&amp;'1.4 Analyse &amp; Synthese'!C60&amp;")","")</f>
        <v/>
      </c>
      <c r="AC59" s="387" t="str">
        <f t="array" ref="AC59">_xlfn.IFNA(INDEX($AB$6:$AB$66,MATCH(0,COUNTIF($AC$4:AC58,$AB$6:$AB$66),0),1),"")</f>
        <v/>
      </c>
      <c r="AE59" s="277" t="str">
        <f>IF(AND('1.4 Analyse &amp; Synthese'!U60=1,'1.4 Analyse &amp; Synthese'!F60="Empfehlung"),'1.4 Analyse &amp; Synthese'!I60&amp;CHAR(13)&amp;"("&amp;'(Codierung)'!$C$2&amp;" - "&amp;'1.4 Analyse &amp; Synthese'!C60&amp;")","")</f>
        <v/>
      </c>
      <c r="AF59" s="387" t="str">
        <f t="array" ref="AF59">_xlfn.IFNA(INDEX($AE$6:$AE$66,MATCH(0,COUNTIF($AF$4:AF58,$AE$6:$AE$66),0),1),"")</f>
        <v/>
      </c>
      <c r="AG59" s="277" t="str">
        <f>IF(AND('1.4 Analyse &amp; Synthese'!U60=1,'1.4 Analyse &amp; Synthese'!F60="Methode"),'1.4 Analyse &amp; Synthese'!I60&amp;CHAR(13)&amp;"("&amp;'(Codierung)'!$C$3&amp;" - "&amp;'1.4 Analyse &amp; Synthese'!C60&amp;")","")</f>
        <v/>
      </c>
      <c r="AH59" s="387" t="str">
        <f t="array" ref="AH59">_xlfn.IFNA(INDEX($AG$6:$AG$66,MATCH(0,COUNTIF($AH$4:AH58,$AG$6:$AG$66),0),1),"")</f>
        <v/>
      </c>
      <c r="AI59" s="277" t="str">
        <f>IF(AND('1.4 Analyse &amp; Synthese'!U60=1,'1.4 Analyse &amp; Synthese'!F60="Werkzeug"),'1.4 Analyse &amp; Synthese'!I60&amp;CHAR(13)&amp;"("&amp;'(Codierung)'!$C$4&amp;" - "&amp;'1.4 Analyse &amp; Synthese'!C60&amp;")","")</f>
        <v/>
      </c>
      <c r="AJ59" s="387" t="str">
        <f t="array" ref="AJ59">_xlfn.IFNA(INDEX($AI$6:$AI$66,MATCH(0,COUNTIF($AJ$4:AJ58,$AI$6:$AI$66),0),1),"")</f>
        <v/>
      </c>
      <c r="AL59" s="277" t="str">
        <f>IF(AND('1.4 Analyse &amp; Synthese'!V60=1,'1.4 Analyse &amp; Synthese'!F60="Empfehlung"),'1.4 Analyse &amp; Synthese'!I60&amp;CHAR(13)&amp;"("&amp;'(Codierung)'!$C$2&amp;" - "&amp;'1.4 Analyse &amp; Synthese'!C60&amp;")","")</f>
        <v/>
      </c>
      <c r="AM59" s="387" t="str">
        <f t="array" ref="AM59">_xlfn.IFNA(INDEX($AL$6:$AL$66,MATCH(0,COUNTIF($AM$4:AM58,$AL$6:$AL$66),0),1),"")</f>
        <v/>
      </c>
      <c r="AN59" s="277" t="str">
        <f>IF(AND('1.4 Analyse &amp; Synthese'!V60=1,'1.4 Analyse &amp; Synthese'!F60="Methode"),'1.4 Analyse &amp; Synthese'!I60&amp;CHAR(13)&amp;"("&amp;'(Codierung)'!$C$3&amp;" - "&amp;'1.4 Analyse &amp; Synthese'!C60&amp;")","")</f>
        <v/>
      </c>
      <c r="AO59" s="387" t="str">
        <f t="array" ref="AO59">_xlfn.IFNA(INDEX($AN$6:$AN$66,MATCH(0,COUNTIF($AO$4:AO58,$AN$6:$AN$66),0),1),"")</f>
        <v/>
      </c>
      <c r="AP59" s="277" t="str">
        <f>IF(AND('1.4 Analyse &amp; Synthese'!V60=1,'1.4 Analyse &amp; Synthese'!F60="Werkzeug"),'1.4 Analyse &amp; Synthese'!I60&amp;CHAR(13)&amp;"("&amp;'(Codierung)'!$C$4&amp;" - "&amp;'1.4 Analyse &amp; Synthese'!C60&amp;")","")</f>
        <v/>
      </c>
      <c r="AQ59" s="387" t="str">
        <f t="array" ref="AQ59">_xlfn.IFNA(INDEX($AP$6:$AP$66,MATCH(0,COUNTIF($AQ$4:AQ58,$AP$6:$AP$66),0),1),"")</f>
        <v/>
      </c>
      <c r="AS59" s="277" t="str">
        <f>IF(AND('1.4 Analyse &amp; Synthese'!W60=1,'1.4 Analyse &amp; Synthese'!F60="Empfehlung"),'1.4 Analyse &amp; Synthese'!I60&amp;CHAR(13)&amp;"("&amp;'(Codierung)'!$C$2&amp;" - "&amp;'1.4 Analyse &amp; Synthese'!C60&amp;")","")</f>
        <v/>
      </c>
      <c r="AT59" s="387" t="str">
        <f t="array" ref="AT59">_xlfn.IFNA(INDEX($AS$6:$AS$66,MATCH(0,COUNTIF($AT$4:AT58,$AS$6:$AS$66),0),1),"")</f>
        <v/>
      </c>
      <c r="AU59" s="277" t="str">
        <f>IF(AND('1.4 Analyse &amp; Synthese'!W60=1,'1.4 Analyse &amp; Synthese'!F60="Methode"),'1.4 Analyse &amp; Synthese'!I60&amp;CHAR(13)&amp;"("&amp;'(Codierung)'!$C$3&amp;" - "&amp;'1.4 Analyse &amp; Synthese'!C60&amp;")","")</f>
        <v/>
      </c>
      <c r="AV59" s="387" t="str">
        <f t="array" ref="AV59">_xlfn.IFNA(INDEX($AU$6:$AU$66,MATCH(0,COUNTIF($AV$4:AV58,$AU$6:$AU$66),0),1),"")</f>
        <v/>
      </c>
      <c r="AW59" s="277" t="str">
        <f>IF(AND('1.4 Analyse &amp; Synthese'!W60=1,'1.4 Analyse &amp; Synthese'!F60="Werkzeug"),'1.4 Analyse &amp; Synthese'!I60&amp;CHAR(13)&amp;"("&amp;'(Codierung)'!$C$4&amp;" - "&amp;'1.4 Analyse &amp; Synthese'!C60&amp;")","")</f>
        <v/>
      </c>
      <c r="AX59" s="387" t="str">
        <f t="array" ref="AX59">_xlfn.IFNA(INDEX($AW$6:$AW$66,MATCH(0,COUNTIF($AX$4:AX58,$AW$6:$AW$66),0),1),"")</f>
        <v/>
      </c>
      <c r="AZ59" s="277" t="str">
        <f>IF(AND('1.4 Analyse &amp; Synthese'!X60=1,'1.4 Analyse &amp; Synthese'!F60="Empfehlung"),'1.4 Analyse &amp; Synthese'!I60&amp;CHAR(13)&amp;"("&amp;'(Codierung)'!$C$2&amp;" - "&amp;'1.4 Analyse &amp; Synthese'!C60&amp;")","")</f>
        <v/>
      </c>
      <c r="BA59" s="387" t="str">
        <f t="array" ref="BA59">_xlfn.IFNA(INDEX($AZ$6:$AZ$66,MATCH(0,COUNTIF($BA$4:BA58,$AZ$6:$AZ$66),0),1),"")</f>
        <v/>
      </c>
      <c r="BB59" s="277" t="str">
        <f>IF(AND('1.4 Analyse &amp; Synthese'!X60=1,'1.4 Analyse &amp; Synthese'!F60="Methode"),'1.4 Analyse &amp; Synthese'!I60&amp;CHAR(13)&amp;"("&amp;'(Codierung)'!$C$3&amp;" - "&amp;'1.4 Analyse &amp; Synthese'!C60&amp;")","")</f>
        <v/>
      </c>
      <c r="BC59" s="387" t="str">
        <f t="array" ref="BC59">_xlfn.IFNA(INDEX($BB$6:$BB$66,MATCH(0,COUNTIF($BC$4:BC58,$BB$6:$BB$66),0),1),"")</f>
        <v/>
      </c>
      <c r="BD59" s="277" t="str">
        <f>IF(AND('1.4 Analyse &amp; Synthese'!X60=1,'1.4 Analyse &amp; Synthese'!F60="Werkzeug"),'1.4 Analyse &amp; Synthese'!I60&amp;CHAR(13)&amp;"("&amp;'(Codierung)'!$C$4&amp;" - "&amp;'1.4 Analyse &amp; Synthese'!C60&amp;")","")</f>
        <v/>
      </c>
      <c r="BE59" s="387" t="str">
        <f t="array" ref="BE59">_xlfn.IFNA(INDEX($BD$6:$BD$66,MATCH(0,COUNTIF($BE$4:BE58,$BD$6:$BD$66),0),1),"")</f>
        <v/>
      </c>
      <c r="BG59" s="277" t="str">
        <f>IF(AND('1.4 Analyse &amp; Synthese'!Y60=1,'1.4 Analyse &amp; Synthese'!F60="Empfehlung"),'1.4 Analyse &amp; Synthese'!I60&amp;CHAR(13)&amp;"("&amp;'(Codierung)'!$C$2&amp;" - "&amp;'1.4 Analyse &amp; Synthese'!C60&amp;")","")</f>
        <v/>
      </c>
      <c r="BH59" s="387" t="str">
        <f t="array" ref="BH59">_xlfn.IFNA(INDEX($BG$6:$BG$66,MATCH(0,COUNTIF($BH$4:BH58,$BG$6:$BG$66),0),1),"")</f>
        <v/>
      </c>
      <c r="BI59" s="277" t="str">
        <f>IF(AND('1.4 Analyse &amp; Synthese'!Y60=1,'1.4 Analyse &amp; Synthese'!F60="Methode"),'1.4 Analyse &amp; Synthese'!I60&amp;CHAR(13)&amp;"("&amp;'(Codierung)'!$C$3&amp;" - "&amp;'1.4 Analyse &amp; Synthese'!C60&amp;")","")</f>
        <v/>
      </c>
      <c r="BJ59" s="387" t="str">
        <f t="array" ref="BJ59">_xlfn.IFNA(INDEX($BI$6:$BI$66,MATCH(0,COUNTIF($BJ$4:BJ58,$BI$6:$BI$66),0),1),"")</f>
        <v/>
      </c>
      <c r="BK59" s="277" t="str">
        <f>IF(AND('1.4 Analyse &amp; Synthese'!Y60=1,'1.4 Analyse &amp; Synthese'!F60="Werkzeug"),'1.4 Analyse &amp; Synthese'!I60&amp;CHAR(13)&amp;"("&amp;'(Codierung)'!$C$4&amp;" - "&amp;'1.4 Analyse &amp; Synthese'!C60&amp;")","")</f>
        <v/>
      </c>
      <c r="BL59" s="387" t="str">
        <f t="array" ref="BL59">_xlfn.IFNA(INDEX($BK$6:$BK$66,MATCH(0,COUNTIF($BL$4:BL58,$BK$6:$BK$66),0),1),"")</f>
        <v/>
      </c>
      <c r="BN59" s="277" t="str">
        <f>IF(AND('1.4 Analyse &amp; Synthese'!Z60=1,'1.4 Analyse &amp; Synthese'!F60="Empfehlung"),'1.4 Analyse &amp; Synthese'!I60&amp;CHAR(13)&amp;"("&amp;'(Codierung)'!$C$2&amp;" - "&amp;'1.4 Analyse &amp; Synthese'!C60&amp;")","")</f>
        <v/>
      </c>
      <c r="BO59" s="387" t="str">
        <f t="array" ref="BO59">_xlfn.IFNA(INDEX($BN$6:$BN$66,MATCH(0,COUNTIF($BO$4:BO58,$BN$6:$BN$66),0),1),"")</f>
        <v/>
      </c>
      <c r="BP59" s="277" t="str">
        <f>IF(AND('1.4 Analyse &amp; Synthese'!Z60=1,'1.4 Analyse &amp; Synthese'!F60="Methode"),'1.4 Analyse &amp; Synthese'!I60&amp;CHAR(13)&amp;"("&amp;'(Codierung)'!$C$3&amp;" - "&amp;'1.4 Analyse &amp; Synthese'!C60&amp;")","")</f>
        <v/>
      </c>
      <c r="BQ59" s="387" t="str">
        <f t="array" ref="BQ59">_xlfn.IFNA(INDEX($BP$6:$BP$66,MATCH(0,COUNTIF($BQ$4:BQ58,$BP$6:$BP$66),0),1),"")</f>
        <v/>
      </c>
      <c r="BR59" s="277" t="str">
        <f>IF(AND('1.4 Analyse &amp; Synthese'!Z60=1,'1.4 Analyse &amp; Synthese'!F60="Werkzeug"),'1.4 Analyse &amp; Synthese'!I60&amp;CHAR(13)&amp;"("&amp;'(Codierung)'!$C$4&amp;" - "&amp;'1.4 Analyse &amp; Synthese'!C60&amp;")","")</f>
        <v/>
      </c>
      <c r="BS59" s="387" t="str">
        <f t="array" ref="BS59">_xlfn.IFNA(INDEX($BR$6:$BR$66,MATCH(0,COUNTIF($BS$4:BS58,$BR$6:$BR$66),0),1),"")</f>
        <v/>
      </c>
      <c r="BU59" s="277" t="str">
        <f>IF(AND('1.4 Analyse &amp; Synthese'!AA60=1,'1.4 Analyse &amp; Synthese'!F60="Empfehlung"),'1.4 Analyse &amp; Synthese'!I60&amp;CHAR(13)&amp;"("&amp;'(Codierung)'!$C$2&amp;" - "&amp;'1.4 Analyse &amp; Synthese'!C60&amp;")","")</f>
        <v/>
      </c>
      <c r="BV59" s="387" t="str">
        <f t="array" ref="BV59">_xlfn.IFNA(INDEX($BU$6:$BU$66,MATCH(0,COUNTIF($BV$4:BV58,$BU$6:$BU$66),0),1),"")</f>
        <v/>
      </c>
      <c r="BW59" s="277" t="str">
        <f>IF(AND('1.4 Analyse &amp; Synthese'!AA60=1,'1.4 Analyse &amp; Synthese'!F60="Methode"),'1.4 Analyse &amp; Synthese'!I60&amp;CHAR(13)&amp;"("&amp;'(Codierung)'!$C$3&amp;" - "&amp;'1.4 Analyse &amp; Synthese'!C60&amp;")","")</f>
        <v/>
      </c>
      <c r="BX59" s="387" t="str">
        <f t="array" ref="BX59">_xlfn.IFNA(INDEX($BW$6:$BW$66,MATCH(0,COUNTIF($BX$4:BX58,$BW$6:$BW$66),0),1),"")</f>
        <v/>
      </c>
      <c r="BY59" s="277" t="str">
        <f>IF(AND('1.4 Analyse &amp; Synthese'!AA60=1,'1.4 Analyse &amp; Synthese'!F60="Werkzeug"),'1.4 Analyse &amp; Synthese'!I60&amp;CHAR(13)&amp;"("&amp;'(Codierung)'!$C$4&amp;" - "&amp;'1.4 Analyse &amp; Synthese'!C60&amp;")","")</f>
        <v/>
      </c>
      <c r="BZ59" s="387" t="str">
        <f t="array" ref="BZ59">_xlfn.IFNA(INDEX($BY$6:$BY$66,MATCH(0,COUNTIF($BZ$4:BZ58,$BY$6:$BY$66),0),1),"")</f>
        <v/>
      </c>
      <c r="CB59" s="277" t="str">
        <f>IF(AND('1.4 Analyse &amp; Synthese'!AB60=1,'1.4 Analyse &amp; Synthese'!F60="Empfehlung"),'1.4 Analyse &amp; Synthese'!I60&amp;CHAR(13)&amp;"("&amp;'(Codierung)'!$C$2&amp;" - "&amp;'1.4 Analyse &amp; Synthese'!C60&amp;")","")</f>
        <v/>
      </c>
      <c r="CC59" s="387" t="str">
        <f t="array" ref="CC59">_xlfn.IFNA(INDEX($CB$6:$CB$66,MATCH(0,COUNTIF($CC$4:CC58,$CB$6:$CB$66),0),1),"")</f>
        <v/>
      </c>
      <c r="CD59" s="277" t="str">
        <f>IF(AND('1.4 Analyse &amp; Synthese'!AB60=1,'1.4 Analyse &amp; Synthese'!F60="Methode"),'1.4 Analyse &amp; Synthese'!I60&amp;CHAR(13)&amp;"("&amp;'(Codierung)'!$C$3&amp;" - "&amp;'1.4 Analyse &amp; Synthese'!C60&amp;")","")</f>
        <v/>
      </c>
      <c r="CE59" s="387" t="str">
        <f t="array" ref="CE59">_xlfn.IFNA(INDEX($CD$6:$CD$66,MATCH(0,COUNTIF($CE$4:CE58,$CD$6:$CD$66),0),1),"")</f>
        <v/>
      </c>
      <c r="CF59" s="277" t="str">
        <f>IF(AND('1.4 Analyse &amp; Synthese'!AB60=1,'1.4 Analyse &amp; Synthese'!F60="Werkzeug"),'1.4 Analyse &amp; Synthese'!I60&amp;CHAR(13)&amp;"("&amp;'(Codierung)'!$C$4&amp;" - "&amp;'1.4 Analyse &amp; Synthese'!C60&amp;")","")</f>
        <v/>
      </c>
      <c r="CG59" s="387" t="str">
        <f t="array" ref="CG59">_xlfn.IFNA(INDEX($CF$6:$CF$66,MATCH(0,COUNTIF($CG$4:CG58,$CF$6:$CF$66),0),1),"")</f>
        <v/>
      </c>
      <c r="CI59" s="277" t="str">
        <f>IF(AND('1.4 Analyse &amp; Synthese'!AC60=1,'1.4 Analyse &amp; Synthese'!F60="Empfehlung"),'1.4 Analyse &amp; Synthese'!I60&amp;CHAR(13)&amp;"("&amp;'(Codierung)'!$C$2&amp;" - "&amp;'1.4 Analyse &amp; Synthese'!C60&amp;")","")</f>
        <v/>
      </c>
      <c r="CJ59" s="387" t="str">
        <f t="array" ref="CJ59">_xlfn.IFNA(INDEX($CI$6:$CI$66,MATCH(0,COUNTIF($CJ$4:CJ58,$CI$6:$CI$66),0),1),"")</f>
        <v/>
      </c>
      <c r="CK59" s="277" t="str">
        <f>IF(AND('1.4 Analyse &amp; Synthese'!AC60=1,'1.4 Analyse &amp; Synthese'!F60="Methode"),'1.4 Analyse &amp; Synthese'!I60&amp;CHAR(13)&amp;"("&amp;'(Codierung)'!$C$3&amp;" - "&amp;'1.4 Analyse &amp; Synthese'!C60&amp;")","")</f>
        <v/>
      </c>
      <c r="CL59" s="387" t="str">
        <f t="array" ref="CL59">_xlfn.IFNA(INDEX($CK$6:$CK$66,MATCH(0,COUNTIF($CL$4:CL58,$CK$6:$CK$66),0),1),"")</f>
        <v/>
      </c>
      <c r="CM59" s="277" t="str">
        <f>IF(AND('1.4 Analyse &amp; Synthese'!AC60=1,'1.4 Analyse &amp; Synthese'!F60="Werkzeug"),'1.4 Analyse &amp; Synthese'!I60&amp;CHAR(13)&amp;"("&amp;'(Codierung)'!$C$4&amp;" - "&amp;'1.4 Analyse &amp; Synthese'!C60&amp;")","")</f>
        <v/>
      </c>
      <c r="CN59" s="387" t="str">
        <f t="array" ref="CN59">_xlfn.IFNA(INDEX($CM$6:$CM$66,MATCH(0,COUNTIF($CN$4:CN58,$CM$6:$CM$66),0),1),"")</f>
        <v/>
      </c>
      <c r="CP59" s="277" t="str">
        <f>IF(AND('1.4 Analyse &amp; Synthese'!AD60=1,'1.4 Analyse &amp; Synthese'!F60="Empfehlung"),'1.4 Analyse &amp; Synthese'!I60&amp;CHAR(13)&amp;"("&amp;'(Codierung)'!$C$2&amp;" - "&amp;'1.4 Analyse &amp; Synthese'!C60&amp;")","")</f>
        <v/>
      </c>
      <c r="CQ59" s="387" t="str">
        <f t="array" ref="CQ59">_xlfn.IFNA(INDEX($CP$6:$CP$66,MATCH(0,COUNTIF($CQ$4:CQ58,$CP$6:$CP$66),0),1),"")</f>
        <v/>
      </c>
      <c r="CR59" s="277" t="str">
        <f>IF(AND('1.4 Analyse &amp; Synthese'!AD60=1,'1.4 Analyse &amp; Synthese'!F60="Methode"),'1.4 Analyse &amp; Synthese'!I60&amp;CHAR(13)&amp;"("&amp;'(Codierung)'!$C$3&amp;" - "&amp;'1.4 Analyse &amp; Synthese'!C60&amp;")","")</f>
        <v/>
      </c>
      <c r="CS59" s="387" t="str">
        <f t="array" ref="CS59">_xlfn.IFNA(INDEX($CR$6:$CR$66,MATCH(0,COUNTIF($CS$4:CS58,$CR$6:$CR$66),0),1),"")</f>
        <v/>
      </c>
      <c r="CT59" s="277" t="str">
        <f>IF(AND('1.4 Analyse &amp; Synthese'!AD60=1,'1.4 Analyse &amp; Synthese'!F60="Werkzeug"),'1.4 Analyse &amp; Synthese'!I60&amp;CHAR(13)&amp;"("&amp;'(Codierung)'!$C$4&amp;" - "&amp;'1.4 Analyse &amp; Synthese'!C60&amp;")","")</f>
        <v/>
      </c>
      <c r="CU59" s="387" t="str">
        <f t="array" ref="CU59">_xlfn.IFNA(INDEX($CT$6:$CT$66,MATCH(0,COUNTIF($CU$4:CU58,$CT$6:$CT$66),0),1),"")</f>
        <v/>
      </c>
      <c r="CW59" s="277" t="str">
        <f>IF(AND('1.4 Analyse &amp; Synthese'!AE60=1,'1.4 Analyse &amp; Synthese'!F60="Empfehlung"),'1.4 Analyse &amp; Synthese'!I60&amp;CHAR(13)&amp;"("&amp;'(Codierung)'!$C$2&amp;" - "&amp;'1.4 Analyse &amp; Synthese'!C60&amp;")","")</f>
        <v/>
      </c>
      <c r="CX59" s="387" t="str">
        <f t="array" ref="CX59">_xlfn.IFNA(INDEX($CW$6:$CW$66,MATCH(0,COUNTIF($CX$4:CX58,$CW$6:$CW$66),0),1),"")</f>
        <v/>
      </c>
      <c r="CY59" s="277" t="str">
        <f>IF(AND('1.4 Analyse &amp; Synthese'!AE60=1,'1.4 Analyse &amp; Synthese'!F60="Methode"),'1.4 Analyse &amp; Synthese'!I60&amp;CHAR(13)&amp;"("&amp;'(Codierung)'!$C$3&amp;" - "&amp;'1.4 Analyse &amp; Synthese'!C60&amp;")","")</f>
        <v/>
      </c>
      <c r="CZ59" s="387" t="str">
        <f t="array" ref="CZ59">_xlfn.IFNA(INDEX($CY$6:$CY$66,MATCH(0,COUNTIF($CZ$4:CZ58,$CY$6:$CY$66),0),1),"")</f>
        <v/>
      </c>
      <c r="DA59" s="277" t="str">
        <f>IF(AND('1.4 Analyse &amp; Synthese'!AE60=1,'1.4 Analyse &amp; Synthese'!F60="Werkzeug"),'1.4 Analyse &amp; Synthese'!I60&amp;CHAR(13)&amp;"("&amp;'(Codierung)'!$C$4&amp;" - "&amp;'1.4 Analyse &amp; Synthese'!C60&amp;")","")</f>
        <v/>
      </c>
      <c r="DB59" s="387" t="str">
        <f t="array" ref="DB59">_xlfn.IFNA(INDEX($DA$6:$DA$66,MATCH(0,COUNTIF($DB$4:DB58,$DA$6:$DA$66),0),1),"")</f>
        <v/>
      </c>
      <c r="DD59" s="277" t="str">
        <f>IF(AND('1.4 Analyse &amp; Synthese'!AF60=1,'1.4 Analyse &amp; Synthese'!F60="Empfehlung"),'1.4 Analyse &amp; Synthese'!I60&amp;CHAR(13)&amp;"("&amp;'(Codierung)'!$C$2&amp;" - "&amp;'1.4 Analyse &amp; Synthese'!C60&amp;")","")</f>
        <v/>
      </c>
      <c r="DE59" s="387" t="str">
        <f t="array" ref="DE59">_xlfn.IFNA(INDEX($DD$6:$DD$66,MATCH(0,COUNTIF($DE$4:DE58,$DD$6:$DD$66),0),1),"")</f>
        <v/>
      </c>
      <c r="DF59" s="277" t="str">
        <f>IF(AND('1.4 Analyse &amp; Synthese'!AF60=1,'1.4 Analyse &amp; Synthese'!F60="Methode"),'1.4 Analyse &amp; Synthese'!I60&amp;CHAR(13)&amp;"("&amp;'(Codierung)'!$C$3&amp;" - "&amp;'1.4 Analyse &amp; Synthese'!C60&amp;")","")</f>
        <v/>
      </c>
      <c r="DG59" s="387" t="str">
        <f t="array" ref="DG59">_xlfn.IFNA(INDEX($DF$6:$DF$66,MATCH(0,COUNTIF($DG$4:DG58,$DF$6:$DF$66),0),1),"")</f>
        <v/>
      </c>
      <c r="DH59" s="277" t="str">
        <f>IF(AND('1.4 Analyse &amp; Synthese'!AF60=1,'1.4 Analyse &amp; Synthese'!F60="Werkzeug"),'1.4 Analyse &amp; Synthese'!I60&amp;CHAR(13)&amp;"("&amp;'(Codierung)'!$C$4&amp;" - "&amp;'1.4 Analyse &amp; Synthese'!C60&amp;")","")</f>
        <v/>
      </c>
      <c r="DI59" s="387" t="str">
        <f t="array" ref="DI59">_xlfn.IFNA(INDEX($DH$6:$DH$66,MATCH(0,COUNTIF($DI$4:DI58,$DH$6:$DH$66),0),1),"")</f>
        <v/>
      </c>
      <c r="DK59" s="277" t="str">
        <f>IF(AND('1.4 Analyse &amp; Synthese'!AG60=1,'1.4 Analyse &amp; Synthese'!F60="Empfehlung"),'1.4 Analyse &amp; Synthese'!I60&amp;CHAR(13)&amp;"("&amp;'(Codierung)'!$C$2&amp;" - "&amp;'1.4 Analyse &amp; Synthese'!C60&amp;")","")</f>
        <v/>
      </c>
      <c r="DL59" s="387" t="str">
        <f t="array" ref="DL59">_xlfn.IFNA(INDEX($DK$6:$DK$66,MATCH(0,COUNTIF($DL$4:DL58,$DK$6:$DK$66),0),1),"")</f>
        <v/>
      </c>
      <c r="DM59" s="277" t="str">
        <f>IF(AND('1.4 Analyse &amp; Synthese'!AG60=1,'1.4 Analyse &amp; Synthese'!F60="Methode"),'1.4 Analyse &amp; Synthese'!I60&amp;CHAR(13)&amp;"("&amp;'(Codierung)'!$C$3&amp;" - "&amp;'1.4 Analyse &amp; Synthese'!C60&amp;")","")</f>
        <v/>
      </c>
      <c r="DN59" s="387" t="str">
        <f t="array" ref="DN59">_xlfn.IFNA(INDEX($DM$6:$DM$66,MATCH(0,COUNTIF($DN$4:DN58,$DM$6:$DM$66),0),1),"")</f>
        <v/>
      </c>
      <c r="DO59" s="277" t="str">
        <f>IF(AND('1.4 Analyse &amp; Synthese'!AG60=1,'1.4 Analyse &amp; Synthese'!F60="Werkzeug"),'1.4 Analyse &amp; Synthese'!I60&amp;CHAR(13)&amp;"("&amp;'(Codierung)'!$C$4&amp;" - "&amp;'1.4 Analyse &amp; Synthese'!C60&amp;")","")</f>
        <v/>
      </c>
      <c r="DP59" s="387" t="str">
        <f t="array" ref="DP59">_xlfn.IFNA(INDEX($DO$6:$DO$66,MATCH(0,COUNTIF($DP$4:DP58,$DO$6:$DO$66),0),1),"")</f>
        <v/>
      </c>
      <c r="DR59" s="277" t="str">
        <f>IF(AND('1.4 Analyse &amp; Synthese'!AH60=1,'1.4 Analyse &amp; Synthese'!F60="Empfehlung"),'1.4 Analyse &amp; Synthese'!I60&amp;CHAR(13)&amp;"("&amp;'(Codierung)'!$C$2&amp;" - "&amp;'1.4 Analyse &amp; Synthese'!C60&amp;")","")</f>
        <v/>
      </c>
      <c r="DS59" s="387" t="str">
        <f t="array" ref="DS59">_xlfn.IFNA(INDEX($DR$6:$DR$66,MATCH(0,COUNTIF($DS$4:DS58,$DR$6:$DR$66),0),1),"")</f>
        <v/>
      </c>
      <c r="DT59" s="277" t="str">
        <f>IF(AND('1.4 Analyse &amp; Synthese'!AH60=1,'1.4 Analyse &amp; Synthese'!F60="Methode"),'1.4 Analyse &amp; Synthese'!I60&amp;CHAR(13)&amp;"("&amp;'(Codierung)'!$C$3&amp;" - "&amp;'1.4 Analyse &amp; Synthese'!C60&amp;")","")</f>
        <v/>
      </c>
      <c r="DU59" s="387" t="str">
        <f t="array" ref="DU59">_xlfn.IFNA(INDEX($DT$6:$DT$66,MATCH(0,COUNTIF($DU$4:DU58,$DT$6:$DT$66),0),1),"")</f>
        <v/>
      </c>
      <c r="DV59" s="277" t="str">
        <f>IF(AND('1.4 Analyse &amp; Synthese'!AH60=1,'1.4 Analyse &amp; Synthese'!F60="Werkzeug"),'1.4 Analyse &amp; Synthese'!I60&amp;CHAR(13)&amp;"("&amp;'(Codierung)'!$C$4&amp;" - "&amp;'1.4 Analyse &amp; Synthese'!C60&amp;")","")</f>
        <v/>
      </c>
      <c r="DW59" s="387" t="str">
        <f t="array" ref="DW59">_xlfn.IFNA(INDEX($DV$6:$DV$66,MATCH(0,COUNTIF($DW$4:DW58,$DV$6:$DV$66),0),1),"")</f>
        <v/>
      </c>
      <c r="DY59" s="277" t="str">
        <f>IF(AND('1.4 Analyse &amp; Synthese'!AI60=1,'1.4 Analyse &amp; Synthese'!F60="Empfehlung"),'1.4 Analyse &amp; Synthese'!I60&amp;CHAR(13)&amp;"("&amp;'(Codierung)'!$C$2&amp;" - "&amp;'1.4 Analyse &amp; Synthese'!C60&amp;")","")</f>
        <v/>
      </c>
      <c r="DZ59" s="387" t="str">
        <f t="array" ref="DZ59">_xlfn.IFNA(INDEX($DY$6:$DY$66,MATCH(0,COUNTIF($DZ$4:DZ58,$DY$6:$DY$66),0),1),"")</f>
        <v/>
      </c>
      <c r="EA59" s="277" t="str">
        <f>IF(AND('1.4 Analyse &amp; Synthese'!AI60=1,'1.4 Analyse &amp; Synthese'!F60="Methode"),'1.4 Analyse &amp; Synthese'!I60&amp;CHAR(13)&amp;"("&amp;'(Codierung)'!$C$3&amp;" - "&amp;'1.4 Analyse &amp; Synthese'!C60&amp;")","")</f>
        <v/>
      </c>
      <c r="EB59" s="387" t="str">
        <f t="array" ref="EB59">_xlfn.IFNA(INDEX($EA$6:$EA$66,MATCH(0,COUNTIF($EB$4:EB58,$EA$6:$EA$66),0),1),"")</f>
        <v/>
      </c>
      <c r="EC59" s="277" t="str">
        <f>IF(AND('1.4 Analyse &amp; Synthese'!AI60=1,'1.4 Analyse &amp; Synthese'!F60="Werkzeug"),'1.4 Analyse &amp; Synthese'!I60&amp;CHAR(13)&amp;"("&amp;'(Codierung)'!$C$4&amp;" - "&amp;'1.4 Analyse &amp; Synthese'!C60&amp;")","")</f>
        <v/>
      </c>
      <c r="ED59" s="277" t="str">
        <f t="array" ref="ED59">_xlfn.IFNA(INDEX($EC$6:$EC$66,MATCH(0,COUNTIF($ED$4:ED58,$EC$6:$EC$66),0),1),"")</f>
        <v/>
      </c>
      <c r="EF59" s="277" t="str">
        <f>IF(AND('1.4 Analyse &amp; Synthese'!AJ60=1,'1.4 Analyse &amp; Synthese'!F60="Empfehlung"),'1.4 Analyse &amp; Synthese'!I60&amp;CHAR(13)&amp;"("&amp;'(Codierung)'!$C$2&amp;" - "&amp;'1.4 Analyse &amp; Synthese'!C60&amp;")","")</f>
        <v/>
      </c>
      <c r="EG59" s="277" t="str">
        <f t="array" ref="EG59">_xlfn.IFNA(INDEX($EF$6:$EF$66,MATCH(0,COUNTIF($EG$4:EG58,$EF$6:$EF$66),0),1),"")</f>
        <v/>
      </c>
      <c r="EH59" s="277" t="str">
        <f>IF(AND('1.4 Analyse &amp; Synthese'!AJ60=1,'1.4 Analyse &amp; Synthese'!F60="Methode"),'1.4 Analyse &amp; Synthese'!I60&amp;CHAR(13)&amp;"("&amp;'(Codierung)'!$C$3&amp;" - "&amp;'1.4 Analyse &amp; Synthese'!C60&amp;")","")</f>
        <v/>
      </c>
      <c r="EI59" s="387" t="str">
        <f t="array" ref="EI59">_xlfn.IFNA(INDEX($EH$6:$EH$66,MATCH(0,COUNTIF($EI$4:EI58,$EH$6:$EH$66),0),1),"")</f>
        <v/>
      </c>
      <c r="EJ59" s="277" t="str">
        <f>IF(AND('1.4 Analyse &amp; Synthese'!AJ60=1,'1.4 Analyse &amp; Synthese'!F60="Werkzeug"),'1.4 Analyse &amp; Synthese'!I60&amp;CHAR(13)&amp;"("&amp;'(Codierung)'!$C$4&amp;" - "&amp;'1.4 Analyse &amp; Synthese'!C60&amp;")","")</f>
        <v/>
      </c>
      <c r="EK59" s="387" t="str">
        <f t="array" ref="EK59">_xlfn.IFNA(INDEX($EJ$6:$EJ$66,MATCH(0,COUNTIF($EK$4:EK58,$EJ$6:$EJ$66),0),1),"")</f>
        <v/>
      </c>
      <c r="EN59" s="222" t="str">
        <f t="shared" si="60"/>
        <v/>
      </c>
      <c r="EO59" s="277" t="str">
        <f t="shared" si="61"/>
        <v/>
      </c>
      <c r="EP59" s="277" t="str">
        <f t="shared" si="62"/>
        <v/>
      </c>
      <c r="EQ59" s="277" t="str">
        <f>ZahlenInBereich(Tabelle1[[Empfehlung]:[Werkzeug]],ROW()-5)</f>
        <v/>
      </c>
      <c r="ER59" s="277" t="str">
        <f t="shared" si="63"/>
        <v/>
      </c>
      <c r="ES59" s="277" t="str">
        <f t="shared" si="64"/>
        <v/>
      </c>
      <c r="ET59" s="277" t="str">
        <f t="shared" si="65"/>
        <v/>
      </c>
      <c r="EU59" s="277" t="str">
        <f>ZahlenInBereich(Tabelle1[[Empfehlung2]:[Werkzeug4]],ROW()-5)</f>
        <v/>
      </c>
      <c r="EV59" s="277" t="str">
        <f t="shared" si="66"/>
        <v/>
      </c>
      <c r="EW59" s="277" t="str">
        <f t="shared" si="67"/>
        <v/>
      </c>
      <c r="EX59" s="277" t="str">
        <f t="shared" si="68"/>
        <v/>
      </c>
      <c r="EY59" s="277" t="str">
        <f>ZahlenInBereich(Tabelle1[[Empfehlung6]:[Werkzeug8]],ROW()-5)</f>
        <v/>
      </c>
      <c r="EZ59" s="277" t="str">
        <f t="shared" si="69"/>
        <v/>
      </c>
      <c r="FA59" s="277" t="str">
        <f t="shared" si="70"/>
        <v/>
      </c>
      <c r="FB59" s="277" t="str">
        <f t="shared" si="71"/>
        <v/>
      </c>
      <c r="FC59" s="277" t="str">
        <f>ZahlenInBereich(Tabelle1[[Empfehlung10]:[Werkzeug12]],ROW()-5)</f>
        <v/>
      </c>
      <c r="FD59" s="277" t="str">
        <f t="shared" si="72"/>
        <v/>
      </c>
      <c r="FE59" s="277" t="str">
        <f t="shared" si="73"/>
        <v/>
      </c>
      <c r="FF59" s="277" t="str">
        <f t="shared" si="74"/>
        <v/>
      </c>
      <c r="FG59" s="277" t="str">
        <f>ZahlenInBereich(Tabelle1[[Empfehlung14]:[Werkzeug16]],ROW()-5)</f>
        <v/>
      </c>
      <c r="FH59" s="277" t="str">
        <f t="shared" si="75"/>
        <v/>
      </c>
      <c r="FI59" s="277" t="str">
        <f t="shared" si="76"/>
        <v/>
      </c>
      <c r="FJ59" s="277" t="str">
        <f t="shared" si="77"/>
        <v/>
      </c>
      <c r="FK59" s="277" t="str">
        <f>ZahlenInBereich(Tabelle1[[Empfehlung18]:[Werkzeug20]],ROW()-5)</f>
        <v/>
      </c>
      <c r="FL59" s="277" t="str">
        <f t="shared" si="78"/>
        <v/>
      </c>
      <c r="FM59" s="277" t="str">
        <f t="shared" si="79"/>
        <v/>
      </c>
      <c r="FN59" s="277" t="str">
        <f t="shared" si="80"/>
        <v/>
      </c>
      <c r="FO59" s="277" t="str">
        <f>ZahlenInBereich(Tabelle1[[Empfehlung22]:[Werkzeug24]],ROW()-5)</f>
        <v/>
      </c>
      <c r="FP59" s="277" t="str">
        <f t="shared" si="81"/>
        <v/>
      </c>
      <c r="FQ59" s="277" t="str">
        <f t="shared" si="82"/>
        <v/>
      </c>
      <c r="FR59" s="277" t="str">
        <f t="shared" si="83"/>
        <v/>
      </c>
      <c r="FS59" s="277" t="str">
        <f>ZahlenInBereich(Tabelle1[[Empfehlung26]:[Werkzeug28]],ROW()-5)</f>
        <v/>
      </c>
      <c r="FT59" s="277" t="str">
        <f t="shared" si="84"/>
        <v/>
      </c>
      <c r="FU59" s="277" t="str">
        <f t="shared" si="85"/>
        <v/>
      </c>
      <c r="FV59" s="277" t="str">
        <f t="shared" si="86"/>
        <v/>
      </c>
      <c r="FW59" s="277" t="str">
        <f>ZahlenInBereich(Tabelle1[[Empfehlung30]:[Werkzeug32]],ROW()-5)</f>
        <v/>
      </c>
      <c r="FX59" s="277" t="str">
        <f t="shared" si="87"/>
        <v/>
      </c>
      <c r="FY59" s="277" t="str">
        <f t="shared" si="88"/>
        <v/>
      </c>
      <c r="FZ59" s="277" t="str">
        <f t="shared" si="89"/>
        <v/>
      </c>
      <c r="GA59" s="277" t="str">
        <f>ZahlenInBereich(Tabelle1[[Empfehlung34]:[Werkzeug36]],ROW()-5)</f>
        <v/>
      </c>
      <c r="GB59" s="277" t="str">
        <f t="shared" si="90"/>
        <v/>
      </c>
      <c r="GC59" s="277" t="str">
        <f t="shared" si="91"/>
        <v/>
      </c>
      <c r="GD59" s="277" t="str">
        <f t="shared" si="92"/>
        <v/>
      </c>
      <c r="GE59" s="277" t="str">
        <f>ZahlenInBereich(Tabelle1[[Empfehlung38]:[Werkzeug40]],ROW()-5)</f>
        <v/>
      </c>
      <c r="GF59" s="277" t="str">
        <f t="shared" si="93"/>
        <v/>
      </c>
      <c r="GG59" s="277" t="str">
        <f t="shared" si="94"/>
        <v/>
      </c>
      <c r="GH59" s="277" t="str">
        <f t="shared" si="95"/>
        <v/>
      </c>
      <c r="GI59" s="277" t="str">
        <f>ZahlenInBereich(Tabelle1[[Empfehlung42]:[Werkzeug44]],ROW()-5)</f>
        <v/>
      </c>
      <c r="GJ59" s="277" t="str">
        <f t="shared" si="96"/>
        <v/>
      </c>
      <c r="GK59" s="277" t="str">
        <f t="shared" si="97"/>
        <v/>
      </c>
      <c r="GL59" s="277" t="str">
        <f t="shared" si="98"/>
        <v/>
      </c>
      <c r="GM59" s="277" t="str">
        <f>ZahlenInBereich(Tabelle1[[Empfehlung46]:[Werkzeug48]],ROW()-5)</f>
        <v/>
      </c>
      <c r="GN59" s="277" t="str">
        <f t="shared" si="99"/>
        <v/>
      </c>
      <c r="GO59" s="277" t="str">
        <f t="shared" si="100"/>
        <v/>
      </c>
      <c r="GP59" s="277" t="str">
        <f t="shared" si="101"/>
        <v/>
      </c>
      <c r="GQ59" s="277" t="str">
        <f>ZahlenInBereich(Tabelle1[[Empfehlung50]:[Werkzeug52]],ROW()-5)</f>
        <v/>
      </c>
      <c r="GR59" s="277" t="str">
        <f t="shared" si="102"/>
        <v/>
      </c>
      <c r="GS59" s="277" t="str">
        <f t="shared" si="103"/>
        <v/>
      </c>
      <c r="GT59" s="277" t="str">
        <f t="shared" si="104"/>
        <v/>
      </c>
      <c r="GU59" s="277" t="str">
        <f>ZahlenInBereich(Tabelle1[[Empfehlung54]:[Werkzeug56]],ROW()-5)</f>
        <v/>
      </c>
      <c r="GV59" s="277" t="str">
        <f t="shared" si="105"/>
        <v/>
      </c>
      <c r="GW59" s="277" t="str">
        <f t="shared" si="106"/>
        <v/>
      </c>
      <c r="GX59" s="277" t="str">
        <f t="shared" si="107"/>
        <v/>
      </c>
      <c r="GY59" s="277" t="str">
        <f>ZahlenInBereich(Tabelle1[[Empfehlung58]:[Werkzeug60]],ROW()-5)</f>
        <v/>
      </c>
      <c r="GZ59" s="277" t="str">
        <f t="shared" si="108"/>
        <v/>
      </c>
      <c r="HA59" s="277" t="str">
        <f t="shared" si="109"/>
        <v/>
      </c>
      <c r="HB59" s="277" t="str">
        <f t="shared" si="110"/>
        <v/>
      </c>
      <c r="HC59" s="277" t="str">
        <f>ZahlenInBereich(Tabelle1[[Empfehlung62]:[Werkzeug64]],ROW()-5)</f>
        <v/>
      </c>
      <c r="HD59" s="277" t="str">
        <f t="shared" si="111"/>
        <v/>
      </c>
      <c r="HE59" s="277" t="str">
        <f t="shared" si="112"/>
        <v/>
      </c>
      <c r="HF59" s="277" t="str">
        <f t="shared" si="113"/>
        <v/>
      </c>
      <c r="HG59" s="277" t="str">
        <f>ZahlenInBereich(Tabelle1[[Empfehlung66]:[Werkzeug68]],ROW()-5)</f>
        <v/>
      </c>
      <c r="HH59" s="277" t="str">
        <f t="shared" si="114"/>
        <v/>
      </c>
      <c r="HI59" s="277" t="str">
        <f t="shared" si="115"/>
        <v/>
      </c>
      <c r="HJ59" s="277" t="str">
        <f t="shared" si="116"/>
        <v/>
      </c>
      <c r="HK59" s="277" t="str">
        <f>ZahlenInBereich(Tabelle1[[Empfehlung70]:[Werkzeug72]],ROW()-5)</f>
        <v/>
      </c>
      <c r="HL59" s="277" t="str">
        <f t="shared" si="117"/>
        <v/>
      </c>
      <c r="HM59" s="277" t="str">
        <f t="shared" si="118"/>
        <v/>
      </c>
      <c r="HN59" s="277" t="str">
        <f t="shared" si="119"/>
        <v/>
      </c>
      <c r="HO59" s="277" t="str">
        <f>ZahlenInBereich(Tabelle1[[Empfehlung74]:[Werkzeug76]],ROW()-5)</f>
        <v/>
      </c>
    </row>
    <row r="60" spans="2:223" x14ac:dyDescent="0.2">
      <c r="B60" s="135">
        <f>'1.4 Analyse &amp; Synthese'!B61</f>
        <v>0</v>
      </c>
      <c r="C60" s="277" t="str">
        <f>IF(AND('1.4 Analyse &amp; Synthese'!Q61=1,'1.4 Analyse &amp; Synthese'!F61="Empfehlung"),'1.4 Analyse &amp; Synthese'!I61&amp;CHAR(13)&amp;"("&amp;'(Codierung)'!$C$2&amp;" - "&amp;'1.4 Analyse &amp; Synthese'!C61&amp;")","")</f>
        <v/>
      </c>
      <c r="D60" s="222" t="str">
        <f t="array" ref="D60">_xlfn.IFNA(INDEX($C$6:$C$66,MATCH(0,COUNTIF($D$4:D59,$C$6:$C$66),0),1),"")</f>
        <v/>
      </c>
      <c r="E60" s="277" t="str">
        <f>IF(AND('1.4 Analyse &amp; Synthese'!Q61=1,'1.4 Analyse &amp; Synthese'!F61="Methode"),'1.4 Analyse &amp; Synthese'!I61&amp;CHAR(13)&amp;"("&amp;'(Codierung)'!$C$3&amp;" - "&amp;'1.4 Analyse &amp; Synthese'!C61&amp;")","")</f>
        <v/>
      </c>
      <c r="F60" s="387" t="str">
        <f t="array" ref="F60">_xlfn.IFNA(INDEX($E$6:$E$66,MATCH(0,COUNTIF($F$4:F59,$E$6:$E$66),0),1),"")</f>
        <v/>
      </c>
      <c r="G60" s="277" t="str">
        <f>IF(AND('1.4 Analyse &amp; Synthese'!Q61=1,'1.4 Analyse &amp; Synthese'!F61="Werkzeug"),'1.4 Analyse &amp; Synthese'!I61&amp;CHAR(13)&amp;"("&amp;'(Codierung)'!$C$4&amp;" - "&amp;'1.4 Analyse &amp; Synthese'!C61&amp;")","")</f>
        <v/>
      </c>
      <c r="H60" s="387" t="str">
        <f t="array" ref="H60">_xlfn.IFNA(INDEX($G$6:$G$66,MATCH(0,COUNTIF($H$4:H59,$G$6:$G$66),0),1),"")</f>
        <v/>
      </c>
      <c r="J60" s="277" t="str">
        <f>IF(AND('1.4 Analyse &amp; Synthese'!R61=1,'1.4 Analyse &amp; Synthese'!F61="Empfehlung"),'1.4 Analyse &amp; Synthese'!I61&amp;CHAR(13)&amp;"("&amp;'(Codierung)'!$C$2&amp;" - "&amp;'1.4 Analyse &amp; Synthese'!C61&amp;")","")</f>
        <v/>
      </c>
      <c r="K60" s="387" t="str">
        <f t="array" ref="K60">_xlfn.IFNA(INDEX($J$6:$J$66,MATCH(0,COUNTIF($K$4:K59,$J$6:$J$66),0),1),"")</f>
        <v/>
      </c>
      <c r="L60" s="277" t="str">
        <f>IF(AND('1.4 Analyse &amp; Synthese'!R61=1,'1.4 Analyse &amp; Synthese'!F61="Methode"),'1.4 Analyse &amp; Synthese'!I61&amp;CHAR(13)&amp;"("&amp;'(Codierung)'!$C$3&amp;" - "&amp;'1.4 Analyse &amp; Synthese'!C61&amp;")","")</f>
        <v/>
      </c>
      <c r="M60" s="387" t="str">
        <f t="array" ref="M60">_xlfn.IFNA(INDEX($L$6:$L$66,MATCH(0,COUNTIF($M$4:M59,$L$6:$L$66),0),1),"")</f>
        <v/>
      </c>
      <c r="N60" s="277" t="str">
        <f>IF(AND('1.4 Analyse &amp; Synthese'!R61=1,'1.4 Analyse &amp; Synthese'!F61="Werkzeug"),'1.4 Analyse &amp; Synthese'!I61&amp;CHAR(13)&amp;"("&amp;'(Codierung)'!$C$4&amp;" - "&amp;'1.4 Analyse &amp; Synthese'!C61&amp;")","")</f>
        <v/>
      </c>
      <c r="O60" s="387" t="str">
        <f t="array" ref="O60">_xlfn.IFNA(INDEX($N$6:$N$66,MATCH(0,COUNTIF($O$4:O59,$N$6:$N$66),0),1),"")</f>
        <v/>
      </c>
      <c r="Q60" s="277" t="str">
        <f>IF(AND('1.4 Analyse &amp; Synthese'!S61=1,'1.4 Analyse &amp; Synthese'!F61="Empfehlung"),'1.4 Analyse &amp; Synthese'!I61&amp;CHAR(13)&amp;"("&amp;'(Codierung)'!$C$2&amp;" - "&amp;'1.4 Analyse &amp; Synthese'!C61&amp;")","")</f>
        <v/>
      </c>
      <c r="R60" s="387" t="str">
        <f t="array" ref="R60">_xlfn.IFNA(INDEX($Q$6:$Q$66,MATCH(0,COUNTIF($R$4:R59,$Q$6:$Q$66),0),1),"")</f>
        <v/>
      </c>
      <c r="S60" s="277" t="str">
        <f>IF(AND('1.4 Analyse &amp; Synthese'!S61=1,'1.4 Analyse &amp; Synthese'!F61="Methode"),'1.4 Analyse &amp; Synthese'!I61&amp;CHAR(13)&amp;"("&amp;'(Codierung)'!$C$3&amp;" - "&amp;'1.4 Analyse &amp; Synthese'!C61&amp;")","")</f>
        <v/>
      </c>
      <c r="T60" s="387" t="str">
        <f t="array" ref="T60">_xlfn.IFNA(INDEX($S$6:$S$66,MATCH(0,COUNTIF($T$4:T59,$S$6:$S$66),0),1),"")</f>
        <v/>
      </c>
      <c r="U60" s="277" t="str">
        <f>IF(AND('1.4 Analyse &amp; Synthese'!S61=1,'1.4 Analyse &amp; Synthese'!F61="Werkzeug"),'1.4 Analyse &amp; Synthese'!I61&amp;CHAR(13)&amp;"("&amp;'(Codierung)'!$C$4&amp;" - "&amp;'1.4 Analyse &amp; Synthese'!C61&amp;")","")</f>
        <v/>
      </c>
      <c r="V60" s="387" t="str">
        <f t="array" ref="V60">_xlfn.IFNA(INDEX($U$6:$U$66,MATCH(0,COUNTIF($V$4:V59,$U$6:$U$66),0),1),"")</f>
        <v/>
      </c>
      <c r="X60" s="277" t="str">
        <f>IF(AND('1.4 Analyse &amp; Synthese'!T61=1,'1.4 Analyse &amp; Synthese'!F61="Empfehlung"),'1.4 Analyse &amp; Synthese'!I61&amp;CHAR(13)&amp;"("&amp;'(Codierung)'!$C$2&amp;" - "&amp;'1.4 Analyse &amp; Synthese'!C61&amp;")","")</f>
        <v/>
      </c>
      <c r="Y60" s="387" t="str">
        <f t="array" ref="Y60">_xlfn.IFNA(INDEX($X$6:$X$66,MATCH(0,COUNTIF($Y$4:Y59,$X$6:$X$66),0),1),"")</f>
        <v/>
      </c>
      <c r="Z60" s="277" t="str">
        <f>IF(AND('1.4 Analyse &amp; Synthese'!T61=1,'1.4 Analyse &amp; Synthese'!F61="Methode"),'1.4 Analyse &amp; Synthese'!I61&amp;CHAR(13)&amp;"("&amp;'(Codierung)'!$C$3&amp;" - "&amp;'1.4 Analyse &amp; Synthese'!C61&amp;")","")</f>
        <v/>
      </c>
      <c r="AA60" s="387" t="str">
        <f t="array" ref="AA60">_xlfn.IFNA(INDEX($Z$6:$Z$66,MATCH(0,COUNTIF($AA$4:AA59,$Z$6:$Z$66),0),1),"")</f>
        <v/>
      </c>
      <c r="AB60" s="277" t="str">
        <f>IF(AND('1.4 Analyse &amp; Synthese'!T61=1,'1.4 Analyse &amp; Synthese'!F61="Werkzeug"),'1.4 Analyse &amp; Synthese'!I61&amp;CHAR(13)&amp;"("&amp;'(Codierung)'!$C$4&amp;" - "&amp;'1.4 Analyse &amp; Synthese'!C61&amp;")","")</f>
        <v/>
      </c>
      <c r="AC60" s="387" t="str">
        <f t="array" ref="AC60">_xlfn.IFNA(INDEX($AB$6:$AB$66,MATCH(0,COUNTIF($AC$4:AC59,$AB$6:$AB$66),0),1),"")</f>
        <v/>
      </c>
      <c r="AE60" s="277" t="str">
        <f>IF(AND('1.4 Analyse &amp; Synthese'!U61=1,'1.4 Analyse &amp; Synthese'!F61="Empfehlung"),'1.4 Analyse &amp; Synthese'!I61&amp;CHAR(13)&amp;"("&amp;'(Codierung)'!$C$2&amp;" - "&amp;'1.4 Analyse &amp; Synthese'!C61&amp;")","")</f>
        <v/>
      </c>
      <c r="AF60" s="387" t="str">
        <f t="array" ref="AF60">_xlfn.IFNA(INDEX($AE$6:$AE$66,MATCH(0,COUNTIF($AF$4:AF59,$AE$6:$AE$66),0),1),"")</f>
        <v/>
      </c>
      <c r="AG60" s="277" t="str">
        <f>IF(AND('1.4 Analyse &amp; Synthese'!U61=1,'1.4 Analyse &amp; Synthese'!F61="Methode"),'1.4 Analyse &amp; Synthese'!I61&amp;CHAR(13)&amp;"("&amp;'(Codierung)'!$C$3&amp;" - "&amp;'1.4 Analyse &amp; Synthese'!C61&amp;")","")</f>
        <v/>
      </c>
      <c r="AH60" s="387" t="str">
        <f t="array" ref="AH60">_xlfn.IFNA(INDEX($AG$6:$AG$66,MATCH(0,COUNTIF($AH$4:AH59,$AG$6:$AG$66),0),1),"")</f>
        <v/>
      </c>
      <c r="AI60" s="277" t="str">
        <f>IF(AND('1.4 Analyse &amp; Synthese'!U61=1,'1.4 Analyse &amp; Synthese'!F61="Werkzeug"),'1.4 Analyse &amp; Synthese'!I61&amp;CHAR(13)&amp;"("&amp;'(Codierung)'!$C$4&amp;" - "&amp;'1.4 Analyse &amp; Synthese'!C61&amp;")","")</f>
        <v/>
      </c>
      <c r="AJ60" s="387" t="str">
        <f t="array" ref="AJ60">_xlfn.IFNA(INDEX($AI$6:$AI$66,MATCH(0,COUNTIF($AJ$4:AJ59,$AI$6:$AI$66),0),1),"")</f>
        <v/>
      </c>
      <c r="AL60" s="277" t="str">
        <f>IF(AND('1.4 Analyse &amp; Synthese'!V61=1,'1.4 Analyse &amp; Synthese'!F61="Empfehlung"),'1.4 Analyse &amp; Synthese'!I61&amp;CHAR(13)&amp;"("&amp;'(Codierung)'!$C$2&amp;" - "&amp;'1.4 Analyse &amp; Synthese'!C61&amp;")","")</f>
        <v/>
      </c>
      <c r="AM60" s="387" t="str">
        <f t="array" ref="AM60">_xlfn.IFNA(INDEX($AL$6:$AL$66,MATCH(0,COUNTIF($AM$4:AM59,$AL$6:$AL$66),0),1),"")</f>
        <v/>
      </c>
      <c r="AN60" s="277" t="str">
        <f>IF(AND('1.4 Analyse &amp; Synthese'!V61=1,'1.4 Analyse &amp; Synthese'!F61="Methode"),'1.4 Analyse &amp; Synthese'!I61&amp;CHAR(13)&amp;"("&amp;'(Codierung)'!$C$3&amp;" - "&amp;'1.4 Analyse &amp; Synthese'!C61&amp;")","")</f>
        <v/>
      </c>
      <c r="AO60" s="387" t="str">
        <f t="array" ref="AO60">_xlfn.IFNA(INDEX($AN$6:$AN$66,MATCH(0,COUNTIF($AO$4:AO59,$AN$6:$AN$66),0),1),"")</f>
        <v/>
      </c>
      <c r="AP60" s="277" t="str">
        <f>IF(AND('1.4 Analyse &amp; Synthese'!V61=1,'1.4 Analyse &amp; Synthese'!F61="Werkzeug"),'1.4 Analyse &amp; Synthese'!I61&amp;CHAR(13)&amp;"("&amp;'(Codierung)'!$C$4&amp;" - "&amp;'1.4 Analyse &amp; Synthese'!C61&amp;")","")</f>
        <v/>
      </c>
      <c r="AQ60" s="387" t="str">
        <f t="array" ref="AQ60">_xlfn.IFNA(INDEX($AP$6:$AP$66,MATCH(0,COUNTIF($AQ$4:AQ59,$AP$6:$AP$66),0),1),"")</f>
        <v/>
      </c>
      <c r="AS60" s="277" t="str">
        <f>IF(AND('1.4 Analyse &amp; Synthese'!W61=1,'1.4 Analyse &amp; Synthese'!F61="Empfehlung"),'1.4 Analyse &amp; Synthese'!I61&amp;CHAR(13)&amp;"("&amp;'(Codierung)'!$C$2&amp;" - "&amp;'1.4 Analyse &amp; Synthese'!C61&amp;")","")</f>
        <v/>
      </c>
      <c r="AT60" s="387" t="str">
        <f t="array" ref="AT60">_xlfn.IFNA(INDEX($AS$6:$AS$66,MATCH(0,COUNTIF($AT$4:AT59,$AS$6:$AS$66),0),1),"")</f>
        <v/>
      </c>
      <c r="AU60" s="277" t="str">
        <f>IF(AND('1.4 Analyse &amp; Synthese'!W61=1,'1.4 Analyse &amp; Synthese'!F61="Methode"),'1.4 Analyse &amp; Synthese'!I61&amp;CHAR(13)&amp;"("&amp;'(Codierung)'!$C$3&amp;" - "&amp;'1.4 Analyse &amp; Synthese'!C61&amp;")","")</f>
        <v/>
      </c>
      <c r="AV60" s="387" t="str">
        <f t="array" ref="AV60">_xlfn.IFNA(INDEX($AU$6:$AU$66,MATCH(0,COUNTIF($AV$4:AV59,$AU$6:$AU$66),0),1),"")</f>
        <v/>
      </c>
      <c r="AW60" s="277" t="str">
        <f>IF(AND('1.4 Analyse &amp; Synthese'!W61=1,'1.4 Analyse &amp; Synthese'!F61="Werkzeug"),'1.4 Analyse &amp; Synthese'!I61&amp;CHAR(13)&amp;"("&amp;'(Codierung)'!$C$4&amp;" - "&amp;'1.4 Analyse &amp; Synthese'!C61&amp;")","")</f>
        <v/>
      </c>
      <c r="AX60" s="387" t="str">
        <f t="array" ref="AX60">_xlfn.IFNA(INDEX($AW$6:$AW$66,MATCH(0,COUNTIF($AX$4:AX59,$AW$6:$AW$66),0),1),"")</f>
        <v/>
      </c>
      <c r="AZ60" s="277" t="str">
        <f>IF(AND('1.4 Analyse &amp; Synthese'!X61=1,'1.4 Analyse &amp; Synthese'!F61="Empfehlung"),'1.4 Analyse &amp; Synthese'!I61&amp;CHAR(13)&amp;"("&amp;'(Codierung)'!$C$2&amp;" - "&amp;'1.4 Analyse &amp; Synthese'!C61&amp;")","")</f>
        <v/>
      </c>
      <c r="BA60" s="387" t="str">
        <f t="array" ref="BA60">_xlfn.IFNA(INDEX($AZ$6:$AZ$66,MATCH(0,COUNTIF($BA$4:BA59,$AZ$6:$AZ$66),0),1),"")</f>
        <v/>
      </c>
      <c r="BB60" s="277" t="str">
        <f>IF(AND('1.4 Analyse &amp; Synthese'!X61=1,'1.4 Analyse &amp; Synthese'!F61="Methode"),'1.4 Analyse &amp; Synthese'!I61&amp;CHAR(13)&amp;"("&amp;'(Codierung)'!$C$3&amp;" - "&amp;'1.4 Analyse &amp; Synthese'!C61&amp;")","")</f>
        <v/>
      </c>
      <c r="BC60" s="387" t="str">
        <f t="array" ref="BC60">_xlfn.IFNA(INDEX($BB$6:$BB$66,MATCH(0,COUNTIF($BC$4:BC59,$BB$6:$BB$66),0),1),"")</f>
        <v/>
      </c>
      <c r="BD60" s="277" t="str">
        <f>IF(AND('1.4 Analyse &amp; Synthese'!X61=1,'1.4 Analyse &amp; Synthese'!F61="Werkzeug"),'1.4 Analyse &amp; Synthese'!I61&amp;CHAR(13)&amp;"("&amp;'(Codierung)'!$C$4&amp;" - "&amp;'1.4 Analyse &amp; Synthese'!C61&amp;")","")</f>
        <v/>
      </c>
      <c r="BE60" s="387" t="str">
        <f t="array" ref="BE60">_xlfn.IFNA(INDEX($BD$6:$BD$66,MATCH(0,COUNTIF($BE$4:BE59,$BD$6:$BD$66),0),1),"")</f>
        <v/>
      </c>
      <c r="BG60" s="277" t="str">
        <f>IF(AND('1.4 Analyse &amp; Synthese'!Y61=1,'1.4 Analyse &amp; Synthese'!F61="Empfehlung"),'1.4 Analyse &amp; Synthese'!I61&amp;CHAR(13)&amp;"("&amp;'(Codierung)'!$C$2&amp;" - "&amp;'1.4 Analyse &amp; Synthese'!C61&amp;")","")</f>
        <v/>
      </c>
      <c r="BH60" s="387" t="str">
        <f t="array" ref="BH60">_xlfn.IFNA(INDEX($BG$6:$BG$66,MATCH(0,COUNTIF($BH$4:BH59,$BG$6:$BG$66),0),1),"")</f>
        <v/>
      </c>
      <c r="BI60" s="277" t="str">
        <f>IF(AND('1.4 Analyse &amp; Synthese'!Y61=1,'1.4 Analyse &amp; Synthese'!F61="Methode"),'1.4 Analyse &amp; Synthese'!I61&amp;CHAR(13)&amp;"("&amp;'(Codierung)'!$C$3&amp;" - "&amp;'1.4 Analyse &amp; Synthese'!C61&amp;")","")</f>
        <v/>
      </c>
      <c r="BJ60" s="387" t="str">
        <f t="array" ref="BJ60">_xlfn.IFNA(INDEX($BI$6:$BI$66,MATCH(0,COUNTIF($BJ$4:BJ59,$BI$6:$BI$66),0),1),"")</f>
        <v/>
      </c>
      <c r="BK60" s="277" t="str">
        <f>IF(AND('1.4 Analyse &amp; Synthese'!Y61=1,'1.4 Analyse &amp; Synthese'!F61="Werkzeug"),'1.4 Analyse &amp; Synthese'!I61&amp;CHAR(13)&amp;"("&amp;'(Codierung)'!$C$4&amp;" - "&amp;'1.4 Analyse &amp; Synthese'!C61&amp;")","")</f>
        <v/>
      </c>
      <c r="BL60" s="387" t="str">
        <f t="array" ref="BL60">_xlfn.IFNA(INDEX($BK$6:$BK$66,MATCH(0,COUNTIF($BL$4:BL59,$BK$6:$BK$66),0),1),"")</f>
        <v/>
      </c>
      <c r="BN60" s="277" t="str">
        <f>IF(AND('1.4 Analyse &amp; Synthese'!Z61=1,'1.4 Analyse &amp; Synthese'!F61="Empfehlung"),'1.4 Analyse &amp; Synthese'!I61&amp;CHAR(13)&amp;"("&amp;'(Codierung)'!$C$2&amp;" - "&amp;'1.4 Analyse &amp; Synthese'!C61&amp;")","")</f>
        <v/>
      </c>
      <c r="BO60" s="387" t="str">
        <f t="array" ref="BO60">_xlfn.IFNA(INDEX($BN$6:$BN$66,MATCH(0,COUNTIF($BO$4:BO59,$BN$6:$BN$66),0),1),"")</f>
        <v/>
      </c>
      <c r="BP60" s="277" t="str">
        <f>IF(AND('1.4 Analyse &amp; Synthese'!Z61=1,'1.4 Analyse &amp; Synthese'!F61="Methode"),'1.4 Analyse &amp; Synthese'!I61&amp;CHAR(13)&amp;"("&amp;'(Codierung)'!$C$3&amp;" - "&amp;'1.4 Analyse &amp; Synthese'!C61&amp;")","")</f>
        <v/>
      </c>
      <c r="BQ60" s="387" t="str">
        <f t="array" ref="BQ60">_xlfn.IFNA(INDEX($BP$6:$BP$66,MATCH(0,COUNTIF($BQ$4:BQ59,$BP$6:$BP$66),0),1),"")</f>
        <v/>
      </c>
      <c r="BR60" s="277" t="str">
        <f>IF(AND('1.4 Analyse &amp; Synthese'!Z61=1,'1.4 Analyse &amp; Synthese'!F61="Werkzeug"),'1.4 Analyse &amp; Synthese'!I61&amp;CHAR(13)&amp;"("&amp;'(Codierung)'!$C$4&amp;" - "&amp;'1.4 Analyse &amp; Synthese'!C61&amp;")","")</f>
        <v/>
      </c>
      <c r="BS60" s="387" t="str">
        <f t="array" ref="BS60">_xlfn.IFNA(INDEX($BR$6:$BR$66,MATCH(0,COUNTIF($BS$4:BS59,$BR$6:$BR$66),0),1),"")</f>
        <v/>
      </c>
      <c r="BU60" s="277" t="str">
        <f>IF(AND('1.4 Analyse &amp; Synthese'!AA61=1,'1.4 Analyse &amp; Synthese'!F61="Empfehlung"),'1.4 Analyse &amp; Synthese'!I61&amp;CHAR(13)&amp;"("&amp;'(Codierung)'!$C$2&amp;" - "&amp;'1.4 Analyse &amp; Synthese'!C61&amp;")","")</f>
        <v/>
      </c>
      <c r="BV60" s="387" t="str">
        <f t="array" ref="BV60">_xlfn.IFNA(INDEX($BU$6:$BU$66,MATCH(0,COUNTIF($BV$4:BV59,$BU$6:$BU$66),0),1),"")</f>
        <v/>
      </c>
      <c r="BW60" s="277" t="str">
        <f>IF(AND('1.4 Analyse &amp; Synthese'!AA61=1,'1.4 Analyse &amp; Synthese'!F61="Methode"),'1.4 Analyse &amp; Synthese'!I61&amp;CHAR(13)&amp;"("&amp;'(Codierung)'!$C$3&amp;" - "&amp;'1.4 Analyse &amp; Synthese'!C61&amp;")","")</f>
        <v/>
      </c>
      <c r="BX60" s="387" t="str">
        <f t="array" ref="BX60">_xlfn.IFNA(INDEX($BW$6:$BW$66,MATCH(0,COUNTIF($BX$4:BX59,$BW$6:$BW$66),0),1),"")</f>
        <v/>
      </c>
      <c r="BY60" s="277" t="str">
        <f>IF(AND('1.4 Analyse &amp; Synthese'!AA61=1,'1.4 Analyse &amp; Synthese'!F61="Werkzeug"),'1.4 Analyse &amp; Synthese'!I61&amp;CHAR(13)&amp;"("&amp;'(Codierung)'!$C$4&amp;" - "&amp;'1.4 Analyse &amp; Synthese'!C61&amp;")","")</f>
        <v/>
      </c>
      <c r="BZ60" s="387" t="str">
        <f t="array" ref="BZ60">_xlfn.IFNA(INDEX($BY$6:$BY$66,MATCH(0,COUNTIF($BZ$4:BZ59,$BY$6:$BY$66),0),1),"")</f>
        <v/>
      </c>
      <c r="CB60" s="277" t="str">
        <f>IF(AND('1.4 Analyse &amp; Synthese'!AB61=1,'1.4 Analyse &amp; Synthese'!F61="Empfehlung"),'1.4 Analyse &amp; Synthese'!I61&amp;CHAR(13)&amp;"("&amp;'(Codierung)'!$C$2&amp;" - "&amp;'1.4 Analyse &amp; Synthese'!C61&amp;")","")</f>
        <v/>
      </c>
      <c r="CC60" s="387" t="str">
        <f t="array" ref="CC60">_xlfn.IFNA(INDEX($CB$6:$CB$66,MATCH(0,COUNTIF($CC$4:CC59,$CB$6:$CB$66),0),1),"")</f>
        <v/>
      </c>
      <c r="CD60" s="277" t="str">
        <f>IF(AND('1.4 Analyse &amp; Synthese'!AB61=1,'1.4 Analyse &amp; Synthese'!F61="Methode"),'1.4 Analyse &amp; Synthese'!I61&amp;CHAR(13)&amp;"("&amp;'(Codierung)'!$C$3&amp;" - "&amp;'1.4 Analyse &amp; Synthese'!C61&amp;")","")</f>
        <v/>
      </c>
      <c r="CE60" s="387" t="str">
        <f t="array" ref="CE60">_xlfn.IFNA(INDEX($CD$6:$CD$66,MATCH(0,COUNTIF($CE$4:CE59,$CD$6:$CD$66),0),1),"")</f>
        <v/>
      </c>
      <c r="CF60" s="277" t="str">
        <f>IF(AND('1.4 Analyse &amp; Synthese'!AB61=1,'1.4 Analyse &amp; Synthese'!F61="Werkzeug"),'1.4 Analyse &amp; Synthese'!I61&amp;CHAR(13)&amp;"("&amp;'(Codierung)'!$C$4&amp;" - "&amp;'1.4 Analyse &amp; Synthese'!C61&amp;")","")</f>
        <v/>
      </c>
      <c r="CG60" s="387" t="str">
        <f t="array" ref="CG60">_xlfn.IFNA(INDEX($CF$6:$CF$66,MATCH(0,COUNTIF($CG$4:CG59,$CF$6:$CF$66),0),1),"")</f>
        <v/>
      </c>
      <c r="CI60" s="277" t="str">
        <f>IF(AND('1.4 Analyse &amp; Synthese'!AC61=1,'1.4 Analyse &amp; Synthese'!F61="Empfehlung"),'1.4 Analyse &amp; Synthese'!I61&amp;CHAR(13)&amp;"("&amp;'(Codierung)'!$C$2&amp;" - "&amp;'1.4 Analyse &amp; Synthese'!C61&amp;")","")</f>
        <v/>
      </c>
      <c r="CJ60" s="387" t="str">
        <f t="array" ref="CJ60">_xlfn.IFNA(INDEX($CI$6:$CI$66,MATCH(0,COUNTIF($CJ$4:CJ59,$CI$6:$CI$66),0),1),"")</f>
        <v/>
      </c>
      <c r="CK60" s="277" t="str">
        <f>IF(AND('1.4 Analyse &amp; Synthese'!AC61=1,'1.4 Analyse &amp; Synthese'!F61="Methode"),'1.4 Analyse &amp; Synthese'!I61&amp;CHAR(13)&amp;"("&amp;'(Codierung)'!$C$3&amp;" - "&amp;'1.4 Analyse &amp; Synthese'!C61&amp;")","")</f>
        <v/>
      </c>
      <c r="CL60" s="387" t="str">
        <f t="array" ref="CL60">_xlfn.IFNA(INDEX($CK$6:$CK$66,MATCH(0,COUNTIF($CL$4:CL59,$CK$6:$CK$66),0),1),"")</f>
        <v/>
      </c>
      <c r="CM60" s="277" t="str">
        <f>IF(AND('1.4 Analyse &amp; Synthese'!AC61=1,'1.4 Analyse &amp; Synthese'!F61="Werkzeug"),'1.4 Analyse &amp; Synthese'!I61&amp;CHAR(13)&amp;"("&amp;'(Codierung)'!$C$4&amp;" - "&amp;'1.4 Analyse &amp; Synthese'!C61&amp;")","")</f>
        <v/>
      </c>
      <c r="CN60" s="387" t="str">
        <f t="array" ref="CN60">_xlfn.IFNA(INDEX($CM$6:$CM$66,MATCH(0,COUNTIF($CN$4:CN59,$CM$6:$CM$66),0),1),"")</f>
        <v/>
      </c>
      <c r="CP60" s="277" t="str">
        <f>IF(AND('1.4 Analyse &amp; Synthese'!AD61=1,'1.4 Analyse &amp; Synthese'!F61="Empfehlung"),'1.4 Analyse &amp; Synthese'!I61&amp;CHAR(13)&amp;"("&amp;'(Codierung)'!$C$2&amp;" - "&amp;'1.4 Analyse &amp; Synthese'!C61&amp;")","")</f>
        <v/>
      </c>
      <c r="CQ60" s="387" t="str">
        <f t="array" ref="CQ60">_xlfn.IFNA(INDEX($CP$6:$CP$66,MATCH(0,COUNTIF($CQ$4:CQ59,$CP$6:$CP$66),0),1),"")</f>
        <v/>
      </c>
      <c r="CR60" s="277" t="str">
        <f>IF(AND('1.4 Analyse &amp; Synthese'!AD61=1,'1.4 Analyse &amp; Synthese'!F61="Methode"),'1.4 Analyse &amp; Synthese'!I61&amp;CHAR(13)&amp;"("&amp;'(Codierung)'!$C$3&amp;" - "&amp;'1.4 Analyse &amp; Synthese'!C61&amp;")","")</f>
        <v/>
      </c>
      <c r="CS60" s="387" t="str">
        <f t="array" ref="CS60">_xlfn.IFNA(INDEX($CR$6:$CR$66,MATCH(0,COUNTIF($CS$4:CS59,$CR$6:$CR$66),0),1),"")</f>
        <v/>
      </c>
      <c r="CT60" s="277" t="str">
        <f>IF(AND('1.4 Analyse &amp; Synthese'!AD61=1,'1.4 Analyse &amp; Synthese'!F61="Werkzeug"),'1.4 Analyse &amp; Synthese'!I61&amp;CHAR(13)&amp;"("&amp;'(Codierung)'!$C$4&amp;" - "&amp;'1.4 Analyse &amp; Synthese'!C61&amp;")","")</f>
        <v/>
      </c>
      <c r="CU60" s="387" t="str">
        <f t="array" ref="CU60">_xlfn.IFNA(INDEX($CT$6:$CT$66,MATCH(0,COUNTIF($CU$4:CU59,$CT$6:$CT$66),0),1),"")</f>
        <v/>
      </c>
      <c r="CW60" s="277" t="str">
        <f>IF(AND('1.4 Analyse &amp; Synthese'!AE61=1,'1.4 Analyse &amp; Synthese'!F61="Empfehlung"),'1.4 Analyse &amp; Synthese'!I61&amp;CHAR(13)&amp;"("&amp;'(Codierung)'!$C$2&amp;" - "&amp;'1.4 Analyse &amp; Synthese'!C61&amp;")","")</f>
        <v/>
      </c>
      <c r="CX60" s="387" t="str">
        <f t="array" ref="CX60">_xlfn.IFNA(INDEX($CW$6:$CW$66,MATCH(0,COUNTIF($CX$4:CX59,$CW$6:$CW$66),0),1),"")</f>
        <v/>
      </c>
      <c r="CY60" s="277" t="str">
        <f>IF(AND('1.4 Analyse &amp; Synthese'!AE61=1,'1.4 Analyse &amp; Synthese'!F61="Methode"),'1.4 Analyse &amp; Synthese'!I61&amp;CHAR(13)&amp;"("&amp;'(Codierung)'!$C$3&amp;" - "&amp;'1.4 Analyse &amp; Synthese'!C61&amp;")","")</f>
        <v/>
      </c>
      <c r="CZ60" s="387" t="str">
        <f t="array" ref="CZ60">_xlfn.IFNA(INDEX($CY$6:$CY$66,MATCH(0,COUNTIF($CZ$4:CZ59,$CY$6:$CY$66),0),1),"")</f>
        <v/>
      </c>
      <c r="DA60" s="277" t="str">
        <f>IF(AND('1.4 Analyse &amp; Synthese'!AE61=1,'1.4 Analyse &amp; Synthese'!F61="Werkzeug"),'1.4 Analyse &amp; Synthese'!I61&amp;CHAR(13)&amp;"("&amp;'(Codierung)'!$C$4&amp;" - "&amp;'1.4 Analyse &amp; Synthese'!C61&amp;")","")</f>
        <v/>
      </c>
      <c r="DB60" s="387" t="str">
        <f t="array" ref="DB60">_xlfn.IFNA(INDEX($DA$6:$DA$66,MATCH(0,COUNTIF($DB$4:DB59,$DA$6:$DA$66),0),1),"")</f>
        <v/>
      </c>
      <c r="DD60" s="277" t="str">
        <f>IF(AND('1.4 Analyse &amp; Synthese'!AF61=1,'1.4 Analyse &amp; Synthese'!F61="Empfehlung"),'1.4 Analyse &amp; Synthese'!I61&amp;CHAR(13)&amp;"("&amp;'(Codierung)'!$C$2&amp;" - "&amp;'1.4 Analyse &amp; Synthese'!C61&amp;")","")</f>
        <v/>
      </c>
      <c r="DE60" s="387" t="str">
        <f t="array" ref="DE60">_xlfn.IFNA(INDEX($DD$6:$DD$66,MATCH(0,COUNTIF($DE$4:DE59,$DD$6:$DD$66),0),1),"")</f>
        <v/>
      </c>
      <c r="DF60" s="277" t="str">
        <f>IF(AND('1.4 Analyse &amp; Synthese'!AF61=1,'1.4 Analyse &amp; Synthese'!F61="Methode"),'1.4 Analyse &amp; Synthese'!I61&amp;CHAR(13)&amp;"("&amp;'(Codierung)'!$C$3&amp;" - "&amp;'1.4 Analyse &amp; Synthese'!C61&amp;")","")</f>
        <v/>
      </c>
      <c r="DG60" s="387" t="str">
        <f t="array" ref="DG60">_xlfn.IFNA(INDEX($DF$6:$DF$66,MATCH(0,COUNTIF($DG$4:DG59,$DF$6:$DF$66),0),1),"")</f>
        <v/>
      </c>
      <c r="DH60" s="277" t="str">
        <f>IF(AND('1.4 Analyse &amp; Synthese'!AF61=1,'1.4 Analyse &amp; Synthese'!F61="Werkzeug"),'1.4 Analyse &amp; Synthese'!I61&amp;CHAR(13)&amp;"("&amp;'(Codierung)'!$C$4&amp;" - "&amp;'1.4 Analyse &amp; Synthese'!C61&amp;")","")</f>
        <v/>
      </c>
      <c r="DI60" s="387" t="str">
        <f t="array" ref="DI60">_xlfn.IFNA(INDEX($DH$6:$DH$66,MATCH(0,COUNTIF($DI$4:DI59,$DH$6:$DH$66),0),1),"")</f>
        <v/>
      </c>
      <c r="DK60" s="277" t="str">
        <f>IF(AND('1.4 Analyse &amp; Synthese'!AG61=1,'1.4 Analyse &amp; Synthese'!F61="Empfehlung"),'1.4 Analyse &amp; Synthese'!I61&amp;CHAR(13)&amp;"("&amp;'(Codierung)'!$C$2&amp;" - "&amp;'1.4 Analyse &amp; Synthese'!C61&amp;")","")</f>
        <v/>
      </c>
      <c r="DL60" s="387" t="str">
        <f t="array" ref="DL60">_xlfn.IFNA(INDEX($DK$6:$DK$66,MATCH(0,COUNTIF($DL$4:DL59,$DK$6:$DK$66),0),1),"")</f>
        <v/>
      </c>
      <c r="DM60" s="277" t="str">
        <f>IF(AND('1.4 Analyse &amp; Synthese'!AG61=1,'1.4 Analyse &amp; Synthese'!F61="Methode"),'1.4 Analyse &amp; Synthese'!I61&amp;CHAR(13)&amp;"("&amp;'(Codierung)'!$C$3&amp;" - "&amp;'1.4 Analyse &amp; Synthese'!C61&amp;")","")</f>
        <v/>
      </c>
      <c r="DN60" s="387" t="str">
        <f t="array" ref="DN60">_xlfn.IFNA(INDEX($DM$6:$DM$66,MATCH(0,COUNTIF($DN$4:DN59,$DM$6:$DM$66),0),1),"")</f>
        <v/>
      </c>
      <c r="DO60" s="277" t="str">
        <f>IF(AND('1.4 Analyse &amp; Synthese'!AG61=1,'1.4 Analyse &amp; Synthese'!F61="Werkzeug"),'1.4 Analyse &amp; Synthese'!I61&amp;CHAR(13)&amp;"("&amp;'(Codierung)'!$C$4&amp;" - "&amp;'1.4 Analyse &amp; Synthese'!C61&amp;")","")</f>
        <v/>
      </c>
      <c r="DP60" s="387" t="str">
        <f t="array" ref="DP60">_xlfn.IFNA(INDEX($DO$6:$DO$66,MATCH(0,COUNTIF($DP$4:DP59,$DO$6:$DO$66),0),1),"")</f>
        <v/>
      </c>
      <c r="DR60" s="277" t="str">
        <f>IF(AND('1.4 Analyse &amp; Synthese'!AH61=1,'1.4 Analyse &amp; Synthese'!F61="Empfehlung"),'1.4 Analyse &amp; Synthese'!I61&amp;CHAR(13)&amp;"("&amp;'(Codierung)'!$C$2&amp;" - "&amp;'1.4 Analyse &amp; Synthese'!C61&amp;")","")</f>
        <v/>
      </c>
      <c r="DS60" s="387" t="str">
        <f t="array" ref="DS60">_xlfn.IFNA(INDEX($DR$6:$DR$66,MATCH(0,COUNTIF($DS$4:DS59,$DR$6:$DR$66),0),1),"")</f>
        <v/>
      </c>
      <c r="DT60" s="277" t="str">
        <f>IF(AND('1.4 Analyse &amp; Synthese'!AH61=1,'1.4 Analyse &amp; Synthese'!F61="Methode"),'1.4 Analyse &amp; Synthese'!I61&amp;CHAR(13)&amp;"("&amp;'(Codierung)'!$C$3&amp;" - "&amp;'1.4 Analyse &amp; Synthese'!C61&amp;")","")</f>
        <v/>
      </c>
      <c r="DU60" s="387" t="str">
        <f t="array" ref="DU60">_xlfn.IFNA(INDEX($DT$6:$DT$66,MATCH(0,COUNTIF($DU$4:DU59,$DT$6:$DT$66),0),1),"")</f>
        <v/>
      </c>
      <c r="DV60" s="277" t="str">
        <f>IF(AND('1.4 Analyse &amp; Synthese'!AH61=1,'1.4 Analyse &amp; Synthese'!F61="Werkzeug"),'1.4 Analyse &amp; Synthese'!I61&amp;CHAR(13)&amp;"("&amp;'(Codierung)'!$C$4&amp;" - "&amp;'1.4 Analyse &amp; Synthese'!C61&amp;")","")</f>
        <v/>
      </c>
      <c r="DW60" s="387" t="str">
        <f t="array" ref="DW60">_xlfn.IFNA(INDEX($DV$6:$DV$66,MATCH(0,COUNTIF($DW$4:DW59,$DV$6:$DV$66),0),1),"")</f>
        <v/>
      </c>
      <c r="DY60" s="277" t="str">
        <f>IF(AND('1.4 Analyse &amp; Synthese'!AI61=1,'1.4 Analyse &amp; Synthese'!F61="Empfehlung"),'1.4 Analyse &amp; Synthese'!I61&amp;CHAR(13)&amp;"("&amp;'(Codierung)'!$C$2&amp;" - "&amp;'1.4 Analyse &amp; Synthese'!C61&amp;")","")</f>
        <v/>
      </c>
      <c r="DZ60" s="387" t="str">
        <f t="array" ref="DZ60">_xlfn.IFNA(INDEX($DY$6:$DY$66,MATCH(0,COUNTIF($DZ$4:DZ59,$DY$6:$DY$66),0),1),"")</f>
        <v/>
      </c>
      <c r="EA60" s="277" t="str">
        <f>IF(AND('1.4 Analyse &amp; Synthese'!AI61=1,'1.4 Analyse &amp; Synthese'!F61="Methode"),'1.4 Analyse &amp; Synthese'!I61&amp;CHAR(13)&amp;"("&amp;'(Codierung)'!$C$3&amp;" - "&amp;'1.4 Analyse &amp; Synthese'!C61&amp;")","")</f>
        <v/>
      </c>
      <c r="EB60" s="387" t="str">
        <f t="array" ref="EB60">_xlfn.IFNA(INDEX($EA$6:$EA$66,MATCH(0,COUNTIF($EB$4:EB59,$EA$6:$EA$66),0),1),"")</f>
        <v/>
      </c>
      <c r="EC60" s="277" t="str">
        <f>IF(AND('1.4 Analyse &amp; Synthese'!AI61=1,'1.4 Analyse &amp; Synthese'!F61="Werkzeug"),'1.4 Analyse &amp; Synthese'!I61&amp;CHAR(13)&amp;"("&amp;'(Codierung)'!$C$4&amp;" - "&amp;'1.4 Analyse &amp; Synthese'!C61&amp;")","")</f>
        <v/>
      </c>
      <c r="ED60" s="277" t="str">
        <f t="array" ref="ED60">_xlfn.IFNA(INDEX($EC$6:$EC$66,MATCH(0,COUNTIF($ED$4:ED59,$EC$6:$EC$66),0),1),"")</f>
        <v/>
      </c>
      <c r="EF60" s="277" t="str">
        <f>IF(AND('1.4 Analyse &amp; Synthese'!AJ61=1,'1.4 Analyse &amp; Synthese'!F61="Empfehlung"),'1.4 Analyse &amp; Synthese'!I61&amp;CHAR(13)&amp;"("&amp;'(Codierung)'!$C$2&amp;" - "&amp;'1.4 Analyse &amp; Synthese'!C61&amp;")","")</f>
        <v/>
      </c>
      <c r="EG60" s="277" t="str">
        <f t="array" ref="EG60">_xlfn.IFNA(INDEX($EF$6:$EF$66,MATCH(0,COUNTIF($EG$4:EG59,$EF$6:$EF$66),0),1),"")</f>
        <v/>
      </c>
      <c r="EH60" s="277" t="str">
        <f>IF(AND('1.4 Analyse &amp; Synthese'!AJ61=1,'1.4 Analyse &amp; Synthese'!F61="Methode"),'1.4 Analyse &amp; Synthese'!I61&amp;CHAR(13)&amp;"("&amp;'(Codierung)'!$C$3&amp;" - "&amp;'1.4 Analyse &amp; Synthese'!C61&amp;")","")</f>
        <v/>
      </c>
      <c r="EI60" s="387" t="str">
        <f t="array" ref="EI60">_xlfn.IFNA(INDEX($EH$6:$EH$66,MATCH(0,COUNTIF($EI$4:EI59,$EH$6:$EH$66),0),1),"")</f>
        <v/>
      </c>
      <c r="EJ60" s="277" t="str">
        <f>IF(AND('1.4 Analyse &amp; Synthese'!AJ61=1,'1.4 Analyse &amp; Synthese'!F61="Werkzeug"),'1.4 Analyse &amp; Synthese'!I61&amp;CHAR(13)&amp;"("&amp;'(Codierung)'!$C$4&amp;" - "&amp;'1.4 Analyse &amp; Synthese'!C61&amp;")","")</f>
        <v/>
      </c>
      <c r="EK60" s="387" t="str">
        <f t="array" ref="EK60">_xlfn.IFNA(INDEX($EJ$6:$EJ$66,MATCH(0,COUNTIF($EK$4:EK59,$EJ$6:$EJ$66),0),1),"")</f>
        <v/>
      </c>
      <c r="EN60" s="222" t="str">
        <f t="shared" si="60"/>
        <v/>
      </c>
      <c r="EO60" s="277" t="str">
        <f t="shared" si="61"/>
        <v/>
      </c>
      <c r="EP60" s="277" t="str">
        <f t="shared" si="62"/>
        <v/>
      </c>
      <c r="EQ60" s="277" t="str">
        <f>ZahlenInBereich(Tabelle1[[Empfehlung]:[Werkzeug]],ROW()-5)</f>
        <v/>
      </c>
      <c r="ER60" s="277" t="str">
        <f t="shared" si="63"/>
        <v/>
      </c>
      <c r="ES60" s="277" t="str">
        <f t="shared" si="64"/>
        <v/>
      </c>
      <c r="ET60" s="277" t="str">
        <f t="shared" si="65"/>
        <v/>
      </c>
      <c r="EU60" s="277" t="str">
        <f>ZahlenInBereich(Tabelle1[[Empfehlung2]:[Werkzeug4]],ROW()-5)</f>
        <v/>
      </c>
      <c r="EV60" s="277" t="str">
        <f t="shared" si="66"/>
        <v/>
      </c>
      <c r="EW60" s="277" t="str">
        <f t="shared" si="67"/>
        <v/>
      </c>
      <c r="EX60" s="277" t="str">
        <f t="shared" si="68"/>
        <v/>
      </c>
      <c r="EY60" s="277" t="str">
        <f>ZahlenInBereich(Tabelle1[[Empfehlung6]:[Werkzeug8]],ROW()-5)</f>
        <v/>
      </c>
      <c r="EZ60" s="277" t="str">
        <f t="shared" si="69"/>
        <v/>
      </c>
      <c r="FA60" s="277" t="str">
        <f t="shared" si="70"/>
        <v/>
      </c>
      <c r="FB60" s="277" t="str">
        <f t="shared" si="71"/>
        <v/>
      </c>
      <c r="FC60" s="277" t="str">
        <f>ZahlenInBereich(Tabelle1[[Empfehlung10]:[Werkzeug12]],ROW()-5)</f>
        <v/>
      </c>
      <c r="FD60" s="277" t="str">
        <f t="shared" si="72"/>
        <v/>
      </c>
      <c r="FE60" s="277" t="str">
        <f t="shared" si="73"/>
        <v/>
      </c>
      <c r="FF60" s="277" t="str">
        <f t="shared" si="74"/>
        <v/>
      </c>
      <c r="FG60" s="277" t="str">
        <f>ZahlenInBereich(Tabelle1[[Empfehlung14]:[Werkzeug16]],ROW()-5)</f>
        <v/>
      </c>
      <c r="FH60" s="277" t="str">
        <f t="shared" si="75"/>
        <v/>
      </c>
      <c r="FI60" s="277" t="str">
        <f t="shared" si="76"/>
        <v/>
      </c>
      <c r="FJ60" s="277" t="str">
        <f t="shared" si="77"/>
        <v/>
      </c>
      <c r="FK60" s="277" t="str">
        <f>ZahlenInBereich(Tabelle1[[Empfehlung18]:[Werkzeug20]],ROW()-5)</f>
        <v/>
      </c>
      <c r="FL60" s="277" t="str">
        <f t="shared" si="78"/>
        <v/>
      </c>
      <c r="FM60" s="277" t="str">
        <f t="shared" si="79"/>
        <v/>
      </c>
      <c r="FN60" s="277" t="str">
        <f t="shared" si="80"/>
        <v/>
      </c>
      <c r="FO60" s="277" t="str">
        <f>ZahlenInBereich(Tabelle1[[Empfehlung22]:[Werkzeug24]],ROW()-5)</f>
        <v/>
      </c>
      <c r="FP60" s="277" t="str">
        <f t="shared" si="81"/>
        <v/>
      </c>
      <c r="FQ60" s="277" t="str">
        <f t="shared" si="82"/>
        <v/>
      </c>
      <c r="FR60" s="277" t="str">
        <f t="shared" si="83"/>
        <v/>
      </c>
      <c r="FS60" s="277" t="str">
        <f>ZahlenInBereich(Tabelle1[[Empfehlung26]:[Werkzeug28]],ROW()-5)</f>
        <v/>
      </c>
      <c r="FT60" s="277" t="str">
        <f t="shared" si="84"/>
        <v/>
      </c>
      <c r="FU60" s="277" t="str">
        <f t="shared" si="85"/>
        <v/>
      </c>
      <c r="FV60" s="277" t="str">
        <f t="shared" si="86"/>
        <v/>
      </c>
      <c r="FW60" s="277" t="str">
        <f>ZahlenInBereich(Tabelle1[[Empfehlung30]:[Werkzeug32]],ROW()-5)</f>
        <v/>
      </c>
      <c r="FX60" s="277" t="str">
        <f t="shared" si="87"/>
        <v/>
      </c>
      <c r="FY60" s="277" t="str">
        <f t="shared" si="88"/>
        <v/>
      </c>
      <c r="FZ60" s="277" t="str">
        <f t="shared" si="89"/>
        <v/>
      </c>
      <c r="GA60" s="277" t="str">
        <f>ZahlenInBereich(Tabelle1[[Empfehlung34]:[Werkzeug36]],ROW()-5)</f>
        <v/>
      </c>
      <c r="GB60" s="277" t="str">
        <f t="shared" si="90"/>
        <v/>
      </c>
      <c r="GC60" s="277" t="str">
        <f t="shared" si="91"/>
        <v/>
      </c>
      <c r="GD60" s="277" t="str">
        <f t="shared" si="92"/>
        <v/>
      </c>
      <c r="GE60" s="277" t="str">
        <f>ZahlenInBereich(Tabelle1[[Empfehlung38]:[Werkzeug40]],ROW()-5)</f>
        <v/>
      </c>
      <c r="GF60" s="277" t="str">
        <f t="shared" si="93"/>
        <v/>
      </c>
      <c r="GG60" s="277" t="str">
        <f t="shared" si="94"/>
        <v/>
      </c>
      <c r="GH60" s="277" t="str">
        <f t="shared" si="95"/>
        <v/>
      </c>
      <c r="GI60" s="277" t="str">
        <f>ZahlenInBereich(Tabelle1[[Empfehlung42]:[Werkzeug44]],ROW()-5)</f>
        <v/>
      </c>
      <c r="GJ60" s="277" t="str">
        <f t="shared" si="96"/>
        <v/>
      </c>
      <c r="GK60" s="277" t="str">
        <f t="shared" si="97"/>
        <v/>
      </c>
      <c r="GL60" s="277" t="str">
        <f t="shared" si="98"/>
        <v/>
      </c>
      <c r="GM60" s="277" t="str">
        <f>ZahlenInBereich(Tabelle1[[Empfehlung46]:[Werkzeug48]],ROW()-5)</f>
        <v/>
      </c>
      <c r="GN60" s="277" t="str">
        <f t="shared" si="99"/>
        <v/>
      </c>
      <c r="GO60" s="277" t="str">
        <f t="shared" si="100"/>
        <v/>
      </c>
      <c r="GP60" s="277" t="str">
        <f t="shared" si="101"/>
        <v/>
      </c>
      <c r="GQ60" s="277" t="str">
        <f>ZahlenInBereich(Tabelle1[[Empfehlung50]:[Werkzeug52]],ROW()-5)</f>
        <v/>
      </c>
      <c r="GR60" s="277" t="str">
        <f t="shared" si="102"/>
        <v/>
      </c>
      <c r="GS60" s="277" t="str">
        <f t="shared" si="103"/>
        <v/>
      </c>
      <c r="GT60" s="277" t="str">
        <f t="shared" si="104"/>
        <v/>
      </c>
      <c r="GU60" s="277" t="str">
        <f>ZahlenInBereich(Tabelle1[[Empfehlung54]:[Werkzeug56]],ROW()-5)</f>
        <v/>
      </c>
      <c r="GV60" s="277" t="str">
        <f t="shared" si="105"/>
        <v/>
      </c>
      <c r="GW60" s="277" t="str">
        <f t="shared" si="106"/>
        <v/>
      </c>
      <c r="GX60" s="277" t="str">
        <f t="shared" si="107"/>
        <v/>
      </c>
      <c r="GY60" s="277" t="str">
        <f>ZahlenInBereich(Tabelle1[[Empfehlung58]:[Werkzeug60]],ROW()-5)</f>
        <v/>
      </c>
      <c r="GZ60" s="277" t="str">
        <f t="shared" si="108"/>
        <v/>
      </c>
      <c r="HA60" s="277" t="str">
        <f t="shared" si="109"/>
        <v/>
      </c>
      <c r="HB60" s="277" t="str">
        <f t="shared" si="110"/>
        <v/>
      </c>
      <c r="HC60" s="277" t="str">
        <f>ZahlenInBereich(Tabelle1[[Empfehlung62]:[Werkzeug64]],ROW()-5)</f>
        <v/>
      </c>
      <c r="HD60" s="277" t="str">
        <f t="shared" si="111"/>
        <v/>
      </c>
      <c r="HE60" s="277" t="str">
        <f t="shared" si="112"/>
        <v/>
      </c>
      <c r="HF60" s="277" t="str">
        <f t="shared" si="113"/>
        <v/>
      </c>
      <c r="HG60" s="277" t="str">
        <f>ZahlenInBereich(Tabelle1[[Empfehlung66]:[Werkzeug68]],ROW()-5)</f>
        <v/>
      </c>
      <c r="HH60" s="277" t="str">
        <f t="shared" si="114"/>
        <v/>
      </c>
      <c r="HI60" s="277" t="str">
        <f t="shared" si="115"/>
        <v/>
      </c>
      <c r="HJ60" s="277" t="str">
        <f t="shared" si="116"/>
        <v/>
      </c>
      <c r="HK60" s="277" t="str">
        <f>ZahlenInBereich(Tabelle1[[Empfehlung70]:[Werkzeug72]],ROW()-5)</f>
        <v/>
      </c>
      <c r="HL60" s="277" t="str">
        <f t="shared" si="117"/>
        <v/>
      </c>
      <c r="HM60" s="277" t="str">
        <f t="shared" si="118"/>
        <v/>
      </c>
      <c r="HN60" s="277" t="str">
        <f t="shared" si="119"/>
        <v/>
      </c>
      <c r="HO60" s="277" t="str">
        <f>ZahlenInBereich(Tabelle1[[Empfehlung74]:[Werkzeug76]],ROW()-5)</f>
        <v/>
      </c>
    </row>
    <row r="61" spans="2:223" x14ac:dyDescent="0.2">
      <c r="B61" s="135">
        <f>'1.4 Analyse &amp; Synthese'!B62</f>
        <v>0</v>
      </c>
      <c r="C61" s="277" t="str">
        <f>IF(AND('1.4 Analyse &amp; Synthese'!Q62=1,'1.4 Analyse &amp; Synthese'!F62="Empfehlung"),'1.4 Analyse &amp; Synthese'!I62&amp;CHAR(13)&amp;"("&amp;'(Codierung)'!$C$2&amp;" - "&amp;'1.4 Analyse &amp; Synthese'!C62&amp;")","")</f>
        <v/>
      </c>
      <c r="D61" s="222" t="str">
        <f t="array" ref="D61">_xlfn.IFNA(INDEX($C$6:$C$66,MATCH(0,COUNTIF($D$4:D60,$C$6:$C$66),0),1),"")</f>
        <v/>
      </c>
      <c r="E61" s="277" t="str">
        <f>IF(AND('1.4 Analyse &amp; Synthese'!Q62=1,'1.4 Analyse &amp; Synthese'!F62="Methode"),'1.4 Analyse &amp; Synthese'!I62&amp;CHAR(13)&amp;"("&amp;'(Codierung)'!$C$3&amp;" - "&amp;'1.4 Analyse &amp; Synthese'!C62&amp;")","")</f>
        <v/>
      </c>
      <c r="F61" s="387" t="str">
        <f t="array" ref="F61">_xlfn.IFNA(INDEX($E$6:$E$66,MATCH(0,COUNTIF($F$4:F60,$E$6:$E$66),0),1),"")</f>
        <v/>
      </c>
      <c r="G61" s="277" t="str">
        <f>IF(AND('1.4 Analyse &amp; Synthese'!Q62=1,'1.4 Analyse &amp; Synthese'!F62="Werkzeug"),'1.4 Analyse &amp; Synthese'!I62&amp;CHAR(13)&amp;"("&amp;'(Codierung)'!$C$4&amp;" - "&amp;'1.4 Analyse &amp; Synthese'!C62&amp;")","")</f>
        <v/>
      </c>
      <c r="H61" s="387" t="str">
        <f t="array" ref="H61">_xlfn.IFNA(INDEX($G$6:$G$66,MATCH(0,COUNTIF($H$4:H60,$G$6:$G$66),0),1),"")</f>
        <v/>
      </c>
      <c r="J61" s="277" t="str">
        <f>IF(AND('1.4 Analyse &amp; Synthese'!R62=1,'1.4 Analyse &amp; Synthese'!F62="Empfehlung"),'1.4 Analyse &amp; Synthese'!I62&amp;CHAR(13)&amp;"("&amp;'(Codierung)'!$C$2&amp;" - "&amp;'1.4 Analyse &amp; Synthese'!C62&amp;")","")</f>
        <v/>
      </c>
      <c r="K61" s="387" t="str">
        <f t="array" ref="K61">_xlfn.IFNA(INDEX($J$6:$J$66,MATCH(0,COUNTIF($K$4:K60,$J$6:$J$66),0),1),"")</f>
        <v/>
      </c>
      <c r="L61" s="277" t="str">
        <f>IF(AND('1.4 Analyse &amp; Synthese'!R62=1,'1.4 Analyse &amp; Synthese'!F62="Methode"),'1.4 Analyse &amp; Synthese'!I62&amp;CHAR(13)&amp;"("&amp;'(Codierung)'!$C$3&amp;" - "&amp;'1.4 Analyse &amp; Synthese'!C62&amp;")","")</f>
        <v/>
      </c>
      <c r="M61" s="387" t="str">
        <f t="array" ref="M61">_xlfn.IFNA(INDEX($L$6:$L$66,MATCH(0,COUNTIF($M$4:M60,$L$6:$L$66),0),1),"")</f>
        <v/>
      </c>
      <c r="N61" s="277" t="str">
        <f>IF(AND('1.4 Analyse &amp; Synthese'!R62=1,'1.4 Analyse &amp; Synthese'!F62="Werkzeug"),'1.4 Analyse &amp; Synthese'!I62&amp;CHAR(13)&amp;"("&amp;'(Codierung)'!$C$4&amp;" - "&amp;'1.4 Analyse &amp; Synthese'!C62&amp;")","")</f>
        <v/>
      </c>
      <c r="O61" s="387" t="str">
        <f t="array" ref="O61">_xlfn.IFNA(INDEX($N$6:$N$66,MATCH(0,COUNTIF($O$4:O60,$N$6:$N$66),0),1),"")</f>
        <v/>
      </c>
      <c r="Q61" s="277" t="str">
        <f>IF(AND('1.4 Analyse &amp; Synthese'!S62=1,'1.4 Analyse &amp; Synthese'!F62="Empfehlung"),'1.4 Analyse &amp; Synthese'!I62&amp;CHAR(13)&amp;"("&amp;'(Codierung)'!$C$2&amp;" - "&amp;'1.4 Analyse &amp; Synthese'!C62&amp;")","")</f>
        <v/>
      </c>
      <c r="R61" s="387" t="str">
        <f t="array" ref="R61">_xlfn.IFNA(INDEX($Q$6:$Q$66,MATCH(0,COUNTIF($R$4:R60,$Q$6:$Q$66),0),1),"")</f>
        <v/>
      </c>
      <c r="S61" s="277" t="str">
        <f>IF(AND('1.4 Analyse &amp; Synthese'!S62=1,'1.4 Analyse &amp; Synthese'!F62="Methode"),'1.4 Analyse &amp; Synthese'!I62&amp;CHAR(13)&amp;"("&amp;'(Codierung)'!$C$3&amp;" - "&amp;'1.4 Analyse &amp; Synthese'!C62&amp;")","")</f>
        <v/>
      </c>
      <c r="T61" s="387" t="str">
        <f t="array" ref="T61">_xlfn.IFNA(INDEX($S$6:$S$66,MATCH(0,COUNTIF($T$4:T60,$S$6:$S$66),0),1),"")</f>
        <v/>
      </c>
      <c r="U61" s="277" t="str">
        <f>IF(AND('1.4 Analyse &amp; Synthese'!S62=1,'1.4 Analyse &amp; Synthese'!F62="Werkzeug"),'1.4 Analyse &amp; Synthese'!I62&amp;CHAR(13)&amp;"("&amp;'(Codierung)'!$C$4&amp;" - "&amp;'1.4 Analyse &amp; Synthese'!C62&amp;")","")</f>
        <v/>
      </c>
      <c r="V61" s="387" t="str">
        <f t="array" ref="V61">_xlfn.IFNA(INDEX($U$6:$U$66,MATCH(0,COUNTIF($V$4:V60,$U$6:$U$66),0),1),"")</f>
        <v/>
      </c>
      <c r="X61" s="277" t="str">
        <f>IF(AND('1.4 Analyse &amp; Synthese'!T62=1,'1.4 Analyse &amp; Synthese'!F62="Empfehlung"),'1.4 Analyse &amp; Synthese'!I62&amp;CHAR(13)&amp;"("&amp;'(Codierung)'!$C$2&amp;" - "&amp;'1.4 Analyse &amp; Synthese'!C62&amp;")","")</f>
        <v/>
      </c>
      <c r="Y61" s="387" t="str">
        <f t="array" ref="Y61">_xlfn.IFNA(INDEX($X$6:$X$66,MATCH(0,COUNTIF($Y$4:Y60,$X$6:$X$66),0),1),"")</f>
        <v/>
      </c>
      <c r="Z61" s="277" t="str">
        <f>IF(AND('1.4 Analyse &amp; Synthese'!T62=1,'1.4 Analyse &amp; Synthese'!F62="Methode"),'1.4 Analyse &amp; Synthese'!I62&amp;CHAR(13)&amp;"("&amp;'(Codierung)'!$C$3&amp;" - "&amp;'1.4 Analyse &amp; Synthese'!C62&amp;")","")</f>
        <v/>
      </c>
      <c r="AA61" s="387" t="str">
        <f t="array" ref="AA61">_xlfn.IFNA(INDEX($Z$6:$Z$66,MATCH(0,COUNTIF($AA$4:AA60,$Z$6:$Z$66),0),1),"")</f>
        <v/>
      </c>
      <c r="AB61" s="277" t="str">
        <f>IF(AND('1.4 Analyse &amp; Synthese'!T62=1,'1.4 Analyse &amp; Synthese'!F62="Werkzeug"),'1.4 Analyse &amp; Synthese'!I62&amp;CHAR(13)&amp;"("&amp;'(Codierung)'!$C$4&amp;" - "&amp;'1.4 Analyse &amp; Synthese'!C62&amp;")","")</f>
        <v/>
      </c>
      <c r="AC61" s="387" t="str">
        <f t="array" ref="AC61">_xlfn.IFNA(INDEX($AB$6:$AB$66,MATCH(0,COUNTIF($AC$4:AC60,$AB$6:$AB$66),0),1),"")</f>
        <v/>
      </c>
      <c r="AE61" s="277" t="str">
        <f>IF(AND('1.4 Analyse &amp; Synthese'!U62=1,'1.4 Analyse &amp; Synthese'!F62="Empfehlung"),'1.4 Analyse &amp; Synthese'!I62&amp;CHAR(13)&amp;"("&amp;'(Codierung)'!$C$2&amp;" - "&amp;'1.4 Analyse &amp; Synthese'!C62&amp;")","")</f>
        <v/>
      </c>
      <c r="AF61" s="387" t="str">
        <f t="array" ref="AF61">_xlfn.IFNA(INDEX($AE$6:$AE$66,MATCH(0,COUNTIF($AF$4:AF60,$AE$6:$AE$66),0),1),"")</f>
        <v/>
      </c>
      <c r="AG61" s="277" t="str">
        <f>IF(AND('1.4 Analyse &amp; Synthese'!U62=1,'1.4 Analyse &amp; Synthese'!F62="Methode"),'1.4 Analyse &amp; Synthese'!I62&amp;CHAR(13)&amp;"("&amp;'(Codierung)'!$C$3&amp;" - "&amp;'1.4 Analyse &amp; Synthese'!C62&amp;")","")</f>
        <v/>
      </c>
      <c r="AH61" s="387" t="str">
        <f t="array" ref="AH61">_xlfn.IFNA(INDEX($AG$6:$AG$66,MATCH(0,COUNTIF($AH$4:AH60,$AG$6:$AG$66),0),1),"")</f>
        <v/>
      </c>
      <c r="AI61" s="277" t="str">
        <f>IF(AND('1.4 Analyse &amp; Synthese'!U62=1,'1.4 Analyse &amp; Synthese'!F62="Werkzeug"),'1.4 Analyse &amp; Synthese'!I62&amp;CHAR(13)&amp;"("&amp;'(Codierung)'!$C$4&amp;" - "&amp;'1.4 Analyse &amp; Synthese'!C62&amp;")","")</f>
        <v/>
      </c>
      <c r="AJ61" s="387" t="str">
        <f t="array" ref="AJ61">_xlfn.IFNA(INDEX($AI$6:$AI$66,MATCH(0,COUNTIF($AJ$4:AJ60,$AI$6:$AI$66),0),1),"")</f>
        <v/>
      </c>
      <c r="AL61" s="277" t="str">
        <f>IF(AND('1.4 Analyse &amp; Synthese'!V62=1,'1.4 Analyse &amp; Synthese'!F62="Empfehlung"),'1.4 Analyse &amp; Synthese'!I62&amp;CHAR(13)&amp;"("&amp;'(Codierung)'!$C$2&amp;" - "&amp;'1.4 Analyse &amp; Synthese'!C62&amp;")","")</f>
        <v/>
      </c>
      <c r="AM61" s="387" t="str">
        <f t="array" ref="AM61">_xlfn.IFNA(INDEX($AL$6:$AL$66,MATCH(0,COUNTIF($AM$4:AM60,$AL$6:$AL$66),0),1),"")</f>
        <v/>
      </c>
      <c r="AN61" s="277" t="str">
        <f>IF(AND('1.4 Analyse &amp; Synthese'!V62=1,'1.4 Analyse &amp; Synthese'!F62="Methode"),'1.4 Analyse &amp; Synthese'!I62&amp;CHAR(13)&amp;"("&amp;'(Codierung)'!$C$3&amp;" - "&amp;'1.4 Analyse &amp; Synthese'!C62&amp;")","")</f>
        <v/>
      </c>
      <c r="AO61" s="387" t="str">
        <f t="array" ref="AO61">_xlfn.IFNA(INDEX($AN$6:$AN$66,MATCH(0,COUNTIF($AO$4:AO60,$AN$6:$AN$66),0),1),"")</f>
        <v/>
      </c>
      <c r="AP61" s="277" t="str">
        <f>IF(AND('1.4 Analyse &amp; Synthese'!V62=1,'1.4 Analyse &amp; Synthese'!F62="Werkzeug"),'1.4 Analyse &amp; Synthese'!I62&amp;CHAR(13)&amp;"("&amp;'(Codierung)'!$C$4&amp;" - "&amp;'1.4 Analyse &amp; Synthese'!C62&amp;")","")</f>
        <v/>
      </c>
      <c r="AQ61" s="387" t="str">
        <f t="array" ref="AQ61">_xlfn.IFNA(INDEX($AP$6:$AP$66,MATCH(0,COUNTIF($AQ$4:AQ60,$AP$6:$AP$66),0),1),"")</f>
        <v/>
      </c>
      <c r="AS61" s="277" t="str">
        <f>IF(AND('1.4 Analyse &amp; Synthese'!W62=1,'1.4 Analyse &amp; Synthese'!F62="Empfehlung"),'1.4 Analyse &amp; Synthese'!I62&amp;CHAR(13)&amp;"("&amp;'(Codierung)'!$C$2&amp;" - "&amp;'1.4 Analyse &amp; Synthese'!C62&amp;")","")</f>
        <v/>
      </c>
      <c r="AT61" s="387" t="str">
        <f t="array" ref="AT61">_xlfn.IFNA(INDEX($AS$6:$AS$66,MATCH(0,COUNTIF($AT$4:AT60,$AS$6:$AS$66),0),1),"")</f>
        <v/>
      </c>
      <c r="AU61" s="277" t="str">
        <f>IF(AND('1.4 Analyse &amp; Synthese'!W62=1,'1.4 Analyse &amp; Synthese'!F62="Methode"),'1.4 Analyse &amp; Synthese'!I62&amp;CHAR(13)&amp;"("&amp;'(Codierung)'!$C$3&amp;" - "&amp;'1.4 Analyse &amp; Synthese'!C62&amp;")","")</f>
        <v/>
      </c>
      <c r="AV61" s="387" t="str">
        <f t="array" ref="AV61">_xlfn.IFNA(INDEX($AU$6:$AU$66,MATCH(0,COUNTIF($AV$4:AV60,$AU$6:$AU$66),0),1),"")</f>
        <v/>
      </c>
      <c r="AW61" s="277" t="str">
        <f>IF(AND('1.4 Analyse &amp; Synthese'!W62=1,'1.4 Analyse &amp; Synthese'!F62="Werkzeug"),'1.4 Analyse &amp; Synthese'!I62&amp;CHAR(13)&amp;"("&amp;'(Codierung)'!$C$4&amp;" - "&amp;'1.4 Analyse &amp; Synthese'!C62&amp;")","")</f>
        <v/>
      </c>
      <c r="AX61" s="387" t="str">
        <f t="array" ref="AX61">_xlfn.IFNA(INDEX($AW$6:$AW$66,MATCH(0,COUNTIF($AX$4:AX60,$AW$6:$AW$66),0),1),"")</f>
        <v/>
      </c>
      <c r="AZ61" s="277" t="str">
        <f>IF(AND('1.4 Analyse &amp; Synthese'!X62=1,'1.4 Analyse &amp; Synthese'!F62="Empfehlung"),'1.4 Analyse &amp; Synthese'!I62&amp;CHAR(13)&amp;"("&amp;'(Codierung)'!$C$2&amp;" - "&amp;'1.4 Analyse &amp; Synthese'!C62&amp;")","")</f>
        <v/>
      </c>
      <c r="BA61" s="387" t="str">
        <f t="array" ref="BA61">_xlfn.IFNA(INDEX($AZ$6:$AZ$66,MATCH(0,COUNTIF($BA$4:BA60,$AZ$6:$AZ$66),0),1),"")</f>
        <v/>
      </c>
      <c r="BB61" s="277" t="str">
        <f>IF(AND('1.4 Analyse &amp; Synthese'!X62=1,'1.4 Analyse &amp; Synthese'!F62="Methode"),'1.4 Analyse &amp; Synthese'!I62&amp;CHAR(13)&amp;"("&amp;'(Codierung)'!$C$3&amp;" - "&amp;'1.4 Analyse &amp; Synthese'!C62&amp;")","")</f>
        <v/>
      </c>
      <c r="BC61" s="387" t="str">
        <f t="array" ref="BC61">_xlfn.IFNA(INDEX($BB$6:$BB$66,MATCH(0,COUNTIF($BC$4:BC60,$BB$6:$BB$66),0),1),"")</f>
        <v/>
      </c>
      <c r="BD61" s="277" t="str">
        <f>IF(AND('1.4 Analyse &amp; Synthese'!X62=1,'1.4 Analyse &amp; Synthese'!F62="Werkzeug"),'1.4 Analyse &amp; Synthese'!I62&amp;CHAR(13)&amp;"("&amp;'(Codierung)'!$C$4&amp;" - "&amp;'1.4 Analyse &amp; Synthese'!C62&amp;")","")</f>
        <v/>
      </c>
      <c r="BE61" s="387" t="str">
        <f t="array" ref="BE61">_xlfn.IFNA(INDEX($BD$6:$BD$66,MATCH(0,COUNTIF($BE$4:BE60,$BD$6:$BD$66),0),1),"")</f>
        <v/>
      </c>
      <c r="BG61" s="277" t="str">
        <f>IF(AND('1.4 Analyse &amp; Synthese'!Y62=1,'1.4 Analyse &amp; Synthese'!F62="Empfehlung"),'1.4 Analyse &amp; Synthese'!I62&amp;CHAR(13)&amp;"("&amp;'(Codierung)'!$C$2&amp;" - "&amp;'1.4 Analyse &amp; Synthese'!C62&amp;")","")</f>
        <v/>
      </c>
      <c r="BH61" s="387" t="str">
        <f t="array" ref="BH61">_xlfn.IFNA(INDEX($BG$6:$BG$66,MATCH(0,COUNTIF($BH$4:BH60,$BG$6:$BG$66),0),1),"")</f>
        <v/>
      </c>
      <c r="BI61" s="277" t="str">
        <f>IF(AND('1.4 Analyse &amp; Synthese'!Y62=1,'1.4 Analyse &amp; Synthese'!F62="Methode"),'1.4 Analyse &amp; Synthese'!I62&amp;CHAR(13)&amp;"("&amp;'(Codierung)'!$C$3&amp;" - "&amp;'1.4 Analyse &amp; Synthese'!C62&amp;")","")</f>
        <v/>
      </c>
      <c r="BJ61" s="387" t="str">
        <f t="array" ref="BJ61">_xlfn.IFNA(INDEX($BI$6:$BI$66,MATCH(0,COUNTIF($BJ$4:BJ60,$BI$6:$BI$66),0),1),"")</f>
        <v/>
      </c>
      <c r="BK61" s="277" t="str">
        <f>IF(AND('1.4 Analyse &amp; Synthese'!Y62=1,'1.4 Analyse &amp; Synthese'!F62="Werkzeug"),'1.4 Analyse &amp; Synthese'!I62&amp;CHAR(13)&amp;"("&amp;'(Codierung)'!$C$4&amp;" - "&amp;'1.4 Analyse &amp; Synthese'!C62&amp;")","")</f>
        <v/>
      </c>
      <c r="BL61" s="387" t="str">
        <f t="array" ref="BL61">_xlfn.IFNA(INDEX($BK$6:$BK$66,MATCH(0,COUNTIF($BL$4:BL60,$BK$6:$BK$66),0),1),"")</f>
        <v/>
      </c>
      <c r="BN61" s="277" t="str">
        <f>IF(AND('1.4 Analyse &amp; Synthese'!Z62=1,'1.4 Analyse &amp; Synthese'!F62="Empfehlung"),'1.4 Analyse &amp; Synthese'!I62&amp;CHAR(13)&amp;"("&amp;'(Codierung)'!$C$2&amp;" - "&amp;'1.4 Analyse &amp; Synthese'!C62&amp;")","")</f>
        <v/>
      </c>
      <c r="BO61" s="387" t="str">
        <f t="array" ref="BO61">_xlfn.IFNA(INDEX($BN$6:$BN$66,MATCH(0,COUNTIF($BO$4:BO60,$BN$6:$BN$66),0),1),"")</f>
        <v/>
      </c>
      <c r="BP61" s="277" t="str">
        <f>IF(AND('1.4 Analyse &amp; Synthese'!Z62=1,'1.4 Analyse &amp; Synthese'!F62="Methode"),'1.4 Analyse &amp; Synthese'!I62&amp;CHAR(13)&amp;"("&amp;'(Codierung)'!$C$3&amp;" - "&amp;'1.4 Analyse &amp; Synthese'!C62&amp;")","")</f>
        <v/>
      </c>
      <c r="BQ61" s="387" t="str">
        <f t="array" ref="BQ61">_xlfn.IFNA(INDEX($BP$6:$BP$66,MATCH(0,COUNTIF($BQ$4:BQ60,$BP$6:$BP$66),0),1),"")</f>
        <v/>
      </c>
      <c r="BR61" s="277" t="str">
        <f>IF(AND('1.4 Analyse &amp; Synthese'!Z62=1,'1.4 Analyse &amp; Synthese'!F62="Werkzeug"),'1.4 Analyse &amp; Synthese'!I62&amp;CHAR(13)&amp;"("&amp;'(Codierung)'!$C$4&amp;" - "&amp;'1.4 Analyse &amp; Synthese'!C62&amp;")","")</f>
        <v/>
      </c>
      <c r="BS61" s="387" t="str">
        <f t="array" ref="BS61">_xlfn.IFNA(INDEX($BR$6:$BR$66,MATCH(0,COUNTIF($BS$4:BS60,$BR$6:$BR$66),0),1),"")</f>
        <v/>
      </c>
      <c r="BU61" s="277" t="str">
        <f>IF(AND('1.4 Analyse &amp; Synthese'!AA62=1,'1.4 Analyse &amp; Synthese'!F62="Empfehlung"),'1.4 Analyse &amp; Synthese'!I62&amp;CHAR(13)&amp;"("&amp;'(Codierung)'!$C$2&amp;" - "&amp;'1.4 Analyse &amp; Synthese'!C62&amp;")","")</f>
        <v/>
      </c>
      <c r="BV61" s="387" t="str">
        <f t="array" ref="BV61">_xlfn.IFNA(INDEX($BU$6:$BU$66,MATCH(0,COUNTIF($BV$4:BV60,$BU$6:$BU$66),0),1),"")</f>
        <v/>
      </c>
      <c r="BW61" s="277" t="str">
        <f>IF(AND('1.4 Analyse &amp; Synthese'!AA62=1,'1.4 Analyse &amp; Synthese'!F62="Methode"),'1.4 Analyse &amp; Synthese'!I62&amp;CHAR(13)&amp;"("&amp;'(Codierung)'!$C$3&amp;" - "&amp;'1.4 Analyse &amp; Synthese'!C62&amp;")","")</f>
        <v/>
      </c>
      <c r="BX61" s="387" t="str">
        <f t="array" ref="BX61">_xlfn.IFNA(INDEX($BW$6:$BW$66,MATCH(0,COUNTIF($BX$4:BX60,$BW$6:$BW$66),0),1),"")</f>
        <v/>
      </c>
      <c r="BY61" s="277" t="str">
        <f>IF(AND('1.4 Analyse &amp; Synthese'!AA62=1,'1.4 Analyse &amp; Synthese'!F62="Werkzeug"),'1.4 Analyse &amp; Synthese'!I62&amp;CHAR(13)&amp;"("&amp;'(Codierung)'!$C$4&amp;" - "&amp;'1.4 Analyse &amp; Synthese'!C62&amp;")","")</f>
        <v/>
      </c>
      <c r="BZ61" s="387" t="str">
        <f t="array" ref="BZ61">_xlfn.IFNA(INDEX($BY$6:$BY$66,MATCH(0,COUNTIF($BZ$4:BZ60,$BY$6:$BY$66),0),1),"")</f>
        <v/>
      </c>
      <c r="CB61" s="277" t="str">
        <f>IF(AND('1.4 Analyse &amp; Synthese'!AB62=1,'1.4 Analyse &amp; Synthese'!F62="Empfehlung"),'1.4 Analyse &amp; Synthese'!I62&amp;CHAR(13)&amp;"("&amp;'(Codierung)'!$C$2&amp;" - "&amp;'1.4 Analyse &amp; Synthese'!C62&amp;")","")</f>
        <v/>
      </c>
      <c r="CC61" s="387" t="str">
        <f t="array" ref="CC61">_xlfn.IFNA(INDEX($CB$6:$CB$66,MATCH(0,COUNTIF($CC$4:CC60,$CB$6:$CB$66),0),1),"")</f>
        <v/>
      </c>
      <c r="CD61" s="277" t="str">
        <f>IF(AND('1.4 Analyse &amp; Synthese'!AB62=1,'1.4 Analyse &amp; Synthese'!F62="Methode"),'1.4 Analyse &amp; Synthese'!I62&amp;CHAR(13)&amp;"("&amp;'(Codierung)'!$C$3&amp;" - "&amp;'1.4 Analyse &amp; Synthese'!C62&amp;")","")</f>
        <v/>
      </c>
      <c r="CE61" s="387" t="str">
        <f t="array" ref="CE61">_xlfn.IFNA(INDEX($CD$6:$CD$66,MATCH(0,COUNTIF($CE$4:CE60,$CD$6:$CD$66),0),1),"")</f>
        <v/>
      </c>
      <c r="CF61" s="277" t="str">
        <f>IF(AND('1.4 Analyse &amp; Synthese'!AB62=1,'1.4 Analyse &amp; Synthese'!F62="Werkzeug"),'1.4 Analyse &amp; Synthese'!I62&amp;CHAR(13)&amp;"("&amp;'(Codierung)'!$C$4&amp;" - "&amp;'1.4 Analyse &amp; Synthese'!C62&amp;")","")</f>
        <v/>
      </c>
      <c r="CG61" s="387" t="str">
        <f t="array" ref="CG61">_xlfn.IFNA(INDEX($CF$6:$CF$66,MATCH(0,COUNTIF($CG$4:CG60,$CF$6:$CF$66),0),1),"")</f>
        <v/>
      </c>
      <c r="CI61" s="277" t="str">
        <f>IF(AND('1.4 Analyse &amp; Synthese'!AC62=1,'1.4 Analyse &amp; Synthese'!F62="Empfehlung"),'1.4 Analyse &amp; Synthese'!I62&amp;CHAR(13)&amp;"("&amp;'(Codierung)'!$C$2&amp;" - "&amp;'1.4 Analyse &amp; Synthese'!C62&amp;")","")</f>
        <v/>
      </c>
      <c r="CJ61" s="387" t="str">
        <f t="array" ref="CJ61">_xlfn.IFNA(INDEX($CI$6:$CI$66,MATCH(0,COUNTIF($CJ$4:CJ60,$CI$6:$CI$66),0),1),"")</f>
        <v/>
      </c>
      <c r="CK61" s="277" t="str">
        <f>IF(AND('1.4 Analyse &amp; Synthese'!AC62=1,'1.4 Analyse &amp; Synthese'!F62="Methode"),'1.4 Analyse &amp; Synthese'!I62&amp;CHAR(13)&amp;"("&amp;'(Codierung)'!$C$3&amp;" - "&amp;'1.4 Analyse &amp; Synthese'!C62&amp;")","")</f>
        <v/>
      </c>
      <c r="CL61" s="387" t="str">
        <f t="array" ref="CL61">_xlfn.IFNA(INDEX($CK$6:$CK$66,MATCH(0,COUNTIF($CL$4:CL60,$CK$6:$CK$66),0),1),"")</f>
        <v/>
      </c>
      <c r="CM61" s="277" t="str">
        <f>IF(AND('1.4 Analyse &amp; Synthese'!AC62=1,'1.4 Analyse &amp; Synthese'!F62="Werkzeug"),'1.4 Analyse &amp; Synthese'!I62&amp;CHAR(13)&amp;"("&amp;'(Codierung)'!$C$4&amp;" - "&amp;'1.4 Analyse &amp; Synthese'!C62&amp;")","")</f>
        <v/>
      </c>
      <c r="CN61" s="387" t="str">
        <f t="array" ref="CN61">_xlfn.IFNA(INDEX($CM$6:$CM$66,MATCH(0,COUNTIF($CN$4:CN60,$CM$6:$CM$66),0),1),"")</f>
        <v/>
      </c>
      <c r="CP61" s="277" t="str">
        <f>IF(AND('1.4 Analyse &amp; Synthese'!AD62=1,'1.4 Analyse &amp; Synthese'!F62="Empfehlung"),'1.4 Analyse &amp; Synthese'!I62&amp;CHAR(13)&amp;"("&amp;'(Codierung)'!$C$2&amp;" - "&amp;'1.4 Analyse &amp; Synthese'!C62&amp;")","")</f>
        <v/>
      </c>
      <c r="CQ61" s="387" t="str">
        <f t="array" ref="CQ61">_xlfn.IFNA(INDEX($CP$6:$CP$66,MATCH(0,COUNTIF($CQ$4:CQ60,$CP$6:$CP$66),0),1),"")</f>
        <v/>
      </c>
      <c r="CR61" s="277" t="str">
        <f>IF(AND('1.4 Analyse &amp; Synthese'!AD62=1,'1.4 Analyse &amp; Synthese'!F62="Methode"),'1.4 Analyse &amp; Synthese'!I62&amp;CHAR(13)&amp;"("&amp;'(Codierung)'!$C$3&amp;" - "&amp;'1.4 Analyse &amp; Synthese'!C62&amp;")","")</f>
        <v/>
      </c>
      <c r="CS61" s="387" t="str">
        <f t="array" ref="CS61">_xlfn.IFNA(INDEX($CR$6:$CR$66,MATCH(0,COUNTIF($CS$4:CS60,$CR$6:$CR$66),0),1),"")</f>
        <v/>
      </c>
      <c r="CT61" s="277" t="str">
        <f>IF(AND('1.4 Analyse &amp; Synthese'!AD62=1,'1.4 Analyse &amp; Synthese'!F62="Werkzeug"),'1.4 Analyse &amp; Synthese'!I62&amp;CHAR(13)&amp;"("&amp;'(Codierung)'!$C$4&amp;" - "&amp;'1.4 Analyse &amp; Synthese'!C62&amp;")","")</f>
        <v/>
      </c>
      <c r="CU61" s="387" t="str">
        <f t="array" ref="CU61">_xlfn.IFNA(INDEX($CT$6:$CT$66,MATCH(0,COUNTIF($CU$4:CU60,$CT$6:$CT$66),0),1),"")</f>
        <v/>
      </c>
      <c r="CW61" s="277" t="str">
        <f>IF(AND('1.4 Analyse &amp; Synthese'!AE62=1,'1.4 Analyse &amp; Synthese'!F62="Empfehlung"),'1.4 Analyse &amp; Synthese'!I62&amp;CHAR(13)&amp;"("&amp;'(Codierung)'!$C$2&amp;" - "&amp;'1.4 Analyse &amp; Synthese'!C62&amp;")","")</f>
        <v/>
      </c>
      <c r="CX61" s="387" t="str">
        <f t="array" ref="CX61">_xlfn.IFNA(INDEX($CW$6:$CW$66,MATCH(0,COUNTIF($CX$4:CX60,$CW$6:$CW$66),0),1),"")</f>
        <v/>
      </c>
      <c r="CY61" s="277" t="str">
        <f>IF(AND('1.4 Analyse &amp; Synthese'!AE62=1,'1.4 Analyse &amp; Synthese'!F62="Methode"),'1.4 Analyse &amp; Synthese'!I62&amp;CHAR(13)&amp;"("&amp;'(Codierung)'!$C$3&amp;" - "&amp;'1.4 Analyse &amp; Synthese'!C62&amp;")","")</f>
        <v/>
      </c>
      <c r="CZ61" s="387" t="str">
        <f t="array" ref="CZ61">_xlfn.IFNA(INDEX($CY$6:$CY$66,MATCH(0,COUNTIF($CZ$4:CZ60,$CY$6:$CY$66),0),1),"")</f>
        <v/>
      </c>
      <c r="DA61" s="277" t="str">
        <f>IF(AND('1.4 Analyse &amp; Synthese'!AE62=1,'1.4 Analyse &amp; Synthese'!F62="Werkzeug"),'1.4 Analyse &amp; Synthese'!I62&amp;CHAR(13)&amp;"("&amp;'(Codierung)'!$C$4&amp;" - "&amp;'1.4 Analyse &amp; Synthese'!C62&amp;")","")</f>
        <v/>
      </c>
      <c r="DB61" s="387" t="str">
        <f t="array" ref="DB61">_xlfn.IFNA(INDEX($DA$6:$DA$66,MATCH(0,COUNTIF($DB$4:DB60,$DA$6:$DA$66),0),1),"")</f>
        <v/>
      </c>
      <c r="DD61" s="277" t="str">
        <f>IF(AND('1.4 Analyse &amp; Synthese'!AF62=1,'1.4 Analyse &amp; Synthese'!F62="Empfehlung"),'1.4 Analyse &amp; Synthese'!I62&amp;CHAR(13)&amp;"("&amp;'(Codierung)'!$C$2&amp;" - "&amp;'1.4 Analyse &amp; Synthese'!C62&amp;")","")</f>
        <v/>
      </c>
      <c r="DE61" s="387" t="str">
        <f t="array" ref="DE61">_xlfn.IFNA(INDEX($DD$6:$DD$66,MATCH(0,COUNTIF($DE$4:DE60,$DD$6:$DD$66),0),1),"")</f>
        <v/>
      </c>
      <c r="DF61" s="277" t="str">
        <f>IF(AND('1.4 Analyse &amp; Synthese'!AF62=1,'1.4 Analyse &amp; Synthese'!F62="Methode"),'1.4 Analyse &amp; Synthese'!I62&amp;CHAR(13)&amp;"("&amp;'(Codierung)'!$C$3&amp;" - "&amp;'1.4 Analyse &amp; Synthese'!C62&amp;")","")</f>
        <v/>
      </c>
      <c r="DG61" s="387" t="str">
        <f t="array" ref="DG61">_xlfn.IFNA(INDEX($DF$6:$DF$66,MATCH(0,COUNTIF($DG$4:DG60,$DF$6:$DF$66),0),1),"")</f>
        <v/>
      </c>
      <c r="DH61" s="277" t="str">
        <f>IF(AND('1.4 Analyse &amp; Synthese'!AF62=1,'1.4 Analyse &amp; Synthese'!F62="Werkzeug"),'1.4 Analyse &amp; Synthese'!I62&amp;CHAR(13)&amp;"("&amp;'(Codierung)'!$C$4&amp;" - "&amp;'1.4 Analyse &amp; Synthese'!C62&amp;")","")</f>
        <v/>
      </c>
      <c r="DI61" s="387" t="str">
        <f t="array" ref="DI61">_xlfn.IFNA(INDEX($DH$6:$DH$66,MATCH(0,COUNTIF($DI$4:DI60,$DH$6:$DH$66),0),1),"")</f>
        <v/>
      </c>
      <c r="DK61" s="277" t="str">
        <f>IF(AND('1.4 Analyse &amp; Synthese'!AG62=1,'1.4 Analyse &amp; Synthese'!F62="Empfehlung"),'1.4 Analyse &amp; Synthese'!I62&amp;CHAR(13)&amp;"("&amp;'(Codierung)'!$C$2&amp;" - "&amp;'1.4 Analyse &amp; Synthese'!C62&amp;")","")</f>
        <v/>
      </c>
      <c r="DL61" s="387" t="str">
        <f t="array" ref="DL61">_xlfn.IFNA(INDEX($DK$6:$DK$66,MATCH(0,COUNTIF($DL$4:DL60,$DK$6:$DK$66),0),1),"")</f>
        <v/>
      </c>
      <c r="DM61" s="277" t="str">
        <f>IF(AND('1.4 Analyse &amp; Synthese'!AG62=1,'1.4 Analyse &amp; Synthese'!F62="Methode"),'1.4 Analyse &amp; Synthese'!I62&amp;CHAR(13)&amp;"("&amp;'(Codierung)'!$C$3&amp;" - "&amp;'1.4 Analyse &amp; Synthese'!C62&amp;")","")</f>
        <v/>
      </c>
      <c r="DN61" s="387" t="str">
        <f t="array" ref="DN61">_xlfn.IFNA(INDEX($DM$6:$DM$66,MATCH(0,COUNTIF($DN$4:DN60,$DM$6:$DM$66),0),1),"")</f>
        <v/>
      </c>
      <c r="DO61" s="277" t="str">
        <f>IF(AND('1.4 Analyse &amp; Synthese'!AG62=1,'1.4 Analyse &amp; Synthese'!F62="Werkzeug"),'1.4 Analyse &amp; Synthese'!I62&amp;CHAR(13)&amp;"("&amp;'(Codierung)'!$C$4&amp;" - "&amp;'1.4 Analyse &amp; Synthese'!C62&amp;")","")</f>
        <v/>
      </c>
      <c r="DP61" s="387" t="str">
        <f t="array" ref="DP61">_xlfn.IFNA(INDEX($DO$6:$DO$66,MATCH(0,COUNTIF($DP$4:DP60,$DO$6:$DO$66),0),1),"")</f>
        <v/>
      </c>
      <c r="DR61" s="277" t="str">
        <f>IF(AND('1.4 Analyse &amp; Synthese'!AH62=1,'1.4 Analyse &amp; Synthese'!F62="Empfehlung"),'1.4 Analyse &amp; Synthese'!I62&amp;CHAR(13)&amp;"("&amp;'(Codierung)'!$C$2&amp;" - "&amp;'1.4 Analyse &amp; Synthese'!C62&amp;")","")</f>
        <v/>
      </c>
      <c r="DS61" s="387" t="str">
        <f t="array" ref="DS61">_xlfn.IFNA(INDEX($DR$6:$DR$66,MATCH(0,COUNTIF($DS$4:DS60,$DR$6:$DR$66),0),1),"")</f>
        <v/>
      </c>
      <c r="DT61" s="277" t="str">
        <f>IF(AND('1.4 Analyse &amp; Synthese'!AH62=1,'1.4 Analyse &amp; Synthese'!F62="Methode"),'1.4 Analyse &amp; Synthese'!I62&amp;CHAR(13)&amp;"("&amp;'(Codierung)'!$C$3&amp;" - "&amp;'1.4 Analyse &amp; Synthese'!C62&amp;")","")</f>
        <v/>
      </c>
      <c r="DU61" s="387" t="str">
        <f t="array" ref="DU61">_xlfn.IFNA(INDEX($DT$6:$DT$66,MATCH(0,COUNTIF($DU$4:DU60,$DT$6:$DT$66),0),1),"")</f>
        <v/>
      </c>
      <c r="DV61" s="277" t="str">
        <f>IF(AND('1.4 Analyse &amp; Synthese'!AH62=1,'1.4 Analyse &amp; Synthese'!F62="Werkzeug"),'1.4 Analyse &amp; Synthese'!I62&amp;CHAR(13)&amp;"("&amp;'(Codierung)'!$C$4&amp;" - "&amp;'1.4 Analyse &amp; Synthese'!C62&amp;")","")</f>
        <v/>
      </c>
      <c r="DW61" s="387" t="str">
        <f t="array" ref="DW61">_xlfn.IFNA(INDEX($DV$6:$DV$66,MATCH(0,COUNTIF($DW$4:DW60,$DV$6:$DV$66),0),1),"")</f>
        <v/>
      </c>
      <c r="DY61" s="277" t="str">
        <f>IF(AND('1.4 Analyse &amp; Synthese'!AI62=1,'1.4 Analyse &amp; Synthese'!F62="Empfehlung"),'1.4 Analyse &amp; Synthese'!I62&amp;CHAR(13)&amp;"("&amp;'(Codierung)'!$C$2&amp;" - "&amp;'1.4 Analyse &amp; Synthese'!C62&amp;")","")</f>
        <v/>
      </c>
      <c r="DZ61" s="387" t="str">
        <f t="array" ref="DZ61">_xlfn.IFNA(INDEX($DY$6:$DY$66,MATCH(0,COUNTIF($DZ$4:DZ60,$DY$6:$DY$66),0),1),"")</f>
        <v/>
      </c>
      <c r="EA61" s="277" t="str">
        <f>IF(AND('1.4 Analyse &amp; Synthese'!AI62=1,'1.4 Analyse &amp; Synthese'!F62="Methode"),'1.4 Analyse &amp; Synthese'!I62&amp;CHAR(13)&amp;"("&amp;'(Codierung)'!$C$3&amp;" - "&amp;'1.4 Analyse &amp; Synthese'!C62&amp;")","")</f>
        <v/>
      </c>
      <c r="EB61" s="387" t="str">
        <f t="array" ref="EB61">_xlfn.IFNA(INDEX($EA$6:$EA$66,MATCH(0,COUNTIF($EB$4:EB60,$EA$6:$EA$66),0),1),"")</f>
        <v/>
      </c>
      <c r="EC61" s="277" t="str">
        <f>IF(AND('1.4 Analyse &amp; Synthese'!AI62=1,'1.4 Analyse &amp; Synthese'!F62="Werkzeug"),'1.4 Analyse &amp; Synthese'!I62&amp;CHAR(13)&amp;"("&amp;'(Codierung)'!$C$4&amp;" - "&amp;'1.4 Analyse &amp; Synthese'!C62&amp;")","")</f>
        <v/>
      </c>
      <c r="ED61" s="277" t="str">
        <f t="array" ref="ED61">_xlfn.IFNA(INDEX($EC$6:$EC$66,MATCH(0,COUNTIF($ED$4:ED60,$EC$6:$EC$66),0),1),"")</f>
        <v/>
      </c>
      <c r="EF61" s="277" t="str">
        <f>IF(AND('1.4 Analyse &amp; Synthese'!AJ62=1,'1.4 Analyse &amp; Synthese'!F62="Empfehlung"),'1.4 Analyse &amp; Synthese'!I62&amp;CHAR(13)&amp;"("&amp;'(Codierung)'!$C$2&amp;" - "&amp;'1.4 Analyse &amp; Synthese'!C62&amp;")","")</f>
        <v/>
      </c>
      <c r="EG61" s="277" t="str">
        <f t="array" ref="EG61">_xlfn.IFNA(INDEX($EF$6:$EF$66,MATCH(0,COUNTIF($EG$4:EG60,$EF$6:$EF$66),0),1),"")</f>
        <v/>
      </c>
      <c r="EH61" s="277" t="str">
        <f>IF(AND('1.4 Analyse &amp; Synthese'!AJ62=1,'1.4 Analyse &amp; Synthese'!F62="Methode"),'1.4 Analyse &amp; Synthese'!I62&amp;CHAR(13)&amp;"("&amp;'(Codierung)'!$C$3&amp;" - "&amp;'1.4 Analyse &amp; Synthese'!C62&amp;")","")</f>
        <v/>
      </c>
      <c r="EI61" s="387" t="str">
        <f t="array" ref="EI61">_xlfn.IFNA(INDEX($EH$6:$EH$66,MATCH(0,COUNTIF($EI$4:EI60,$EH$6:$EH$66),0),1),"")</f>
        <v/>
      </c>
      <c r="EJ61" s="277" t="str">
        <f>IF(AND('1.4 Analyse &amp; Synthese'!AJ62=1,'1.4 Analyse &amp; Synthese'!F62="Werkzeug"),'1.4 Analyse &amp; Synthese'!I62&amp;CHAR(13)&amp;"("&amp;'(Codierung)'!$C$4&amp;" - "&amp;'1.4 Analyse &amp; Synthese'!C62&amp;")","")</f>
        <v/>
      </c>
      <c r="EK61" s="387" t="str">
        <f t="array" ref="EK61">_xlfn.IFNA(INDEX($EJ$6:$EJ$66,MATCH(0,COUNTIF($EK$4:EK60,$EJ$6:$EJ$66),0),1),"")</f>
        <v/>
      </c>
      <c r="EN61" s="222" t="str">
        <f t="shared" si="60"/>
        <v/>
      </c>
      <c r="EO61" s="277" t="str">
        <f t="shared" si="61"/>
        <v/>
      </c>
      <c r="EP61" s="277" t="str">
        <f t="shared" si="62"/>
        <v/>
      </c>
      <c r="EQ61" s="277" t="str">
        <f>ZahlenInBereich(Tabelle1[[Empfehlung]:[Werkzeug]],ROW()-5)</f>
        <v/>
      </c>
      <c r="ER61" s="277" t="str">
        <f t="shared" si="63"/>
        <v/>
      </c>
      <c r="ES61" s="277" t="str">
        <f t="shared" si="64"/>
        <v/>
      </c>
      <c r="ET61" s="277" t="str">
        <f t="shared" si="65"/>
        <v/>
      </c>
      <c r="EU61" s="277" t="str">
        <f>ZahlenInBereich(Tabelle1[[Empfehlung2]:[Werkzeug4]],ROW()-5)</f>
        <v/>
      </c>
      <c r="EV61" s="277" t="str">
        <f t="shared" si="66"/>
        <v/>
      </c>
      <c r="EW61" s="277" t="str">
        <f t="shared" si="67"/>
        <v/>
      </c>
      <c r="EX61" s="277" t="str">
        <f t="shared" si="68"/>
        <v/>
      </c>
      <c r="EY61" s="277" t="str">
        <f>ZahlenInBereich(Tabelle1[[Empfehlung6]:[Werkzeug8]],ROW()-5)</f>
        <v/>
      </c>
      <c r="EZ61" s="277" t="str">
        <f t="shared" si="69"/>
        <v/>
      </c>
      <c r="FA61" s="277" t="str">
        <f t="shared" si="70"/>
        <v/>
      </c>
      <c r="FB61" s="277" t="str">
        <f t="shared" si="71"/>
        <v/>
      </c>
      <c r="FC61" s="277" t="str">
        <f>ZahlenInBereich(Tabelle1[[Empfehlung10]:[Werkzeug12]],ROW()-5)</f>
        <v/>
      </c>
      <c r="FD61" s="277" t="str">
        <f t="shared" si="72"/>
        <v/>
      </c>
      <c r="FE61" s="277" t="str">
        <f t="shared" si="73"/>
        <v/>
      </c>
      <c r="FF61" s="277" t="str">
        <f t="shared" si="74"/>
        <v/>
      </c>
      <c r="FG61" s="277" t="str">
        <f>ZahlenInBereich(Tabelle1[[Empfehlung14]:[Werkzeug16]],ROW()-5)</f>
        <v/>
      </c>
      <c r="FH61" s="277" t="str">
        <f t="shared" si="75"/>
        <v/>
      </c>
      <c r="FI61" s="277" t="str">
        <f t="shared" si="76"/>
        <v/>
      </c>
      <c r="FJ61" s="277" t="str">
        <f t="shared" si="77"/>
        <v/>
      </c>
      <c r="FK61" s="277" t="str">
        <f>ZahlenInBereich(Tabelle1[[Empfehlung18]:[Werkzeug20]],ROW()-5)</f>
        <v/>
      </c>
      <c r="FL61" s="277" t="str">
        <f t="shared" si="78"/>
        <v/>
      </c>
      <c r="FM61" s="277" t="str">
        <f t="shared" si="79"/>
        <v/>
      </c>
      <c r="FN61" s="277" t="str">
        <f t="shared" si="80"/>
        <v/>
      </c>
      <c r="FO61" s="277" t="str">
        <f>ZahlenInBereich(Tabelle1[[Empfehlung22]:[Werkzeug24]],ROW()-5)</f>
        <v/>
      </c>
      <c r="FP61" s="277" t="str">
        <f t="shared" si="81"/>
        <v/>
      </c>
      <c r="FQ61" s="277" t="str">
        <f t="shared" si="82"/>
        <v/>
      </c>
      <c r="FR61" s="277" t="str">
        <f t="shared" si="83"/>
        <v/>
      </c>
      <c r="FS61" s="277" t="str">
        <f>ZahlenInBereich(Tabelle1[[Empfehlung26]:[Werkzeug28]],ROW()-5)</f>
        <v/>
      </c>
      <c r="FT61" s="277" t="str">
        <f t="shared" si="84"/>
        <v/>
      </c>
      <c r="FU61" s="277" t="str">
        <f t="shared" si="85"/>
        <v/>
      </c>
      <c r="FV61" s="277" t="str">
        <f t="shared" si="86"/>
        <v/>
      </c>
      <c r="FW61" s="277" t="str">
        <f>ZahlenInBereich(Tabelle1[[Empfehlung30]:[Werkzeug32]],ROW()-5)</f>
        <v/>
      </c>
      <c r="FX61" s="277" t="str">
        <f t="shared" si="87"/>
        <v/>
      </c>
      <c r="FY61" s="277" t="str">
        <f t="shared" si="88"/>
        <v/>
      </c>
      <c r="FZ61" s="277" t="str">
        <f t="shared" si="89"/>
        <v/>
      </c>
      <c r="GA61" s="277" t="str">
        <f>ZahlenInBereich(Tabelle1[[Empfehlung34]:[Werkzeug36]],ROW()-5)</f>
        <v/>
      </c>
      <c r="GB61" s="277" t="str">
        <f t="shared" si="90"/>
        <v/>
      </c>
      <c r="GC61" s="277" t="str">
        <f t="shared" si="91"/>
        <v/>
      </c>
      <c r="GD61" s="277" t="str">
        <f t="shared" si="92"/>
        <v/>
      </c>
      <c r="GE61" s="277" t="str">
        <f>ZahlenInBereich(Tabelle1[[Empfehlung38]:[Werkzeug40]],ROW()-5)</f>
        <v/>
      </c>
      <c r="GF61" s="277" t="str">
        <f t="shared" si="93"/>
        <v/>
      </c>
      <c r="GG61" s="277" t="str">
        <f t="shared" si="94"/>
        <v/>
      </c>
      <c r="GH61" s="277" t="str">
        <f t="shared" si="95"/>
        <v/>
      </c>
      <c r="GI61" s="277" t="str">
        <f>ZahlenInBereich(Tabelle1[[Empfehlung42]:[Werkzeug44]],ROW()-5)</f>
        <v/>
      </c>
      <c r="GJ61" s="277" t="str">
        <f t="shared" si="96"/>
        <v/>
      </c>
      <c r="GK61" s="277" t="str">
        <f t="shared" si="97"/>
        <v/>
      </c>
      <c r="GL61" s="277" t="str">
        <f t="shared" si="98"/>
        <v/>
      </c>
      <c r="GM61" s="277" t="str">
        <f>ZahlenInBereich(Tabelle1[[Empfehlung46]:[Werkzeug48]],ROW()-5)</f>
        <v/>
      </c>
      <c r="GN61" s="277" t="str">
        <f t="shared" si="99"/>
        <v/>
      </c>
      <c r="GO61" s="277" t="str">
        <f t="shared" si="100"/>
        <v/>
      </c>
      <c r="GP61" s="277" t="str">
        <f t="shared" si="101"/>
        <v/>
      </c>
      <c r="GQ61" s="277" t="str">
        <f>ZahlenInBereich(Tabelle1[[Empfehlung50]:[Werkzeug52]],ROW()-5)</f>
        <v/>
      </c>
      <c r="GR61" s="277" t="str">
        <f t="shared" si="102"/>
        <v/>
      </c>
      <c r="GS61" s="277" t="str">
        <f t="shared" si="103"/>
        <v/>
      </c>
      <c r="GT61" s="277" t="str">
        <f t="shared" si="104"/>
        <v/>
      </c>
      <c r="GU61" s="277" t="str">
        <f>ZahlenInBereich(Tabelle1[[Empfehlung54]:[Werkzeug56]],ROW()-5)</f>
        <v/>
      </c>
      <c r="GV61" s="277" t="str">
        <f t="shared" si="105"/>
        <v/>
      </c>
      <c r="GW61" s="277" t="str">
        <f t="shared" si="106"/>
        <v/>
      </c>
      <c r="GX61" s="277" t="str">
        <f t="shared" si="107"/>
        <v/>
      </c>
      <c r="GY61" s="277" t="str">
        <f>ZahlenInBereich(Tabelle1[[Empfehlung58]:[Werkzeug60]],ROW()-5)</f>
        <v/>
      </c>
      <c r="GZ61" s="277" t="str">
        <f t="shared" si="108"/>
        <v/>
      </c>
      <c r="HA61" s="277" t="str">
        <f t="shared" si="109"/>
        <v/>
      </c>
      <c r="HB61" s="277" t="str">
        <f t="shared" si="110"/>
        <v/>
      </c>
      <c r="HC61" s="277" t="str">
        <f>ZahlenInBereich(Tabelle1[[Empfehlung62]:[Werkzeug64]],ROW()-5)</f>
        <v/>
      </c>
      <c r="HD61" s="277" t="str">
        <f t="shared" si="111"/>
        <v/>
      </c>
      <c r="HE61" s="277" t="str">
        <f t="shared" si="112"/>
        <v/>
      </c>
      <c r="HF61" s="277" t="str">
        <f t="shared" si="113"/>
        <v/>
      </c>
      <c r="HG61" s="277" t="str">
        <f>ZahlenInBereich(Tabelle1[[Empfehlung66]:[Werkzeug68]],ROW()-5)</f>
        <v/>
      </c>
      <c r="HH61" s="277" t="str">
        <f t="shared" si="114"/>
        <v/>
      </c>
      <c r="HI61" s="277" t="str">
        <f t="shared" si="115"/>
        <v/>
      </c>
      <c r="HJ61" s="277" t="str">
        <f t="shared" si="116"/>
        <v/>
      </c>
      <c r="HK61" s="277" t="str">
        <f>ZahlenInBereich(Tabelle1[[Empfehlung70]:[Werkzeug72]],ROW()-5)</f>
        <v/>
      </c>
      <c r="HL61" s="277" t="str">
        <f t="shared" si="117"/>
        <v/>
      </c>
      <c r="HM61" s="277" t="str">
        <f t="shared" si="118"/>
        <v/>
      </c>
      <c r="HN61" s="277" t="str">
        <f t="shared" si="119"/>
        <v/>
      </c>
      <c r="HO61" s="277" t="str">
        <f>ZahlenInBereich(Tabelle1[[Empfehlung74]:[Werkzeug76]],ROW()-5)</f>
        <v/>
      </c>
    </row>
    <row r="62" spans="2:223" x14ac:dyDescent="0.2">
      <c r="B62" s="135">
        <f>'1.4 Analyse &amp; Synthese'!B63</f>
        <v>0</v>
      </c>
      <c r="C62" s="277" t="str">
        <f>IF(AND('1.4 Analyse &amp; Synthese'!Q63=1,'1.4 Analyse &amp; Synthese'!F63="Empfehlung"),'1.4 Analyse &amp; Synthese'!I63&amp;CHAR(13)&amp;"("&amp;'(Codierung)'!$C$2&amp;" - "&amp;'1.4 Analyse &amp; Synthese'!C63&amp;")","")</f>
        <v/>
      </c>
      <c r="D62" s="222" t="str">
        <f t="array" ref="D62">_xlfn.IFNA(INDEX($C$6:$C$66,MATCH(0,COUNTIF($D$4:D61,$C$6:$C$66),0),1),"")</f>
        <v/>
      </c>
      <c r="E62" s="277" t="str">
        <f>IF(AND('1.4 Analyse &amp; Synthese'!Q63=1,'1.4 Analyse &amp; Synthese'!F63="Methode"),'1.4 Analyse &amp; Synthese'!I63&amp;CHAR(13)&amp;"("&amp;'(Codierung)'!$C$3&amp;" - "&amp;'1.4 Analyse &amp; Synthese'!C63&amp;")","")</f>
        <v/>
      </c>
      <c r="F62" s="387" t="str">
        <f t="array" ref="F62">_xlfn.IFNA(INDEX($E$6:$E$66,MATCH(0,COUNTIF($F$4:F61,$E$6:$E$66),0),1),"")</f>
        <v/>
      </c>
      <c r="G62" s="277" t="str">
        <f>IF(AND('1.4 Analyse &amp; Synthese'!Q63=1,'1.4 Analyse &amp; Synthese'!F63="Werkzeug"),'1.4 Analyse &amp; Synthese'!I63&amp;CHAR(13)&amp;"("&amp;'(Codierung)'!$C$4&amp;" - "&amp;'1.4 Analyse &amp; Synthese'!C63&amp;")","")</f>
        <v/>
      </c>
      <c r="H62" s="387" t="str">
        <f t="array" ref="H62">_xlfn.IFNA(INDEX($G$6:$G$66,MATCH(0,COUNTIF($H$4:H61,$G$6:$G$66),0),1),"")</f>
        <v/>
      </c>
      <c r="J62" s="277" t="str">
        <f>IF(AND('1.4 Analyse &amp; Synthese'!R63=1,'1.4 Analyse &amp; Synthese'!F63="Empfehlung"),'1.4 Analyse &amp; Synthese'!I63&amp;CHAR(13)&amp;"("&amp;'(Codierung)'!$C$2&amp;" - "&amp;'1.4 Analyse &amp; Synthese'!C63&amp;")","")</f>
        <v/>
      </c>
      <c r="K62" s="387" t="str">
        <f t="array" ref="K62">_xlfn.IFNA(INDEX($J$6:$J$66,MATCH(0,COUNTIF($K$4:K61,$J$6:$J$66),0),1),"")</f>
        <v/>
      </c>
      <c r="L62" s="277" t="str">
        <f>IF(AND('1.4 Analyse &amp; Synthese'!R63=1,'1.4 Analyse &amp; Synthese'!F63="Methode"),'1.4 Analyse &amp; Synthese'!I63&amp;CHAR(13)&amp;"("&amp;'(Codierung)'!$C$3&amp;" - "&amp;'1.4 Analyse &amp; Synthese'!C63&amp;")","")</f>
        <v/>
      </c>
      <c r="M62" s="387" t="str">
        <f t="array" ref="M62">_xlfn.IFNA(INDEX($L$6:$L$66,MATCH(0,COUNTIF($M$4:M61,$L$6:$L$66),0),1),"")</f>
        <v/>
      </c>
      <c r="N62" s="277" t="str">
        <f>IF(AND('1.4 Analyse &amp; Synthese'!R63=1,'1.4 Analyse &amp; Synthese'!F63="Werkzeug"),'1.4 Analyse &amp; Synthese'!I63&amp;CHAR(13)&amp;"("&amp;'(Codierung)'!$C$4&amp;" - "&amp;'1.4 Analyse &amp; Synthese'!C63&amp;")","")</f>
        <v/>
      </c>
      <c r="O62" s="387" t="str">
        <f t="array" ref="O62">_xlfn.IFNA(INDEX($N$6:$N$66,MATCH(0,COUNTIF($O$4:O61,$N$6:$N$66),0),1),"")</f>
        <v/>
      </c>
      <c r="Q62" s="277" t="str">
        <f>IF(AND('1.4 Analyse &amp; Synthese'!S63=1,'1.4 Analyse &amp; Synthese'!F63="Empfehlung"),'1.4 Analyse &amp; Synthese'!I63&amp;CHAR(13)&amp;"("&amp;'(Codierung)'!$C$2&amp;" - "&amp;'1.4 Analyse &amp; Synthese'!C63&amp;")","")</f>
        <v/>
      </c>
      <c r="R62" s="387" t="str">
        <f t="array" ref="R62">_xlfn.IFNA(INDEX($Q$6:$Q$66,MATCH(0,COUNTIF($R$4:R61,$Q$6:$Q$66),0),1),"")</f>
        <v/>
      </c>
      <c r="S62" s="277" t="str">
        <f>IF(AND('1.4 Analyse &amp; Synthese'!S63=1,'1.4 Analyse &amp; Synthese'!F63="Methode"),'1.4 Analyse &amp; Synthese'!I63&amp;CHAR(13)&amp;"("&amp;'(Codierung)'!$C$3&amp;" - "&amp;'1.4 Analyse &amp; Synthese'!C63&amp;")","")</f>
        <v/>
      </c>
      <c r="T62" s="387" t="str">
        <f t="array" ref="T62">_xlfn.IFNA(INDEX($S$6:$S$66,MATCH(0,COUNTIF($T$4:T61,$S$6:$S$66),0),1),"")</f>
        <v/>
      </c>
      <c r="U62" s="277" t="str">
        <f>IF(AND('1.4 Analyse &amp; Synthese'!S63=1,'1.4 Analyse &amp; Synthese'!F63="Werkzeug"),'1.4 Analyse &amp; Synthese'!I63&amp;CHAR(13)&amp;"("&amp;'(Codierung)'!$C$4&amp;" - "&amp;'1.4 Analyse &amp; Synthese'!C63&amp;")","")</f>
        <v/>
      </c>
      <c r="V62" s="387" t="str">
        <f t="array" ref="V62">_xlfn.IFNA(INDEX($U$6:$U$66,MATCH(0,COUNTIF($V$4:V61,$U$6:$U$66),0),1),"")</f>
        <v/>
      </c>
      <c r="X62" s="277" t="str">
        <f>IF(AND('1.4 Analyse &amp; Synthese'!T63=1,'1.4 Analyse &amp; Synthese'!F63="Empfehlung"),'1.4 Analyse &amp; Synthese'!I63&amp;CHAR(13)&amp;"("&amp;'(Codierung)'!$C$2&amp;" - "&amp;'1.4 Analyse &amp; Synthese'!C63&amp;")","")</f>
        <v/>
      </c>
      <c r="Y62" s="387" t="str">
        <f t="array" ref="Y62">_xlfn.IFNA(INDEX($X$6:$X$66,MATCH(0,COUNTIF($Y$4:Y61,$X$6:$X$66),0),1),"")</f>
        <v/>
      </c>
      <c r="Z62" s="277" t="str">
        <f>IF(AND('1.4 Analyse &amp; Synthese'!T63=1,'1.4 Analyse &amp; Synthese'!F63="Methode"),'1.4 Analyse &amp; Synthese'!I63&amp;CHAR(13)&amp;"("&amp;'(Codierung)'!$C$3&amp;" - "&amp;'1.4 Analyse &amp; Synthese'!C63&amp;")","")</f>
        <v/>
      </c>
      <c r="AA62" s="387" t="str">
        <f t="array" ref="AA62">_xlfn.IFNA(INDEX($Z$6:$Z$66,MATCH(0,COUNTIF($AA$4:AA61,$Z$6:$Z$66),0),1),"")</f>
        <v/>
      </c>
      <c r="AB62" s="277" t="str">
        <f>IF(AND('1.4 Analyse &amp; Synthese'!T63=1,'1.4 Analyse &amp; Synthese'!F63="Werkzeug"),'1.4 Analyse &amp; Synthese'!I63&amp;CHAR(13)&amp;"("&amp;'(Codierung)'!$C$4&amp;" - "&amp;'1.4 Analyse &amp; Synthese'!C63&amp;")","")</f>
        <v/>
      </c>
      <c r="AC62" s="387" t="str">
        <f t="array" ref="AC62">_xlfn.IFNA(INDEX($AB$6:$AB$66,MATCH(0,COUNTIF($AC$4:AC61,$AB$6:$AB$66),0),1),"")</f>
        <v/>
      </c>
      <c r="AE62" s="277" t="str">
        <f>IF(AND('1.4 Analyse &amp; Synthese'!U63=1,'1.4 Analyse &amp; Synthese'!F63="Empfehlung"),'1.4 Analyse &amp; Synthese'!I63&amp;CHAR(13)&amp;"("&amp;'(Codierung)'!$C$2&amp;" - "&amp;'1.4 Analyse &amp; Synthese'!C63&amp;")","")</f>
        <v/>
      </c>
      <c r="AF62" s="387" t="str">
        <f t="array" ref="AF62">_xlfn.IFNA(INDEX($AE$6:$AE$66,MATCH(0,COUNTIF($AF$4:AF61,$AE$6:$AE$66),0),1),"")</f>
        <v/>
      </c>
      <c r="AG62" s="277" t="str">
        <f>IF(AND('1.4 Analyse &amp; Synthese'!U63=1,'1.4 Analyse &amp; Synthese'!F63="Methode"),'1.4 Analyse &amp; Synthese'!I63&amp;CHAR(13)&amp;"("&amp;'(Codierung)'!$C$3&amp;" - "&amp;'1.4 Analyse &amp; Synthese'!C63&amp;")","")</f>
        <v/>
      </c>
      <c r="AH62" s="387" t="str">
        <f t="array" ref="AH62">_xlfn.IFNA(INDEX($AG$6:$AG$66,MATCH(0,COUNTIF($AH$4:AH61,$AG$6:$AG$66),0),1),"")</f>
        <v/>
      </c>
      <c r="AI62" s="277" t="str">
        <f>IF(AND('1.4 Analyse &amp; Synthese'!U63=1,'1.4 Analyse &amp; Synthese'!F63="Werkzeug"),'1.4 Analyse &amp; Synthese'!I63&amp;CHAR(13)&amp;"("&amp;'(Codierung)'!$C$4&amp;" - "&amp;'1.4 Analyse &amp; Synthese'!C63&amp;")","")</f>
        <v/>
      </c>
      <c r="AJ62" s="387" t="str">
        <f t="array" ref="AJ62">_xlfn.IFNA(INDEX($AI$6:$AI$66,MATCH(0,COUNTIF($AJ$4:AJ61,$AI$6:$AI$66),0),1),"")</f>
        <v/>
      </c>
      <c r="AL62" s="277" t="str">
        <f>IF(AND('1.4 Analyse &amp; Synthese'!V63=1,'1.4 Analyse &amp; Synthese'!F63="Empfehlung"),'1.4 Analyse &amp; Synthese'!I63&amp;CHAR(13)&amp;"("&amp;'(Codierung)'!$C$2&amp;" - "&amp;'1.4 Analyse &amp; Synthese'!C63&amp;")","")</f>
        <v/>
      </c>
      <c r="AM62" s="387" t="str">
        <f t="array" ref="AM62">_xlfn.IFNA(INDEX($AL$6:$AL$66,MATCH(0,COUNTIF($AM$4:AM61,$AL$6:$AL$66),0),1),"")</f>
        <v/>
      </c>
      <c r="AN62" s="277" t="str">
        <f>IF(AND('1.4 Analyse &amp; Synthese'!V63=1,'1.4 Analyse &amp; Synthese'!F63="Methode"),'1.4 Analyse &amp; Synthese'!I63&amp;CHAR(13)&amp;"("&amp;'(Codierung)'!$C$3&amp;" - "&amp;'1.4 Analyse &amp; Synthese'!C63&amp;")","")</f>
        <v/>
      </c>
      <c r="AO62" s="387" t="str">
        <f t="array" ref="AO62">_xlfn.IFNA(INDEX($AN$6:$AN$66,MATCH(0,COUNTIF($AO$4:AO61,$AN$6:$AN$66),0),1),"")</f>
        <v/>
      </c>
      <c r="AP62" s="277" t="str">
        <f>IF(AND('1.4 Analyse &amp; Synthese'!V63=1,'1.4 Analyse &amp; Synthese'!F63="Werkzeug"),'1.4 Analyse &amp; Synthese'!I63&amp;CHAR(13)&amp;"("&amp;'(Codierung)'!$C$4&amp;" - "&amp;'1.4 Analyse &amp; Synthese'!C63&amp;")","")</f>
        <v/>
      </c>
      <c r="AQ62" s="387" t="str">
        <f t="array" ref="AQ62">_xlfn.IFNA(INDEX($AP$6:$AP$66,MATCH(0,COUNTIF($AQ$4:AQ61,$AP$6:$AP$66),0),1),"")</f>
        <v/>
      </c>
      <c r="AS62" s="277" t="str">
        <f>IF(AND('1.4 Analyse &amp; Synthese'!W63=1,'1.4 Analyse &amp; Synthese'!F63="Empfehlung"),'1.4 Analyse &amp; Synthese'!I63&amp;CHAR(13)&amp;"("&amp;'(Codierung)'!$C$2&amp;" - "&amp;'1.4 Analyse &amp; Synthese'!C63&amp;")","")</f>
        <v/>
      </c>
      <c r="AT62" s="387" t="str">
        <f t="array" ref="AT62">_xlfn.IFNA(INDEX($AS$6:$AS$66,MATCH(0,COUNTIF($AT$4:AT61,$AS$6:$AS$66),0),1),"")</f>
        <v/>
      </c>
      <c r="AU62" s="277" t="str">
        <f>IF(AND('1.4 Analyse &amp; Synthese'!W63=1,'1.4 Analyse &amp; Synthese'!F63="Methode"),'1.4 Analyse &amp; Synthese'!I63&amp;CHAR(13)&amp;"("&amp;'(Codierung)'!$C$3&amp;" - "&amp;'1.4 Analyse &amp; Synthese'!C63&amp;")","")</f>
        <v/>
      </c>
      <c r="AV62" s="387" t="str">
        <f t="array" ref="AV62">_xlfn.IFNA(INDEX($AU$6:$AU$66,MATCH(0,COUNTIF($AV$4:AV61,$AU$6:$AU$66),0),1),"")</f>
        <v/>
      </c>
      <c r="AW62" s="277" t="str">
        <f>IF(AND('1.4 Analyse &amp; Synthese'!W63=1,'1.4 Analyse &amp; Synthese'!F63="Werkzeug"),'1.4 Analyse &amp; Synthese'!I63&amp;CHAR(13)&amp;"("&amp;'(Codierung)'!$C$4&amp;" - "&amp;'1.4 Analyse &amp; Synthese'!C63&amp;")","")</f>
        <v/>
      </c>
      <c r="AX62" s="387" t="str">
        <f t="array" ref="AX62">_xlfn.IFNA(INDEX($AW$6:$AW$66,MATCH(0,COUNTIF($AX$4:AX61,$AW$6:$AW$66),0),1),"")</f>
        <v/>
      </c>
      <c r="AZ62" s="277" t="str">
        <f>IF(AND('1.4 Analyse &amp; Synthese'!X63=1,'1.4 Analyse &amp; Synthese'!F63="Empfehlung"),'1.4 Analyse &amp; Synthese'!I63&amp;CHAR(13)&amp;"("&amp;'(Codierung)'!$C$2&amp;" - "&amp;'1.4 Analyse &amp; Synthese'!C63&amp;")","")</f>
        <v/>
      </c>
      <c r="BA62" s="387" t="str">
        <f t="array" ref="BA62">_xlfn.IFNA(INDEX($AZ$6:$AZ$66,MATCH(0,COUNTIF($BA$4:BA61,$AZ$6:$AZ$66),0),1),"")</f>
        <v/>
      </c>
      <c r="BB62" s="277" t="str">
        <f>IF(AND('1.4 Analyse &amp; Synthese'!X63=1,'1.4 Analyse &amp; Synthese'!F63="Methode"),'1.4 Analyse &amp; Synthese'!I63&amp;CHAR(13)&amp;"("&amp;'(Codierung)'!$C$3&amp;" - "&amp;'1.4 Analyse &amp; Synthese'!C63&amp;")","")</f>
        <v/>
      </c>
      <c r="BC62" s="387" t="str">
        <f t="array" ref="BC62">_xlfn.IFNA(INDEX($BB$6:$BB$66,MATCH(0,COUNTIF($BC$4:BC61,$BB$6:$BB$66),0),1),"")</f>
        <v/>
      </c>
      <c r="BD62" s="277" t="str">
        <f>IF(AND('1.4 Analyse &amp; Synthese'!X63=1,'1.4 Analyse &amp; Synthese'!F63="Werkzeug"),'1.4 Analyse &amp; Synthese'!I63&amp;CHAR(13)&amp;"("&amp;'(Codierung)'!$C$4&amp;" - "&amp;'1.4 Analyse &amp; Synthese'!C63&amp;")","")</f>
        <v/>
      </c>
      <c r="BE62" s="387" t="str">
        <f t="array" ref="BE62">_xlfn.IFNA(INDEX($BD$6:$BD$66,MATCH(0,COUNTIF($BE$4:BE61,$BD$6:$BD$66),0),1),"")</f>
        <v/>
      </c>
      <c r="BG62" s="277" t="str">
        <f>IF(AND('1.4 Analyse &amp; Synthese'!Y63=1,'1.4 Analyse &amp; Synthese'!F63="Empfehlung"),'1.4 Analyse &amp; Synthese'!I63&amp;CHAR(13)&amp;"("&amp;'(Codierung)'!$C$2&amp;" - "&amp;'1.4 Analyse &amp; Synthese'!C63&amp;")","")</f>
        <v/>
      </c>
      <c r="BH62" s="387" t="str">
        <f t="array" ref="BH62">_xlfn.IFNA(INDEX($BG$6:$BG$66,MATCH(0,COUNTIF($BH$4:BH61,$BG$6:$BG$66),0),1),"")</f>
        <v/>
      </c>
      <c r="BI62" s="277" t="str">
        <f>IF(AND('1.4 Analyse &amp; Synthese'!Y63=1,'1.4 Analyse &amp; Synthese'!F63="Methode"),'1.4 Analyse &amp; Synthese'!I63&amp;CHAR(13)&amp;"("&amp;'(Codierung)'!$C$3&amp;" - "&amp;'1.4 Analyse &amp; Synthese'!C63&amp;")","")</f>
        <v/>
      </c>
      <c r="BJ62" s="387" t="str">
        <f t="array" ref="BJ62">_xlfn.IFNA(INDEX($BI$6:$BI$66,MATCH(0,COUNTIF($BJ$4:BJ61,$BI$6:$BI$66),0),1),"")</f>
        <v/>
      </c>
      <c r="BK62" s="277" t="str">
        <f>IF(AND('1.4 Analyse &amp; Synthese'!Y63=1,'1.4 Analyse &amp; Synthese'!F63="Werkzeug"),'1.4 Analyse &amp; Synthese'!I63&amp;CHAR(13)&amp;"("&amp;'(Codierung)'!$C$4&amp;" - "&amp;'1.4 Analyse &amp; Synthese'!C63&amp;")","")</f>
        <v/>
      </c>
      <c r="BL62" s="387" t="str">
        <f t="array" ref="BL62">_xlfn.IFNA(INDEX($BK$6:$BK$66,MATCH(0,COUNTIF($BL$4:BL61,$BK$6:$BK$66),0),1),"")</f>
        <v/>
      </c>
      <c r="BN62" s="277" t="str">
        <f>IF(AND('1.4 Analyse &amp; Synthese'!Z63=1,'1.4 Analyse &amp; Synthese'!F63="Empfehlung"),'1.4 Analyse &amp; Synthese'!I63&amp;CHAR(13)&amp;"("&amp;'(Codierung)'!$C$2&amp;" - "&amp;'1.4 Analyse &amp; Synthese'!C63&amp;")","")</f>
        <v/>
      </c>
      <c r="BO62" s="387" t="str">
        <f t="array" ref="BO62">_xlfn.IFNA(INDEX($BN$6:$BN$66,MATCH(0,COUNTIF($BO$4:BO61,$BN$6:$BN$66),0),1),"")</f>
        <v/>
      </c>
      <c r="BP62" s="277" t="str">
        <f>IF(AND('1.4 Analyse &amp; Synthese'!Z63=1,'1.4 Analyse &amp; Synthese'!F63="Methode"),'1.4 Analyse &amp; Synthese'!I63&amp;CHAR(13)&amp;"("&amp;'(Codierung)'!$C$3&amp;" - "&amp;'1.4 Analyse &amp; Synthese'!C63&amp;")","")</f>
        <v/>
      </c>
      <c r="BQ62" s="387" t="str">
        <f t="array" ref="BQ62">_xlfn.IFNA(INDEX($BP$6:$BP$66,MATCH(0,COUNTIF($BQ$4:BQ61,$BP$6:$BP$66),0),1),"")</f>
        <v/>
      </c>
      <c r="BR62" s="277" t="str">
        <f>IF(AND('1.4 Analyse &amp; Synthese'!Z63=1,'1.4 Analyse &amp; Synthese'!F63="Werkzeug"),'1.4 Analyse &amp; Synthese'!I63&amp;CHAR(13)&amp;"("&amp;'(Codierung)'!$C$4&amp;" - "&amp;'1.4 Analyse &amp; Synthese'!C63&amp;")","")</f>
        <v/>
      </c>
      <c r="BS62" s="387" t="str">
        <f t="array" ref="BS62">_xlfn.IFNA(INDEX($BR$6:$BR$66,MATCH(0,COUNTIF($BS$4:BS61,$BR$6:$BR$66),0),1),"")</f>
        <v/>
      </c>
      <c r="BU62" s="277" t="str">
        <f>IF(AND('1.4 Analyse &amp; Synthese'!AA63=1,'1.4 Analyse &amp; Synthese'!F63="Empfehlung"),'1.4 Analyse &amp; Synthese'!I63&amp;CHAR(13)&amp;"("&amp;'(Codierung)'!$C$2&amp;" - "&amp;'1.4 Analyse &amp; Synthese'!C63&amp;")","")</f>
        <v/>
      </c>
      <c r="BV62" s="387" t="str">
        <f t="array" ref="BV62">_xlfn.IFNA(INDEX($BU$6:$BU$66,MATCH(0,COUNTIF($BV$4:BV61,$BU$6:$BU$66),0),1),"")</f>
        <v/>
      </c>
      <c r="BW62" s="277" t="str">
        <f>IF(AND('1.4 Analyse &amp; Synthese'!AA63=1,'1.4 Analyse &amp; Synthese'!F63="Methode"),'1.4 Analyse &amp; Synthese'!I63&amp;CHAR(13)&amp;"("&amp;'(Codierung)'!$C$3&amp;" - "&amp;'1.4 Analyse &amp; Synthese'!C63&amp;")","")</f>
        <v/>
      </c>
      <c r="BX62" s="387" t="str">
        <f t="array" ref="BX62">_xlfn.IFNA(INDEX($BW$6:$BW$66,MATCH(0,COUNTIF($BX$4:BX61,$BW$6:$BW$66),0),1),"")</f>
        <v/>
      </c>
      <c r="BY62" s="277" t="str">
        <f>IF(AND('1.4 Analyse &amp; Synthese'!AA63=1,'1.4 Analyse &amp; Synthese'!F63="Werkzeug"),'1.4 Analyse &amp; Synthese'!I63&amp;CHAR(13)&amp;"("&amp;'(Codierung)'!$C$4&amp;" - "&amp;'1.4 Analyse &amp; Synthese'!C63&amp;")","")</f>
        <v/>
      </c>
      <c r="BZ62" s="387" t="str">
        <f t="array" ref="BZ62">_xlfn.IFNA(INDEX($BY$6:$BY$66,MATCH(0,COUNTIF($BZ$4:BZ61,$BY$6:$BY$66),0),1),"")</f>
        <v/>
      </c>
      <c r="CB62" s="277" t="str">
        <f>IF(AND('1.4 Analyse &amp; Synthese'!AB63=1,'1.4 Analyse &amp; Synthese'!F63="Empfehlung"),'1.4 Analyse &amp; Synthese'!I63&amp;CHAR(13)&amp;"("&amp;'(Codierung)'!$C$2&amp;" - "&amp;'1.4 Analyse &amp; Synthese'!C63&amp;")","")</f>
        <v/>
      </c>
      <c r="CC62" s="387" t="str">
        <f t="array" ref="CC62">_xlfn.IFNA(INDEX($CB$6:$CB$66,MATCH(0,COUNTIF($CC$4:CC61,$CB$6:$CB$66),0),1),"")</f>
        <v/>
      </c>
      <c r="CD62" s="277" t="str">
        <f>IF(AND('1.4 Analyse &amp; Synthese'!AB63=1,'1.4 Analyse &amp; Synthese'!F63="Methode"),'1.4 Analyse &amp; Synthese'!I63&amp;CHAR(13)&amp;"("&amp;'(Codierung)'!$C$3&amp;" - "&amp;'1.4 Analyse &amp; Synthese'!C63&amp;")","")</f>
        <v/>
      </c>
      <c r="CE62" s="387" t="str">
        <f t="array" ref="CE62">_xlfn.IFNA(INDEX($CD$6:$CD$66,MATCH(0,COUNTIF($CE$4:CE61,$CD$6:$CD$66),0),1),"")</f>
        <v/>
      </c>
      <c r="CF62" s="277" t="str">
        <f>IF(AND('1.4 Analyse &amp; Synthese'!AB63=1,'1.4 Analyse &amp; Synthese'!F63="Werkzeug"),'1.4 Analyse &amp; Synthese'!I63&amp;CHAR(13)&amp;"("&amp;'(Codierung)'!$C$4&amp;" - "&amp;'1.4 Analyse &amp; Synthese'!C63&amp;")","")</f>
        <v/>
      </c>
      <c r="CG62" s="387" t="str">
        <f t="array" ref="CG62">_xlfn.IFNA(INDEX($CF$6:$CF$66,MATCH(0,COUNTIF($CG$4:CG61,$CF$6:$CF$66),0),1),"")</f>
        <v/>
      </c>
      <c r="CI62" s="277" t="str">
        <f>IF(AND('1.4 Analyse &amp; Synthese'!AC63=1,'1.4 Analyse &amp; Synthese'!F63="Empfehlung"),'1.4 Analyse &amp; Synthese'!I63&amp;CHAR(13)&amp;"("&amp;'(Codierung)'!$C$2&amp;" - "&amp;'1.4 Analyse &amp; Synthese'!C63&amp;")","")</f>
        <v/>
      </c>
      <c r="CJ62" s="387" t="str">
        <f t="array" ref="CJ62">_xlfn.IFNA(INDEX($CI$6:$CI$66,MATCH(0,COUNTIF($CJ$4:CJ61,$CI$6:$CI$66),0),1),"")</f>
        <v/>
      </c>
      <c r="CK62" s="277" t="str">
        <f>IF(AND('1.4 Analyse &amp; Synthese'!AC63=1,'1.4 Analyse &amp; Synthese'!F63="Methode"),'1.4 Analyse &amp; Synthese'!I63&amp;CHAR(13)&amp;"("&amp;'(Codierung)'!$C$3&amp;" - "&amp;'1.4 Analyse &amp; Synthese'!C63&amp;")","")</f>
        <v/>
      </c>
      <c r="CL62" s="387" t="str">
        <f t="array" ref="CL62">_xlfn.IFNA(INDEX($CK$6:$CK$66,MATCH(0,COUNTIF($CL$4:CL61,$CK$6:$CK$66),0),1),"")</f>
        <v/>
      </c>
      <c r="CM62" s="277" t="str">
        <f>IF(AND('1.4 Analyse &amp; Synthese'!AC63=1,'1.4 Analyse &amp; Synthese'!F63="Werkzeug"),'1.4 Analyse &amp; Synthese'!I63&amp;CHAR(13)&amp;"("&amp;'(Codierung)'!$C$4&amp;" - "&amp;'1.4 Analyse &amp; Synthese'!C63&amp;")","")</f>
        <v/>
      </c>
      <c r="CN62" s="387" t="str">
        <f t="array" ref="CN62">_xlfn.IFNA(INDEX($CM$6:$CM$66,MATCH(0,COUNTIF($CN$4:CN61,$CM$6:$CM$66),0),1),"")</f>
        <v/>
      </c>
      <c r="CP62" s="277" t="str">
        <f>IF(AND('1.4 Analyse &amp; Synthese'!AD63=1,'1.4 Analyse &amp; Synthese'!F63="Empfehlung"),'1.4 Analyse &amp; Synthese'!I63&amp;CHAR(13)&amp;"("&amp;'(Codierung)'!$C$2&amp;" - "&amp;'1.4 Analyse &amp; Synthese'!C63&amp;")","")</f>
        <v/>
      </c>
      <c r="CQ62" s="387" t="str">
        <f t="array" ref="CQ62">_xlfn.IFNA(INDEX($CP$6:$CP$66,MATCH(0,COUNTIF($CQ$4:CQ61,$CP$6:$CP$66),0),1),"")</f>
        <v/>
      </c>
      <c r="CR62" s="277" t="str">
        <f>IF(AND('1.4 Analyse &amp; Synthese'!AD63=1,'1.4 Analyse &amp; Synthese'!F63="Methode"),'1.4 Analyse &amp; Synthese'!I63&amp;CHAR(13)&amp;"("&amp;'(Codierung)'!$C$3&amp;" - "&amp;'1.4 Analyse &amp; Synthese'!C63&amp;")","")</f>
        <v/>
      </c>
      <c r="CS62" s="387" t="str">
        <f t="array" ref="CS62">_xlfn.IFNA(INDEX($CR$6:$CR$66,MATCH(0,COUNTIF($CS$4:CS61,$CR$6:$CR$66),0),1),"")</f>
        <v/>
      </c>
      <c r="CT62" s="277" t="str">
        <f>IF(AND('1.4 Analyse &amp; Synthese'!AD63=1,'1.4 Analyse &amp; Synthese'!F63="Werkzeug"),'1.4 Analyse &amp; Synthese'!I63&amp;CHAR(13)&amp;"("&amp;'(Codierung)'!$C$4&amp;" - "&amp;'1.4 Analyse &amp; Synthese'!C63&amp;")","")</f>
        <v/>
      </c>
      <c r="CU62" s="387" t="str">
        <f t="array" ref="CU62">_xlfn.IFNA(INDEX($CT$6:$CT$66,MATCH(0,COUNTIF($CU$4:CU61,$CT$6:$CT$66),0),1),"")</f>
        <v/>
      </c>
      <c r="CW62" s="277" t="str">
        <f>IF(AND('1.4 Analyse &amp; Synthese'!AE63=1,'1.4 Analyse &amp; Synthese'!F63="Empfehlung"),'1.4 Analyse &amp; Synthese'!I63&amp;CHAR(13)&amp;"("&amp;'(Codierung)'!$C$2&amp;" - "&amp;'1.4 Analyse &amp; Synthese'!C63&amp;")","")</f>
        <v/>
      </c>
      <c r="CX62" s="387" t="str">
        <f t="array" ref="CX62">_xlfn.IFNA(INDEX($CW$6:$CW$66,MATCH(0,COUNTIF($CX$4:CX61,$CW$6:$CW$66),0),1),"")</f>
        <v/>
      </c>
      <c r="CY62" s="277" t="str">
        <f>IF(AND('1.4 Analyse &amp; Synthese'!AE63=1,'1.4 Analyse &amp; Synthese'!F63="Methode"),'1.4 Analyse &amp; Synthese'!I63&amp;CHAR(13)&amp;"("&amp;'(Codierung)'!$C$3&amp;" - "&amp;'1.4 Analyse &amp; Synthese'!C63&amp;")","")</f>
        <v/>
      </c>
      <c r="CZ62" s="387" t="str">
        <f t="array" ref="CZ62">_xlfn.IFNA(INDEX($CY$6:$CY$66,MATCH(0,COUNTIF($CZ$4:CZ61,$CY$6:$CY$66),0),1),"")</f>
        <v/>
      </c>
      <c r="DA62" s="277" t="str">
        <f>IF(AND('1.4 Analyse &amp; Synthese'!AE63=1,'1.4 Analyse &amp; Synthese'!F63="Werkzeug"),'1.4 Analyse &amp; Synthese'!I63&amp;CHAR(13)&amp;"("&amp;'(Codierung)'!$C$4&amp;" - "&amp;'1.4 Analyse &amp; Synthese'!C63&amp;")","")</f>
        <v/>
      </c>
      <c r="DB62" s="387" t="str">
        <f t="array" ref="DB62">_xlfn.IFNA(INDEX($DA$6:$DA$66,MATCH(0,COUNTIF($DB$4:DB61,$DA$6:$DA$66),0),1),"")</f>
        <v/>
      </c>
      <c r="DD62" s="277" t="str">
        <f>IF(AND('1.4 Analyse &amp; Synthese'!AF63=1,'1.4 Analyse &amp; Synthese'!F63="Empfehlung"),'1.4 Analyse &amp; Synthese'!I63&amp;CHAR(13)&amp;"("&amp;'(Codierung)'!$C$2&amp;" - "&amp;'1.4 Analyse &amp; Synthese'!C63&amp;")","")</f>
        <v/>
      </c>
      <c r="DE62" s="387" t="str">
        <f t="array" ref="DE62">_xlfn.IFNA(INDEX($DD$6:$DD$66,MATCH(0,COUNTIF($DE$4:DE61,$DD$6:$DD$66),0),1),"")</f>
        <v/>
      </c>
      <c r="DF62" s="277" t="str">
        <f>IF(AND('1.4 Analyse &amp; Synthese'!AF63=1,'1.4 Analyse &amp; Synthese'!F63="Methode"),'1.4 Analyse &amp; Synthese'!I63&amp;CHAR(13)&amp;"("&amp;'(Codierung)'!$C$3&amp;" - "&amp;'1.4 Analyse &amp; Synthese'!C63&amp;")","")</f>
        <v/>
      </c>
      <c r="DG62" s="387" t="str">
        <f t="array" ref="DG62">_xlfn.IFNA(INDEX($DF$6:$DF$66,MATCH(0,COUNTIF($DG$4:DG61,$DF$6:$DF$66),0),1),"")</f>
        <v/>
      </c>
      <c r="DH62" s="277" t="str">
        <f>IF(AND('1.4 Analyse &amp; Synthese'!AF63=1,'1.4 Analyse &amp; Synthese'!F63="Werkzeug"),'1.4 Analyse &amp; Synthese'!I63&amp;CHAR(13)&amp;"("&amp;'(Codierung)'!$C$4&amp;" - "&amp;'1.4 Analyse &amp; Synthese'!C63&amp;")","")</f>
        <v/>
      </c>
      <c r="DI62" s="387" t="str">
        <f t="array" ref="DI62">_xlfn.IFNA(INDEX($DH$6:$DH$66,MATCH(0,COUNTIF($DI$4:DI61,$DH$6:$DH$66),0),1),"")</f>
        <v/>
      </c>
      <c r="DK62" s="277" t="str">
        <f>IF(AND('1.4 Analyse &amp; Synthese'!AG63=1,'1.4 Analyse &amp; Synthese'!F63="Empfehlung"),'1.4 Analyse &amp; Synthese'!I63&amp;CHAR(13)&amp;"("&amp;'(Codierung)'!$C$2&amp;" - "&amp;'1.4 Analyse &amp; Synthese'!C63&amp;")","")</f>
        <v/>
      </c>
      <c r="DL62" s="387" t="str">
        <f t="array" ref="DL62">_xlfn.IFNA(INDEX($DK$6:$DK$66,MATCH(0,COUNTIF($DL$4:DL61,$DK$6:$DK$66),0),1),"")</f>
        <v/>
      </c>
      <c r="DM62" s="277" t="str">
        <f>IF(AND('1.4 Analyse &amp; Synthese'!AG63=1,'1.4 Analyse &amp; Synthese'!F63="Methode"),'1.4 Analyse &amp; Synthese'!I63&amp;CHAR(13)&amp;"("&amp;'(Codierung)'!$C$3&amp;" - "&amp;'1.4 Analyse &amp; Synthese'!C63&amp;")","")</f>
        <v/>
      </c>
      <c r="DN62" s="387" t="str">
        <f t="array" ref="DN62">_xlfn.IFNA(INDEX($DM$6:$DM$66,MATCH(0,COUNTIF($DN$4:DN61,$DM$6:$DM$66),0),1),"")</f>
        <v/>
      </c>
      <c r="DO62" s="277" t="str">
        <f>IF(AND('1.4 Analyse &amp; Synthese'!AG63=1,'1.4 Analyse &amp; Synthese'!F63="Werkzeug"),'1.4 Analyse &amp; Synthese'!I63&amp;CHAR(13)&amp;"("&amp;'(Codierung)'!$C$4&amp;" - "&amp;'1.4 Analyse &amp; Synthese'!C63&amp;")","")</f>
        <v/>
      </c>
      <c r="DP62" s="387" t="str">
        <f t="array" ref="DP62">_xlfn.IFNA(INDEX($DO$6:$DO$66,MATCH(0,COUNTIF($DP$4:DP61,$DO$6:$DO$66),0),1),"")</f>
        <v/>
      </c>
      <c r="DR62" s="277" t="str">
        <f>IF(AND('1.4 Analyse &amp; Synthese'!AH63=1,'1.4 Analyse &amp; Synthese'!F63="Empfehlung"),'1.4 Analyse &amp; Synthese'!I63&amp;CHAR(13)&amp;"("&amp;'(Codierung)'!$C$2&amp;" - "&amp;'1.4 Analyse &amp; Synthese'!C63&amp;")","")</f>
        <v/>
      </c>
      <c r="DS62" s="387" t="str">
        <f t="array" ref="DS62">_xlfn.IFNA(INDEX($DR$6:$DR$66,MATCH(0,COUNTIF($DS$4:DS61,$DR$6:$DR$66),0),1),"")</f>
        <v/>
      </c>
      <c r="DT62" s="277" t="str">
        <f>IF(AND('1.4 Analyse &amp; Synthese'!AH63=1,'1.4 Analyse &amp; Synthese'!F63="Methode"),'1.4 Analyse &amp; Synthese'!I63&amp;CHAR(13)&amp;"("&amp;'(Codierung)'!$C$3&amp;" - "&amp;'1.4 Analyse &amp; Synthese'!C63&amp;")","")</f>
        <v/>
      </c>
      <c r="DU62" s="387" t="str">
        <f t="array" ref="DU62">_xlfn.IFNA(INDEX($DT$6:$DT$66,MATCH(0,COUNTIF($DU$4:DU61,$DT$6:$DT$66),0),1),"")</f>
        <v/>
      </c>
      <c r="DV62" s="277" t="str">
        <f>IF(AND('1.4 Analyse &amp; Synthese'!AH63=1,'1.4 Analyse &amp; Synthese'!F63="Werkzeug"),'1.4 Analyse &amp; Synthese'!I63&amp;CHAR(13)&amp;"("&amp;'(Codierung)'!$C$4&amp;" - "&amp;'1.4 Analyse &amp; Synthese'!C63&amp;")","")</f>
        <v/>
      </c>
      <c r="DW62" s="387" t="str">
        <f t="array" ref="DW62">_xlfn.IFNA(INDEX($DV$6:$DV$66,MATCH(0,COUNTIF($DW$4:DW61,$DV$6:$DV$66),0),1),"")</f>
        <v/>
      </c>
      <c r="DY62" s="277" t="str">
        <f>IF(AND('1.4 Analyse &amp; Synthese'!AI63=1,'1.4 Analyse &amp; Synthese'!F63="Empfehlung"),'1.4 Analyse &amp; Synthese'!I63&amp;CHAR(13)&amp;"("&amp;'(Codierung)'!$C$2&amp;" - "&amp;'1.4 Analyse &amp; Synthese'!C63&amp;")","")</f>
        <v/>
      </c>
      <c r="DZ62" s="387" t="str">
        <f t="array" ref="DZ62">_xlfn.IFNA(INDEX($DY$6:$DY$66,MATCH(0,COUNTIF($DZ$4:DZ61,$DY$6:$DY$66),0),1),"")</f>
        <v/>
      </c>
      <c r="EA62" s="277" t="str">
        <f>IF(AND('1.4 Analyse &amp; Synthese'!AI63=1,'1.4 Analyse &amp; Synthese'!F63="Methode"),'1.4 Analyse &amp; Synthese'!I63&amp;CHAR(13)&amp;"("&amp;'(Codierung)'!$C$3&amp;" - "&amp;'1.4 Analyse &amp; Synthese'!C63&amp;")","")</f>
        <v/>
      </c>
      <c r="EB62" s="387" t="str">
        <f t="array" ref="EB62">_xlfn.IFNA(INDEX($EA$6:$EA$66,MATCH(0,COUNTIF($EB$4:EB61,$EA$6:$EA$66),0),1),"")</f>
        <v/>
      </c>
      <c r="EC62" s="277" t="str">
        <f>IF(AND('1.4 Analyse &amp; Synthese'!AI63=1,'1.4 Analyse &amp; Synthese'!F63="Werkzeug"),'1.4 Analyse &amp; Synthese'!I63&amp;CHAR(13)&amp;"("&amp;'(Codierung)'!$C$4&amp;" - "&amp;'1.4 Analyse &amp; Synthese'!C63&amp;")","")</f>
        <v/>
      </c>
      <c r="ED62" s="277" t="str">
        <f t="array" ref="ED62">_xlfn.IFNA(INDEX($EC$6:$EC$66,MATCH(0,COUNTIF($ED$4:ED61,$EC$6:$EC$66),0),1),"")</f>
        <v/>
      </c>
      <c r="EF62" s="277" t="str">
        <f>IF(AND('1.4 Analyse &amp; Synthese'!AJ63=1,'1.4 Analyse &amp; Synthese'!F63="Empfehlung"),'1.4 Analyse &amp; Synthese'!I63&amp;CHAR(13)&amp;"("&amp;'(Codierung)'!$C$2&amp;" - "&amp;'1.4 Analyse &amp; Synthese'!C63&amp;")","")</f>
        <v/>
      </c>
      <c r="EG62" s="277" t="str">
        <f t="array" ref="EG62">_xlfn.IFNA(INDEX($EF$6:$EF$66,MATCH(0,COUNTIF($EG$4:EG61,$EF$6:$EF$66),0),1),"")</f>
        <v/>
      </c>
      <c r="EH62" s="277" t="str">
        <f>IF(AND('1.4 Analyse &amp; Synthese'!AJ63=1,'1.4 Analyse &amp; Synthese'!F63="Methode"),'1.4 Analyse &amp; Synthese'!I63&amp;CHAR(13)&amp;"("&amp;'(Codierung)'!$C$3&amp;" - "&amp;'1.4 Analyse &amp; Synthese'!C63&amp;")","")</f>
        <v/>
      </c>
      <c r="EI62" s="387" t="str">
        <f t="array" ref="EI62">_xlfn.IFNA(INDEX($EH$6:$EH$66,MATCH(0,COUNTIF($EI$4:EI61,$EH$6:$EH$66),0),1),"")</f>
        <v/>
      </c>
      <c r="EJ62" s="277" t="str">
        <f>IF(AND('1.4 Analyse &amp; Synthese'!AJ63=1,'1.4 Analyse &amp; Synthese'!F63="Werkzeug"),'1.4 Analyse &amp; Synthese'!I63&amp;CHAR(13)&amp;"("&amp;'(Codierung)'!$C$4&amp;" - "&amp;'1.4 Analyse &amp; Synthese'!C63&amp;")","")</f>
        <v/>
      </c>
      <c r="EK62" s="387" t="str">
        <f t="array" ref="EK62">_xlfn.IFNA(INDEX($EJ$6:$EJ$66,MATCH(0,COUNTIF($EK$4:EK61,$EJ$6:$EJ$66),0),1),"")</f>
        <v/>
      </c>
      <c r="EN62" s="222" t="str">
        <f t="shared" si="60"/>
        <v/>
      </c>
      <c r="EO62" s="277" t="str">
        <f t="shared" si="61"/>
        <v/>
      </c>
      <c r="EP62" s="277" t="str">
        <f t="shared" si="62"/>
        <v/>
      </c>
      <c r="EQ62" s="277" t="str">
        <f>ZahlenInBereich(Tabelle1[[Empfehlung]:[Werkzeug]],ROW()-5)</f>
        <v/>
      </c>
      <c r="ER62" s="277" t="str">
        <f t="shared" si="63"/>
        <v/>
      </c>
      <c r="ES62" s="277" t="str">
        <f t="shared" si="64"/>
        <v/>
      </c>
      <c r="ET62" s="277" t="str">
        <f t="shared" si="65"/>
        <v/>
      </c>
      <c r="EU62" s="277" t="str">
        <f>ZahlenInBereich(Tabelle1[[Empfehlung2]:[Werkzeug4]],ROW()-5)</f>
        <v/>
      </c>
      <c r="EV62" s="277" t="str">
        <f t="shared" si="66"/>
        <v/>
      </c>
      <c r="EW62" s="277" t="str">
        <f t="shared" si="67"/>
        <v/>
      </c>
      <c r="EX62" s="277" t="str">
        <f t="shared" si="68"/>
        <v/>
      </c>
      <c r="EY62" s="277" t="str">
        <f>ZahlenInBereich(Tabelle1[[Empfehlung6]:[Werkzeug8]],ROW()-5)</f>
        <v/>
      </c>
      <c r="EZ62" s="277" t="str">
        <f t="shared" si="69"/>
        <v/>
      </c>
      <c r="FA62" s="277" t="str">
        <f t="shared" si="70"/>
        <v/>
      </c>
      <c r="FB62" s="277" t="str">
        <f t="shared" si="71"/>
        <v/>
      </c>
      <c r="FC62" s="277" t="str">
        <f>ZahlenInBereich(Tabelle1[[Empfehlung10]:[Werkzeug12]],ROW()-5)</f>
        <v/>
      </c>
      <c r="FD62" s="277" t="str">
        <f t="shared" si="72"/>
        <v/>
      </c>
      <c r="FE62" s="277" t="str">
        <f t="shared" si="73"/>
        <v/>
      </c>
      <c r="FF62" s="277" t="str">
        <f t="shared" si="74"/>
        <v/>
      </c>
      <c r="FG62" s="277" t="str">
        <f>ZahlenInBereich(Tabelle1[[Empfehlung14]:[Werkzeug16]],ROW()-5)</f>
        <v/>
      </c>
      <c r="FH62" s="277" t="str">
        <f t="shared" si="75"/>
        <v/>
      </c>
      <c r="FI62" s="277" t="str">
        <f t="shared" si="76"/>
        <v/>
      </c>
      <c r="FJ62" s="277" t="str">
        <f t="shared" si="77"/>
        <v/>
      </c>
      <c r="FK62" s="277" t="str">
        <f>ZahlenInBereich(Tabelle1[[Empfehlung18]:[Werkzeug20]],ROW()-5)</f>
        <v/>
      </c>
      <c r="FL62" s="277" t="str">
        <f t="shared" si="78"/>
        <v/>
      </c>
      <c r="FM62" s="277" t="str">
        <f t="shared" si="79"/>
        <v/>
      </c>
      <c r="FN62" s="277" t="str">
        <f t="shared" si="80"/>
        <v/>
      </c>
      <c r="FO62" s="277" t="str">
        <f>ZahlenInBereich(Tabelle1[[Empfehlung22]:[Werkzeug24]],ROW()-5)</f>
        <v/>
      </c>
      <c r="FP62" s="277" t="str">
        <f t="shared" si="81"/>
        <v/>
      </c>
      <c r="FQ62" s="277" t="str">
        <f t="shared" si="82"/>
        <v/>
      </c>
      <c r="FR62" s="277" t="str">
        <f t="shared" si="83"/>
        <v/>
      </c>
      <c r="FS62" s="277" t="str">
        <f>ZahlenInBereich(Tabelle1[[Empfehlung26]:[Werkzeug28]],ROW()-5)</f>
        <v/>
      </c>
      <c r="FT62" s="277" t="str">
        <f t="shared" si="84"/>
        <v/>
      </c>
      <c r="FU62" s="277" t="str">
        <f t="shared" si="85"/>
        <v/>
      </c>
      <c r="FV62" s="277" t="str">
        <f t="shared" si="86"/>
        <v/>
      </c>
      <c r="FW62" s="277" t="str">
        <f>ZahlenInBereich(Tabelle1[[Empfehlung30]:[Werkzeug32]],ROW()-5)</f>
        <v/>
      </c>
      <c r="FX62" s="277" t="str">
        <f t="shared" si="87"/>
        <v/>
      </c>
      <c r="FY62" s="277" t="str">
        <f t="shared" si="88"/>
        <v/>
      </c>
      <c r="FZ62" s="277" t="str">
        <f t="shared" si="89"/>
        <v/>
      </c>
      <c r="GA62" s="277" t="str">
        <f>ZahlenInBereich(Tabelle1[[Empfehlung34]:[Werkzeug36]],ROW()-5)</f>
        <v/>
      </c>
      <c r="GB62" s="277" t="str">
        <f t="shared" si="90"/>
        <v/>
      </c>
      <c r="GC62" s="277" t="str">
        <f t="shared" si="91"/>
        <v/>
      </c>
      <c r="GD62" s="277" t="str">
        <f t="shared" si="92"/>
        <v/>
      </c>
      <c r="GE62" s="277" t="str">
        <f>ZahlenInBereich(Tabelle1[[Empfehlung38]:[Werkzeug40]],ROW()-5)</f>
        <v/>
      </c>
      <c r="GF62" s="277" t="str">
        <f t="shared" si="93"/>
        <v/>
      </c>
      <c r="GG62" s="277" t="str">
        <f t="shared" si="94"/>
        <v/>
      </c>
      <c r="GH62" s="277" t="str">
        <f t="shared" si="95"/>
        <v/>
      </c>
      <c r="GI62" s="277" t="str">
        <f>ZahlenInBereich(Tabelle1[[Empfehlung42]:[Werkzeug44]],ROW()-5)</f>
        <v/>
      </c>
      <c r="GJ62" s="277" t="str">
        <f t="shared" si="96"/>
        <v/>
      </c>
      <c r="GK62" s="277" t="str">
        <f t="shared" si="97"/>
        <v/>
      </c>
      <c r="GL62" s="277" t="str">
        <f t="shared" si="98"/>
        <v/>
      </c>
      <c r="GM62" s="277" t="str">
        <f>ZahlenInBereich(Tabelle1[[Empfehlung46]:[Werkzeug48]],ROW()-5)</f>
        <v/>
      </c>
      <c r="GN62" s="277" t="str">
        <f t="shared" si="99"/>
        <v/>
      </c>
      <c r="GO62" s="277" t="str">
        <f t="shared" si="100"/>
        <v/>
      </c>
      <c r="GP62" s="277" t="str">
        <f t="shared" si="101"/>
        <v/>
      </c>
      <c r="GQ62" s="277" t="str">
        <f>ZahlenInBereich(Tabelle1[[Empfehlung50]:[Werkzeug52]],ROW()-5)</f>
        <v/>
      </c>
      <c r="GR62" s="277" t="str">
        <f t="shared" si="102"/>
        <v/>
      </c>
      <c r="GS62" s="277" t="str">
        <f t="shared" si="103"/>
        <v/>
      </c>
      <c r="GT62" s="277" t="str">
        <f t="shared" si="104"/>
        <v/>
      </c>
      <c r="GU62" s="277" t="str">
        <f>ZahlenInBereich(Tabelle1[[Empfehlung54]:[Werkzeug56]],ROW()-5)</f>
        <v/>
      </c>
      <c r="GV62" s="277" t="str">
        <f t="shared" si="105"/>
        <v/>
      </c>
      <c r="GW62" s="277" t="str">
        <f t="shared" si="106"/>
        <v/>
      </c>
      <c r="GX62" s="277" t="str">
        <f t="shared" si="107"/>
        <v/>
      </c>
      <c r="GY62" s="277" t="str">
        <f>ZahlenInBereich(Tabelle1[[Empfehlung58]:[Werkzeug60]],ROW()-5)</f>
        <v/>
      </c>
      <c r="GZ62" s="277" t="str">
        <f t="shared" si="108"/>
        <v/>
      </c>
      <c r="HA62" s="277" t="str">
        <f t="shared" si="109"/>
        <v/>
      </c>
      <c r="HB62" s="277" t="str">
        <f t="shared" si="110"/>
        <v/>
      </c>
      <c r="HC62" s="277" t="str">
        <f>ZahlenInBereich(Tabelle1[[Empfehlung62]:[Werkzeug64]],ROW()-5)</f>
        <v/>
      </c>
      <c r="HD62" s="277" t="str">
        <f t="shared" si="111"/>
        <v/>
      </c>
      <c r="HE62" s="277" t="str">
        <f t="shared" si="112"/>
        <v/>
      </c>
      <c r="HF62" s="277" t="str">
        <f t="shared" si="113"/>
        <v/>
      </c>
      <c r="HG62" s="277" t="str">
        <f>ZahlenInBereich(Tabelle1[[Empfehlung66]:[Werkzeug68]],ROW()-5)</f>
        <v/>
      </c>
      <c r="HH62" s="277" t="str">
        <f t="shared" si="114"/>
        <v/>
      </c>
      <c r="HI62" s="277" t="str">
        <f t="shared" si="115"/>
        <v/>
      </c>
      <c r="HJ62" s="277" t="str">
        <f t="shared" si="116"/>
        <v/>
      </c>
      <c r="HK62" s="277" t="str">
        <f>ZahlenInBereich(Tabelle1[[Empfehlung70]:[Werkzeug72]],ROW()-5)</f>
        <v/>
      </c>
      <c r="HL62" s="277" t="str">
        <f t="shared" si="117"/>
        <v/>
      </c>
      <c r="HM62" s="277" t="str">
        <f t="shared" si="118"/>
        <v/>
      </c>
      <c r="HN62" s="277" t="str">
        <f t="shared" si="119"/>
        <v/>
      </c>
      <c r="HO62" s="277" t="str">
        <f>ZahlenInBereich(Tabelle1[[Empfehlung74]:[Werkzeug76]],ROW()-5)</f>
        <v/>
      </c>
    </row>
    <row r="63" spans="2:223" x14ac:dyDescent="0.2">
      <c r="B63" s="135">
        <f>'1.4 Analyse &amp; Synthese'!B64</f>
        <v>0</v>
      </c>
      <c r="C63" s="277" t="str">
        <f>IF(AND('1.4 Analyse &amp; Synthese'!Q64=1,'1.4 Analyse &amp; Synthese'!F64="Empfehlung"),'1.4 Analyse &amp; Synthese'!I64&amp;CHAR(13)&amp;"("&amp;'(Codierung)'!$C$2&amp;" - "&amp;'1.4 Analyse &amp; Synthese'!C64&amp;")","")</f>
        <v/>
      </c>
      <c r="D63" s="222" t="str">
        <f t="array" ref="D63">_xlfn.IFNA(INDEX($C$6:$C$66,MATCH(0,COUNTIF($D$4:D62,$C$6:$C$66),0),1),"")</f>
        <v/>
      </c>
      <c r="E63" s="277" t="str">
        <f>IF(AND('1.4 Analyse &amp; Synthese'!Q64=1,'1.4 Analyse &amp; Synthese'!F64="Methode"),'1.4 Analyse &amp; Synthese'!I64&amp;CHAR(13)&amp;"("&amp;'(Codierung)'!$C$3&amp;" - "&amp;'1.4 Analyse &amp; Synthese'!C64&amp;")","")</f>
        <v/>
      </c>
      <c r="F63" s="387" t="str">
        <f t="array" ref="F63">_xlfn.IFNA(INDEX($E$6:$E$66,MATCH(0,COUNTIF($F$4:F62,$E$6:$E$66),0),1),"")</f>
        <v/>
      </c>
      <c r="G63" s="277" t="str">
        <f>IF(AND('1.4 Analyse &amp; Synthese'!Q64=1,'1.4 Analyse &amp; Synthese'!F64="Werkzeug"),'1.4 Analyse &amp; Synthese'!I64&amp;CHAR(13)&amp;"("&amp;'(Codierung)'!$C$4&amp;" - "&amp;'1.4 Analyse &amp; Synthese'!C64&amp;")","")</f>
        <v/>
      </c>
      <c r="H63" s="387" t="str">
        <f t="array" ref="H63">_xlfn.IFNA(INDEX($G$6:$G$66,MATCH(0,COUNTIF($H$4:H62,$G$6:$G$66),0),1),"")</f>
        <v/>
      </c>
      <c r="J63" s="277" t="str">
        <f>IF(AND('1.4 Analyse &amp; Synthese'!R64=1,'1.4 Analyse &amp; Synthese'!F64="Empfehlung"),'1.4 Analyse &amp; Synthese'!I64&amp;CHAR(13)&amp;"("&amp;'(Codierung)'!$C$2&amp;" - "&amp;'1.4 Analyse &amp; Synthese'!C64&amp;")","")</f>
        <v/>
      </c>
      <c r="K63" s="387" t="str">
        <f t="array" ref="K63">_xlfn.IFNA(INDEX($J$6:$J$66,MATCH(0,COUNTIF($K$4:K62,$J$6:$J$66),0),1),"")</f>
        <v/>
      </c>
      <c r="L63" s="277" t="str">
        <f>IF(AND('1.4 Analyse &amp; Synthese'!R64=1,'1.4 Analyse &amp; Synthese'!F64="Methode"),'1.4 Analyse &amp; Synthese'!I64&amp;CHAR(13)&amp;"("&amp;'(Codierung)'!$C$3&amp;" - "&amp;'1.4 Analyse &amp; Synthese'!C64&amp;")","")</f>
        <v/>
      </c>
      <c r="M63" s="387" t="str">
        <f t="array" ref="M63">_xlfn.IFNA(INDEX($L$6:$L$66,MATCH(0,COUNTIF($M$4:M62,$L$6:$L$66),0),1),"")</f>
        <v/>
      </c>
      <c r="N63" s="277" t="str">
        <f>IF(AND('1.4 Analyse &amp; Synthese'!R64=1,'1.4 Analyse &amp; Synthese'!F64="Werkzeug"),'1.4 Analyse &amp; Synthese'!I64&amp;CHAR(13)&amp;"("&amp;'(Codierung)'!$C$4&amp;" - "&amp;'1.4 Analyse &amp; Synthese'!C64&amp;")","")</f>
        <v/>
      </c>
      <c r="O63" s="387" t="str">
        <f t="array" ref="O63">_xlfn.IFNA(INDEX($N$6:$N$66,MATCH(0,COUNTIF($O$4:O62,$N$6:$N$66),0),1),"")</f>
        <v/>
      </c>
      <c r="Q63" s="277" t="str">
        <f>IF(AND('1.4 Analyse &amp; Synthese'!S64=1,'1.4 Analyse &amp; Synthese'!F64="Empfehlung"),'1.4 Analyse &amp; Synthese'!I64&amp;CHAR(13)&amp;"("&amp;'(Codierung)'!$C$2&amp;" - "&amp;'1.4 Analyse &amp; Synthese'!C64&amp;")","")</f>
        <v/>
      </c>
      <c r="R63" s="387" t="str">
        <f t="array" ref="R63">_xlfn.IFNA(INDEX($Q$6:$Q$66,MATCH(0,COUNTIF($R$4:R62,$Q$6:$Q$66),0),1),"")</f>
        <v/>
      </c>
      <c r="S63" s="277" t="str">
        <f>IF(AND('1.4 Analyse &amp; Synthese'!S64=1,'1.4 Analyse &amp; Synthese'!F64="Methode"),'1.4 Analyse &amp; Synthese'!I64&amp;CHAR(13)&amp;"("&amp;'(Codierung)'!$C$3&amp;" - "&amp;'1.4 Analyse &amp; Synthese'!C64&amp;")","")</f>
        <v/>
      </c>
      <c r="T63" s="387" t="str">
        <f t="array" ref="T63">_xlfn.IFNA(INDEX($S$6:$S$66,MATCH(0,COUNTIF($T$4:T62,$S$6:$S$66),0),1),"")</f>
        <v/>
      </c>
      <c r="U63" s="277" t="str">
        <f>IF(AND('1.4 Analyse &amp; Synthese'!S64=1,'1.4 Analyse &amp; Synthese'!F64="Werkzeug"),'1.4 Analyse &amp; Synthese'!I64&amp;CHAR(13)&amp;"("&amp;'(Codierung)'!$C$4&amp;" - "&amp;'1.4 Analyse &amp; Synthese'!C64&amp;")","")</f>
        <v/>
      </c>
      <c r="V63" s="387" t="str">
        <f t="array" ref="V63">_xlfn.IFNA(INDEX($U$6:$U$66,MATCH(0,COUNTIF($V$4:V62,$U$6:$U$66),0),1),"")</f>
        <v/>
      </c>
      <c r="X63" s="277" t="str">
        <f>IF(AND('1.4 Analyse &amp; Synthese'!T64=1,'1.4 Analyse &amp; Synthese'!F64="Empfehlung"),'1.4 Analyse &amp; Synthese'!I64&amp;CHAR(13)&amp;"("&amp;'(Codierung)'!$C$2&amp;" - "&amp;'1.4 Analyse &amp; Synthese'!C64&amp;")","")</f>
        <v/>
      </c>
      <c r="Y63" s="387" t="str">
        <f t="array" ref="Y63">_xlfn.IFNA(INDEX($X$6:$X$66,MATCH(0,COUNTIF($Y$4:Y62,$X$6:$X$66),0),1),"")</f>
        <v/>
      </c>
      <c r="Z63" s="277" t="str">
        <f>IF(AND('1.4 Analyse &amp; Synthese'!T64=1,'1.4 Analyse &amp; Synthese'!F64="Methode"),'1.4 Analyse &amp; Synthese'!I64&amp;CHAR(13)&amp;"("&amp;'(Codierung)'!$C$3&amp;" - "&amp;'1.4 Analyse &amp; Synthese'!C64&amp;")","")</f>
        <v/>
      </c>
      <c r="AA63" s="387" t="str">
        <f t="array" ref="AA63">_xlfn.IFNA(INDEX($Z$6:$Z$66,MATCH(0,COUNTIF($AA$4:AA62,$Z$6:$Z$66),0),1),"")</f>
        <v/>
      </c>
      <c r="AB63" s="277" t="str">
        <f>IF(AND('1.4 Analyse &amp; Synthese'!T64=1,'1.4 Analyse &amp; Synthese'!F64="Werkzeug"),'1.4 Analyse &amp; Synthese'!I64&amp;CHAR(13)&amp;"("&amp;'(Codierung)'!$C$4&amp;" - "&amp;'1.4 Analyse &amp; Synthese'!C64&amp;")","")</f>
        <v/>
      </c>
      <c r="AC63" s="387" t="str">
        <f t="array" ref="AC63">_xlfn.IFNA(INDEX($AB$6:$AB$66,MATCH(0,COUNTIF($AC$4:AC62,$AB$6:$AB$66),0),1),"")</f>
        <v/>
      </c>
      <c r="AE63" s="277" t="str">
        <f>IF(AND('1.4 Analyse &amp; Synthese'!U64=1,'1.4 Analyse &amp; Synthese'!F64="Empfehlung"),'1.4 Analyse &amp; Synthese'!I64&amp;CHAR(13)&amp;"("&amp;'(Codierung)'!$C$2&amp;" - "&amp;'1.4 Analyse &amp; Synthese'!C64&amp;")","")</f>
        <v/>
      </c>
      <c r="AF63" s="387" t="str">
        <f t="array" ref="AF63">_xlfn.IFNA(INDEX($AE$6:$AE$66,MATCH(0,COUNTIF($AF$4:AF62,$AE$6:$AE$66),0),1),"")</f>
        <v/>
      </c>
      <c r="AG63" s="277" t="str">
        <f>IF(AND('1.4 Analyse &amp; Synthese'!U64=1,'1.4 Analyse &amp; Synthese'!F64="Methode"),'1.4 Analyse &amp; Synthese'!I64&amp;CHAR(13)&amp;"("&amp;'(Codierung)'!$C$3&amp;" - "&amp;'1.4 Analyse &amp; Synthese'!C64&amp;")","")</f>
        <v/>
      </c>
      <c r="AH63" s="387" t="str">
        <f t="array" ref="AH63">_xlfn.IFNA(INDEX($AG$6:$AG$66,MATCH(0,COUNTIF($AH$4:AH62,$AG$6:$AG$66),0),1),"")</f>
        <v/>
      </c>
      <c r="AI63" s="277" t="str">
        <f>IF(AND('1.4 Analyse &amp; Synthese'!U64=1,'1.4 Analyse &amp; Synthese'!F64="Werkzeug"),'1.4 Analyse &amp; Synthese'!I64&amp;CHAR(13)&amp;"("&amp;'(Codierung)'!$C$4&amp;" - "&amp;'1.4 Analyse &amp; Synthese'!C64&amp;")","")</f>
        <v/>
      </c>
      <c r="AJ63" s="387" t="str">
        <f t="array" ref="AJ63">_xlfn.IFNA(INDEX($AI$6:$AI$66,MATCH(0,COUNTIF($AJ$4:AJ62,$AI$6:$AI$66),0),1),"")</f>
        <v/>
      </c>
      <c r="AL63" s="277" t="str">
        <f>IF(AND('1.4 Analyse &amp; Synthese'!V64=1,'1.4 Analyse &amp; Synthese'!F64="Empfehlung"),'1.4 Analyse &amp; Synthese'!I64&amp;CHAR(13)&amp;"("&amp;'(Codierung)'!$C$2&amp;" - "&amp;'1.4 Analyse &amp; Synthese'!C64&amp;")","")</f>
        <v/>
      </c>
      <c r="AM63" s="387" t="str">
        <f t="array" ref="AM63">_xlfn.IFNA(INDEX($AL$6:$AL$66,MATCH(0,COUNTIF($AM$4:AM62,$AL$6:$AL$66),0),1),"")</f>
        <v/>
      </c>
      <c r="AN63" s="277" t="str">
        <f>IF(AND('1.4 Analyse &amp; Synthese'!V64=1,'1.4 Analyse &amp; Synthese'!F64="Methode"),'1.4 Analyse &amp; Synthese'!I64&amp;CHAR(13)&amp;"("&amp;'(Codierung)'!$C$3&amp;" - "&amp;'1.4 Analyse &amp; Synthese'!C64&amp;")","")</f>
        <v/>
      </c>
      <c r="AO63" s="387" t="str">
        <f t="array" ref="AO63">_xlfn.IFNA(INDEX($AN$6:$AN$66,MATCH(0,COUNTIF($AO$4:AO62,$AN$6:$AN$66),0),1),"")</f>
        <v/>
      </c>
      <c r="AP63" s="277" t="str">
        <f>IF(AND('1.4 Analyse &amp; Synthese'!V64=1,'1.4 Analyse &amp; Synthese'!F64="Werkzeug"),'1.4 Analyse &amp; Synthese'!I64&amp;CHAR(13)&amp;"("&amp;'(Codierung)'!$C$4&amp;" - "&amp;'1.4 Analyse &amp; Synthese'!C64&amp;")","")</f>
        <v/>
      </c>
      <c r="AQ63" s="387" t="str">
        <f t="array" ref="AQ63">_xlfn.IFNA(INDEX($AP$6:$AP$66,MATCH(0,COUNTIF($AQ$4:AQ62,$AP$6:$AP$66),0),1),"")</f>
        <v/>
      </c>
      <c r="AS63" s="277" t="str">
        <f>IF(AND('1.4 Analyse &amp; Synthese'!W64=1,'1.4 Analyse &amp; Synthese'!F64="Empfehlung"),'1.4 Analyse &amp; Synthese'!I64&amp;CHAR(13)&amp;"("&amp;'(Codierung)'!$C$2&amp;" - "&amp;'1.4 Analyse &amp; Synthese'!C64&amp;")","")</f>
        <v/>
      </c>
      <c r="AT63" s="387" t="str">
        <f t="array" ref="AT63">_xlfn.IFNA(INDEX($AS$6:$AS$66,MATCH(0,COUNTIF($AT$4:AT62,$AS$6:$AS$66),0),1),"")</f>
        <v/>
      </c>
      <c r="AU63" s="277" t="str">
        <f>IF(AND('1.4 Analyse &amp; Synthese'!W64=1,'1.4 Analyse &amp; Synthese'!F64="Methode"),'1.4 Analyse &amp; Synthese'!I64&amp;CHAR(13)&amp;"("&amp;'(Codierung)'!$C$3&amp;" - "&amp;'1.4 Analyse &amp; Synthese'!C64&amp;")","")</f>
        <v/>
      </c>
      <c r="AV63" s="387" t="str">
        <f t="array" ref="AV63">_xlfn.IFNA(INDEX($AU$6:$AU$66,MATCH(0,COUNTIF($AV$4:AV62,$AU$6:$AU$66),0),1),"")</f>
        <v/>
      </c>
      <c r="AW63" s="277" t="str">
        <f>IF(AND('1.4 Analyse &amp; Synthese'!W64=1,'1.4 Analyse &amp; Synthese'!F64="Werkzeug"),'1.4 Analyse &amp; Synthese'!I64&amp;CHAR(13)&amp;"("&amp;'(Codierung)'!$C$4&amp;" - "&amp;'1.4 Analyse &amp; Synthese'!C64&amp;")","")</f>
        <v/>
      </c>
      <c r="AX63" s="387" t="str">
        <f t="array" ref="AX63">_xlfn.IFNA(INDEX($AW$6:$AW$66,MATCH(0,COUNTIF($AX$4:AX62,$AW$6:$AW$66),0),1),"")</f>
        <v/>
      </c>
      <c r="AZ63" s="277" t="str">
        <f>IF(AND('1.4 Analyse &amp; Synthese'!X64=1,'1.4 Analyse &amp; Synthese'!F64="Empfehlung"),'1.4 Analyse &amp; Synthese'!I64&amp;CHAR(13)&amp;"("&amp;'(Codierung)'!$C$2&amp;" - "&amp;'1.4 Analyse &amp; Synthese'!C64&amp;")","")</f>
        <v/>
      </c>
      <c r="BA63" s="387" t="str">
        <f t="array" ref="BA63">_xlfn.IFNA(INDEX($AZ$6:$AZ$66,MATCH(0,COUNTIF($BA$4:BA62,$AZ$6:$AZ$66),0),1),"")</f>
        <v/>
      </c>
      <c r="BB63" s="277" t="str">
        <f>IF(AND('1.4 Analyse &amp; Synthese'!X64=1,'1.4 Analyse &amp; Synthese'!F64="Methode"),'1.4 Analyse &amp; Synthese'!I64&amp;CHAR(13)&amp;"("&amp;'(Codierung)'!$C$3&amp;" - "&amp;'1.4 Analyse &amp; Synthese'!C64&amp;")","")</f>
        <v/>
      </c>
      <c r="BC63" s="387" t="str">
        <f t="array" ref="BC63">_xlfn.IFNA(INDEX($BB$6:$BB$66,MATCH(0,COUNTIF($BC$4:BC62,$BB$6:$BB$66),0),1),"")</f>
        <v/>
      </c>
      <c r="BD63" s="277" t="str">
        <f>IF(AND('1.4 Analyse &amp; Synthese'!X64=1,'1.4 Analyse &amp; Synthese'!F64="Werkzeug"),'1.4 Analyse &amp; Synthese'!I64&amp;CHAR(13)&amp;"("&amp;'(Codierung)'!$C$4&amp;" - "&amp;'1.4 Analyse &amp; Synthese'!C64&amp;")","")</f>
        <v/>
      </c>
      <c r="BE63" s="387" t="str">
        <f t="array" ref="BE63">_xlfn.IFNA(INDEX($BD$6:$BD$66,MATCH(0,COUNTIF($BE$4:BE62,$BD$6:$BD$66),0),1),"")</f>
        <v/>
      </c>
      <c r="BG63" s="277" t="str">
        <f>IF(AND('1.4 Analyse &amp; Synthese'!Y64=1,'1.4 Analyse &amp; Synthese'!F64="Empfehlung"),'1.4 Analyse &amp; Synthese'!I64&amp;CHAR(13)&amp;"("&amp;'(Codierung)'!$C$2&amp;" - "&amp;'1.4 Analyse &amp; Synthese'!C64&amp;")","")</f>
        <v/>
      </c>
      <c r="BH63" s="387" t="str">
        <f t="array" ref="BH63">_xlfn.IFNA(INDEX($BG$6:$BG$66,MATCH(0,COUNTIF($BH$4:BH62,$BG$6:$BG$66),0),1),"")</f>
        <v/>
      </c>
      <c r="BI63" s="277" t="str">
        <f>IF(AND('1.4 Analyse &amp; Synthese'!Y64=1,'1.4 Analyse &amp; Synthese'!F64="Methode"),'1.4 Analyse &amp; Synthese'!I64&amp;CHAR(13)&amp;"("&amp;'(Codierung)'!$C$3&amp;" - "&amp;'1.4 Analyse &amp; Synthese'!C64&amp;")","")</f>
        <v/>
      </c>
      <c r="BJ63" s="387" t="str">
        <f t="array" ref="BJ63">_xlfn.IFNA(INDEX($BI$6:$BI$66,MATCH(0,COUNTIF($BJ$4:BJ62,$BI$6:$BI$66),0),1),"")</f>
        <v/>
      </c>
      <c r="BK63" s="277" t="str">
        <f>IF(AND('1.4 Analyse &amp; Synthese'!Y64=1,'1.4 Analyse &amp; Synthese'!F64="Werkzeug"),'1.4 Analyse &amp; Synthese'!I64&amp;CHAR(13)&amp;"("&amp;'(Codierung)'!$C$4&amp;" - "&amp;'1.4 Analyse &amp; Synthese'!C64&amp;")","")</f>
        <v/>
      </c>
      <c r="BL63" s="387" t="str">
        <f t="array" ref="BL63">_xlfn.IFNA(INDEX($BK$6:$BK$66,MATCH(0,COUNTIF($BL$4:BL62,$BK$6:$BK$66),0),1),"")</f>
        <v/>
      </c>
      <c r="BN63" s="277" t="str">
        <f>IF(AND('1.4 Analyse &amp; Synthese'!Z64=1,'1.4 Analyse &amp; Synthese'!F64="Empfehlung"),'1.4 Analyse &amp; Synthese'!I64&amp;CHAR(13)&amp;"("&amp;'(Codierung)'!$C$2&amp;" - "&amp;'1.4 Analyse &amp; Synthese'!C64&amp;")","")</f>
        <v/>
      </c>
      <c r="BO63" s="387" t="str">
        <f t="array" ref="BO63">_xlfn.IFNA(INDEX($BN$6:$BN$66,MATCH(0,COUNTIF($BO$4:BO62,$BN$6:$BN$66),0),1),"")</f>
        <v/>
      </c>
      <c r="BP63" s="277" t="str">
        <f>IF(AND('1.4 Analyse &amp; Synthese'!Z64=1,'1.4 Analyse &amp; Synthese'!F64="Methode"),'1.4 Analyse &amp; Synthese'!I64&amp;CHAR(13)&amp;"("&amp;'(Codierung)'!$C$3&amp;" - "&amp;'1.4 Analyse &amp; Synthese'!C64&amp;")","")</f>
        <v/>
      </c>
      <c r="BQ63" s="387" t="str">
        <f t="array" ref="BQ63">_xlfn.IFNA(INDEX($BP$6:$BP$66,MATCH(0,COUNTIF($BQ$4:BQ62,$BP$6:$BP$66),0),1),"")</f>
        <v/>
      </c>
      <c r="BR63" s="277" t="str">
        <f>IF(AND('1.4 Analyse &amp; Synthese'!Z64=1,'1.4 Analyse &amp; Synthese'!F64="Werkzeug"),'1.4 Analyse &amp; Synthese'!I64&amp;CHAR(13)&amp;"("&amp;'(Codierung)'!$C$4&amp;" - "&amp;'1.4 Analyse &amp; Synthese'!C64&amp;")","")</f>
        <v/>
      </c>
      <c r="BS63" s="387" t="str">
        <f t="array" ref="BS63">_xlfn.IFNA(INDEX($BR$6:$BR$66,MATCH(0,COUNTIF($BS$4:BS62,$BR$6:$BR$66),0),1),"")</f>
        <v/>
      </c>
      <c r="BU63" s="277" t="str">
        <f>IF(AND('1.4 Analyse &amp; Synthese'!AA64=1,'1.4 Analyse &amp; Synthese'!F64="Empfehlung"),'1.4 Analyse &amp; Synthese'!I64&amp;CHAR(13)&amp;"("&amp;'(Codierung)'!$C$2&amp;" - "&amp;'1.4 Analyse &amp; Synthese'!C64&amp;")","")</f>
        <v/>
      </c>
      <c r="BV63" s="387" t="str">
        <f t="array" ref="BV63">_xlfn.IFNA(INDEX($BU$6:$BU$66,MATCH(0,COUNTIF($BV$4:BV62,$BU$6:$BU$66),0),1),"")</f>
        <v/>
      </c>
      <c r="BW63" s="277" t="str">
        <f>IF(AND('1.4 Analyse &amp; Synthese'!AA64=1,'1.4 Analyse &amp; Synthese'!F64="Methode"),'1.4 Analyse &amp; Synthese'!I64&amp;CHAR(13)&amp;"("&amp;'(Codierung)'!$C$3&amp;" - "&amp;'1.4 Analyse &amp; Synthese'!C64&amp;")","")</f>
        <v/>
      </c>
      <c r="BX63" s="387" t="str">
        <f t="array" ref="BX63">_xlfn.IFNA(INDEX($BW$6:$BW$66,MATCH(0,COUNTIF($BX$4:BX62,$BW$6:$BW$66),0),1),"")</f>
        <v/>
      </c>
      <c r="BY63" s="277" t="str">
        <f>IF(AND('1.4 Analyse &amp; Synthese'!AA64=1,'1.4 Analyse &amp; Synthese'!F64="Werkzeug"),'1.4 Analyse &amp; Synthese'!I64&amp;CHAR(13)&amp;"("&amp;'(Codierung)'!$C$4&amp;" - "&amp;'1.4 Analyse &amp; Synthese'!C64&amp;")","")</f>
        <v/>
      </c>
      <c r="BZ63" s="387" t="str">
        <f t="array" ref="BZ63">_xlfn.IFNA(INDEX($BY$6:$BY$66,MATCH(0,COUNTIF($BZ$4:BZ62,$BY$6:$BY$66),0),1),"")</f>
        <v/>
      </c>
      <c r="CB63" s="277" t="str">
        <f>IF(AND('1.4 Analyse &amp; Synthese'!AB64=1,'1.4 Analyse &amp; Synthese'!F64="Empfehlung"),'1.4 Analyse &amp; Synthese'!I64&amp;CHAR(13)&amp;"("&amp;'(Codierung)'!$C$2&amp;" - "&amp;'1.4 Analyse &amp; Synthese'!C64&amp;")","")</f>
        <v/>
      </c>
      <c r="CC63" s="387" t="str">
        <f t="array" ref="CC63">_xlfn.IFNA(INDEX($CB$6:$CB$66,MATCH(0,COUNTIF($CC$4:CC62,$CB$6:$CB$66),0),1),"")</f>
        <v/>
      </c>
      <c r="CD63" s="277" t="str">
        <f>IF(AND('1.4 Analyse &amp; Synthese'!AB64=1,'1.4 Analyse &amp; Synthese'!F64="Methode"),'1.4 Analyse &amp; Synthese'!I64&amp;CHAR(13)&amp;"("&amp;'(Codierung)'!$C$3&amp;" - "&amp;'1.4 Analyse &amp; Synthese'!C64&amp;")","")</f>
        <v/>
      </c>
      <c r="CE63" s="387" t="str">
        <f t="array" ref="CE63">_xlfn.IFNA(INDEX($CD$6:$CD$66,MATCH(0,COUNTIF($CE$4:CE62,$CD$6:$CD$66),0),1),"")</f>
        <v/>
      </c>
      <c r="CF63" s="277" t="str">
        <f>IF(AND('1.4 Analyse &amp; Synthese'!AB64=1,'1.4 Analyse &amp; Synthese'!F64="Werkzeug"),'1.4 Analyse &amp; Synthese'!I64&amp;CHAR(13)&amp;"("&amp;'(Codierung)'!$C$4&amp;" - "&amp;'1.4 Analyse &amp; Synthese'!C64&amp;")","")</f>
        <v/>
      </c>
      <c r="CG63" s="387" t="str">
        <f t="array" ref="CG63">_xlfn.IFNA(INDEX($CF$6:$CF$66,MATCH(0,COUNTIF($CG$4:CG62,$CF$6:$CF$66),0),1),"")</f>
        <v/>
      </c>
      <c r="CI63" s="277" t="str">
        <f>IF(AND('1.4 Analyse &amp; Synthese'!AC64=1,'1.4 Analyse &amp; Synthese'!F64="Empfehlung"),'1.4 Analyse &amp; Synthese'!I64&amp;CHAR(13)&amp;"("&amp;'(Codierung)'!$C$2&amp;" - "&amp;'1.4 Analyse &amp; Synthese'!C64&amp;")","")</f>
        <v/>
      </c>
      <c r="CJ63" s="387" t="str">
        <f t="array" ref="CJ63">_xlfn.IFNA(INDEX($CI$6:$CI$66,MATCH(0,COUNTIF($CJ$4:CJ62,$CI$6:$CI$66),0),1),"")</f>
        <v/>
      </c>
      <c r="CK63" s="277" t="str">
        <f>IF(AND('1.4 Analyse &amp; Synthese'!AC64=1,'1.4 Analyse &amp; Synthese'!F64="Methode"),'1.4 Analyse &amp; Synthese'!I64&amp;CHAR(13)&amp;"("&amp;'(Codierung)'!$C$3&amp;" - "&amp;'1.4 Analyse &amp; Synthese'!C64&amp;")","")</f>
        <v/>
      </c>
      <c r="CL63" s="387" t="str">
        <f t="array" ref="CL63">_xlfn.IFNA(INDEX($CK$6:$CK$66,MATCH(0,COUNTIF($CL$4:CL62,$CK$6:$CK$66),0),1),"")</f>
        <v/>
      </c>
      <c r="CM63" s="277" t="str">
        <f>IF(AND('1.4 Analyse &amp; Synthese'!AC64=1,'1.4 Analyse &amp; Synthese'!F64="Werkzeug"),'1.4 Analyse &amp; Synthese'!I64&amp;CHAR(13)&amp;"("&amp;'(Codierung)'!$C$4&amp;" - "&amp;'1.4 Analyse &amp; Synthese'!C64&amp;")","")</f>
        <v/>
      </c>
      <c r="CN63" s="387" t="str">
        <f t="array" ref="CN63">_xlfn.IFNA(INDEX($CM$6:$CM$66,MATCH(0,COUNTIF($CN$4:CN62,$CM$6:$CM$66),0),1),"")</f>
        <v/>
      </c>
      <c r="CP63" s="277" t="str">
        <f>IF(AND('1.4 Analyse &amp; Synthese'!AD64=1,'1.4 Analyse &amp; Synthese'!F64="Empfehlung"),'1.4 Analyse &amp; Synthese'!I64&amp;CHAR(13)&amp;"("&amp;'(Codierung)'!$C$2&amp;" - "&amp;'1.4 Analyse &amp; Synthese'!C64&amp;")","")</f>
        <v/>
      </c>
      <c r="CQ63" s="387" t="str">
        <f t="array" ref="CQ63">_xlfn.IFNA(INDEX($CP$6:$CP$66,MATCH(0,COUNTIF($CQ$4:CQ62,$CP$6:$CP$66),0),1),"")</f>
        <v/>
      </c>
      <c r="CR63" s="277" t="str">
        <f>IF(AND('1.4 Analyse &amp; Synthese'!AD64=1,'1.4 Analyse &amp; Synthese'!F64="Methode"),'1.4 Analyse &amp; Synthese'!I64&amp;CHAR(13)&amp;"("&amp;'(Codierung)'!$C$3&amp;" - "&amp;'1.4 Analyse &amp; Synthese'!C64&amp;")","")</f>
        <v/>
      </c>
      <c r="CS63" s="387" t="str">
        <f t="array" ref="CS63">_xlfn.IFNA(INDEX($CR$6:$CR$66,MATCH(0,COUNTIF($CS$4:CS62,$CR$6:$CR$66),0),1),"")</f>
        <v/>
      </c>
      <c r="CT63" s="277" t="str">
        <f>IF(AND('1.4 Analyse &amp; Synthese'!AD64=1,'1.4 Analyse &amp; Synthese'!F64="Werkzeug"),'1.4 Analyse &amp; Synthese'!I64&amp;CHAR(13)&amp;"("&amp;'(Codierung)'!$C$4&amp;" - "&amp;'1.4 Analyse &amp; Synthese'!C64&amp;")","")</f>
        <v/>
      </c>
      <c r="CU63" s="387" t="str">
        <f t="array" ref="CU63">_xlfn.IFNA(INDEX($CT$6:$CT$66,MATCH(0,COUNTIF($CU$4:CU62,$CT$6:$CT$66),0),1),"")</f>
        <v/>
      </c>
      <c r="CW63" s="277" t="str">
        <f>IF(AND('1.4 Analyse &amp; Synthese'!AE64=1,'1.4 Analyse &amp; Synthese'!F64="Empfehlung"),'1.4 Analyse &amp; Synthese'!I64&amp;CHAR(13)&amp;"("&amp;'(Codierung)'!$C$2&amp;" - "&amp;'1.4 Analyse &amp; Synthese'!C64&amp;")","")</f>
        <v/>
      </c>
      <c r="CX63" s="387" t="str">
        <f t="array" ref="CX63">_xlfn.IFNA(INDEX($CW$6:$CW$66,MATCH(0,COUNTIF($CX$4:CX62,$CW$6:$CW$66),0),1),"")</f>
        <v/>
      </c>
      <c r="CY63" s="277" t="str">
        <f>IF(AND('1.4 Analyse &amp; Synthese'!AE64=1,'1.4 Analyse &amp; Synthese'!F64="Methode"),'1.4 Analyse &amp; Synthese'!I64&amp;CHAR(13)&amp;"("&amp;'(Codierung)'!$C$3&amp;" - "&amp;'1.4 Analyse &amp; Synthese'!C64&amp;")","")</f>
        <v/>
      </c>
      <c r="CZ63" s="387" t="str">
        <f t="array" ref="CZ63">_xlfn.IFNA(INDEX($CY$6:$CY$66,MATCH(0,COUNTIF($CZ$4:CZ62,$CY$6:$CY$66),0),1),"")</f>
        <v/>
      </c>
      <c r="DA63" s="277" t="str">
        <f>IF(AND('1.4 Analyse &amp; Synthese'!AE64=1,'1.4 Analyse &amp; Synthese'!F64="Werkzeug"),'1.4 Analyse &amp; Synthese'!I64&amp;CHAR(13)&amp;"("&amp;'(Codierung)'!$C$4&amp;" - "&amp;'1.4 Analyse &amp; Synthese'!C64&amp;")","")</f>
        <v/>
      </c>
      <c r="DB63" s="387" t="str">
        <f t="array" ref="DB63">_xlfn.IFNA(INDEX($DA$6:$DA$66,MATCH(0,COUNTIF($DB$4:DB62,$DA$6:$DA$66),0),1),"")</f>
        <v/>
      </c>
      <c r="DD63" s="277" t="str">
        <f>IF(AND('1.4 Analyse &amp; Synthese'!AF64=1,'1.4 Analyse &amp; Synthese'!F64="Empfehlung"),'1.4 Analyse &amp; Synthese'!I64&amp;CHAR(13)&amp;"("&amp;'(Codierung)'!$C$2&amp;" - "&amp;'1.4 Analyse &amp; Synthese'!C64&amp;")","")</f>
        <v/>
      </c>
      <c r="DE63" s="387" t="str">
        <f t="array" ref="DE63">_xlfn.IFNA(INDEX($DD$6:$DD$66,MATCH(0,COUNTIF($DE$4:DE62,$DD$6:$DD$66),0),1),"")</f>
        <v/>
      </c>
      <c r="DF63" s="277" t="str">
        <f>IF(AND('1.4 Analyse &amp; Synthese'!AF64=1,'1.4 Analyse &amp; Synthese'!F64="Methode"),'1.4 Analyse &amp; Synthese'!I64&amp;CHAR(13)&amp;"("&amp;'(Codierung)'!$C$3&amp;" - "&amp;'1.4 Analyse &amp; Synthese'!C64&amp;")","")</f>
        <v/>
      </c>
      <c r="DG63" s="387" t="str">
        <f t="array" ref="DG63">_xlfn.IFNA(INDEX($DF$6:$DF$66,MATCH(0,COUNTIF($DG$4:DG62,$DF$6:$DF$66),0),1),"")</f>
        <v/>
      </c>
      <c r="DH63" s="277" t="str">
        <f>IF(AND('1.4 Analyse &amp; Synthese'!AF64=1,'1.4 Analyse &amp; Synthese'!F64="Werkzeug"),'1.4 Analyse &amp; Synthese'!I64&amp;CHAR(13)&amp;"("&amp;'(Codierung)'!$C$4&amp;" - "&amp;'1.4 Analyse &amp; Synthese'!C64&amp;")","")</f>
        <v/>
      </c>
      <c r="DI63" s="387" t="str">
        <f t="array" ref="DI63">_xlfn.IFNA(INDEX($DH$6:$DH$66,MATCH(0,COUNTIF($DI$4:DI62,$DH$6:$DH$66),0),1),"")</f>
        <v/>
      </c>
      <c r="DK63" s="277" t="str">
        <f>IF(AND('1.4 Analyse &amp; Synthese'!AG64=1,'1.4 Analyse &amp; Synthese'!F64="Empfehlung"),'1.4 Analyse &amp; Synthese'!I64&amp;CHAR(13)&amp;"("&amp;'(Codierung)'!$C$2&amp;" - "&amp;'1.4 Analyse &amp; Synthese'!C64&amp;")","")</f>
        <v/>
      </c>
      <c r="DL63" s="387" t="str">
        <f t="array" ref="DL63">_xlfn.IFNA(INDEX($DK$6:$DK$66,MATCH(0,COUNTIF($DL$4:DL62,$DK$6:$DK$66),0),1),"")</f>
        <v/>
      </c>
      <c r="DM63" s="277" t="str">
        <f>IF(AND('1.4 Analyse &amp; Synthese'!AG64=1,'1.4 Analyse &amp; Synthese'!F64="Methode"),'1.4 Analyse &amp; Synthese'!I64&amp;CHAR(13)&amp;"("&amp;'(Codierung)'!$C$3&amp;" - "&amp;'1.4 Analyse &amp; Synthese'!C64&amp;")","")</f>
        <v/>
      </c>
      <c r="DN63" s="387" t="str">
        <f t="array" ref="DN63">_xlfn.IFNA(INDEX($DM$6:$DM$66,MATCH(0,COUNTIF($DN$4:DN62,$DM$6:$DM$66),0),1),"")</f>
        <v/>
      </c>
      <c r="DO63" s="277" t="str">
        <f>IF(AND('1.4 Analyse &amp; Synthese'!AG64=1,'1.4 Analyse &amp; Synthese'!F64="Werkzeug"),'1.4 Analyse &amp; Synthese'!I64&amp;CHAR(13)&amp;"("&amp;'(Codierung)'!$C$4&amp;" - "&amp;'1.4 Analyse &amp; Synthese'!C64&amp;")","")</f>
        <v/>
      </c>
      <c r="DP63" s="387" t="str">
        <f t="array" ref="DP63">_xlfn.IFNA(INDEX($DO$6:$DO$66,MATCH(0,COUNTIF($DP$4:DP62,$DO$6:$DO$66),0),1),"")</f>
        <v/>
      </c>
      <c r="DR63" s="277" t="str">
        <f>IF(AND('1.4 Analyse &amp; Synthese'!AH64=1,'1.4 Analyse &amp; Synthese'!F64="Empfehlung"),'1.4 Analyse &amp; Synthese'!I64&amp;CHAR(13)&amp;"("&amp;'(Codierung)'!$C$2&amp;" - "&amp;'1.4 Analyse &amp; Synthese'!C64&amp;")","")</f>
        <v/>
      </c>
      <c r="DS63" s="387" t="str">
        <f t="array" ref="DS63">_xlfn.IFNA(INDEX($DR$6:$DR$66,MATCH(0,COUNTIF($DS$4:DS62,$DR$6:$DR$66),0),1),"")</f>
        <v/>
      </c>
      <c r="DT63" s="277" t="str">
        <f>IF(AND('1.4 Analyse &amp; Synthese'!AH64=1,'1.4 Analyse &amp; Synthese'!F64="Methode"),'1.4 Analyse &amp; Synthese'!I64&amp;CHAR(13)&amp;"("&amp;'(Codierung)'!$C$3&amp;" - "&amp;'1.4 Analyse &amp; Synthese'!C64&amp;")","")</f>
        <v/>
      </c>
      <c r="DU63" s="387" t="str">
        <f t="array" ref="DU63">_xlfn.IFNA(INDEX($DT$6:$DT$66,MATCH(0,COUNTIF($DU$4:DU62,$DT$6:$DT$66),0),1),"")</f>
        <v/>
      </c>
      <c r="DV63" s="277" t="str">
        <f>IF(AND('1.4 Analyse &amp; Synthese'!AH64=1,'1.4 Analyse &amp; Synthese'!F64="Werkzeug"),'1.4 Analyse &amp; Synthese'!I64&amp;CHAR(13)&amp;"("&amp;'(Codierung)'!$C$4&amp;" - "&amp;'1.4 Analyse &amp; Synthese'!C64&amp;")","")</f>
        <v/>
      </c>
      <c r="DW63" s="387" t="str">
        <f t="array" ref="DW63">_xlfn.IFNA(INDEX($DV$6:$DV$66,MATCH(0,COUNTIF($DW$4:DW62,$DV$6:$DV$66),0),1),"")</f>
        <v/>
      </c>
      <c r="DY63" s="277" t="str">
        <f>IF(AND('1.4 Analyse &amp; Synthese'!AI64=1,'1.4 Analyse &amp; Synthese'!F64="Empfehlung"),'1.4 Analyse &amp; Synthese'!I64&amp;CHAR(13)&amp;"("&amp;'(Codierung)'!$C$2&amp;" - "&amp;'1.4 Analyse &amp; Synthese'!C64&amp;")","")</f>
        <v/>
      </c>
      <c r="DZ63" s="387" t="str">
        <f t="array" ref="DZ63">_xlfn.IFNA(INDEX($DY$6:$DY$66,MATCH(0,COUNTIF($DZ$4:DZ62,$DY$6:$DY$66),0),1),"")</f>
        <v/>
      </c>
      <c r="EA63" s="277" t="str">
        <f>IF(AND('1.4 Analyse &amp; Synthese'!AI64=1,'1.4 Analyse &amp; Synthese'!F64="Methode"),'1.4 Analyse &amp; Synthese'!I64&amp;CHAR(13)&amp;"("&amp;'(Codierung)'!$C$3&amp;" - "&amp;'1.4 Analyse &amp; Synthese'!C64&amp;")","")</f>
        <v/>
      </c>
      <c r="EB63" s="387" t="str">
        <f t="array" ref="EB63">_xlfn.IFNA(INDEX($EA$6:$EA$66,MATCH(0,COUNTIF($EB$4:EB62,$EA$6:$EA$66),0),1),"")</f>
        <v/>
      </c>
      <c r="EC63" s="277" t="str">
        <f>IF(AND('1.4 Analyse &amp; Synthese'!AI64=1,'1.4 Analyse &amp; Synthese'!F64="Werkzeug"),'1.4 Analyse &amp; Synthese'!I64&amp;CHAR(13)&amp;"("&amp;'(Codierung)'!$C$4&amp;" - "&amp;'1.4 Analyse &amp; Synthese'!C64&amp;")","")</f>
        <v/>
      </c>
      <c r="ED63" s="277" t="str">
        <f t="array" ref="ED63">_xlfn.IFNA(INDEX($EC$6:$EC$66,MATCH(0,COUNTIF($ED$4:ED62,$EC$6:$EC$66),0),1),"")</f>
        <v/>
      </c>
      <c r="EF63" s="277" t="str">
        <f>IF(AND('1.4 Analyse &amp; Synthese'!AJ64=1,'1.4 Analyse &amp; Synthese'!F64="Empfehlung"),'1.4 Analyse &amp; Synthese'!I64&amp;CHAR(13)&amp;"("&amp;'(Codierung)'!$C$2&amp;" - "&amp;'1.4 Analyse &amp; Synthese'!C64&amp;")","")</f>
        <v/>
      </c>
      <c r="EG63" s="277" t="str">
        <f t="array" ref="EG63">_xlfn.IFNA(INDEX($EF$6:$EF$66,MATCH(0,COUNTIF($EG$4:EG62,$EF$6:$EF$66),0),1),"")</f>
        <v/>
      </c>
      <c r="EH63" s="277" t="str">
        <f>IF(AND('1.4 Analyse &amp; Synthese'!AJ64=1,'1.4 Analyse &amp; Synthese'!F64="Methode"),'1.4 Analyse &amp; Synthese'!I64&amp;CHAR(13)&amp;"("&amp;'(Codierung)'!$C$3&amp;" - "&amp;'1.4 Analyse &amp; Synthese'!C64&amp;")","")</f>
        <v/>
      </c>
      <c r="EI63" s="387" t="str">
        <f t="array" ref="EI63">_xlfn.IFNA(INDEX($EH$6:$EH$66,MATCH(0,COUNTIF($EI$4:EI62,$EH$6:$EH$66),0),1),"")</f>
        <v/>
      </c>
      <c r="EJ63" s="277" t="str">
        <f>IF(AND('1.4 Analyse &amp; Synthese'!AJ64=1,'1.4 Analyse &amp; Synthese'!F64="Werkzeug"),'1.4 Analyse &amp; Synthese'!I64&amp;CHAR(13)&amp;"("&amp;'(Codierung)'!$C$4&amp;" - "&amp;'1.4 Analyse &amp; Synthese'!C64&amp;")","")</f>
        <v/>
      </c>
      <c r="EK63" s="387" t="str">
        <f t="array" ref="EK63">_xlfn.IFNA(INDEX($EJ$6:$EJ$66,MATCH(0,COUNTIF($EK$4:EK62,$EJ$6:$EJ$66),0),1),"")</f>
        <v/>
      </c>
      <c r="EN63" s="222" t="str">
        <f t="shared" si="60"/>
        <v/>
      </c>
      <c r="EO63" s="277" t="str">
        <f t="shared" si="61"/>
        <v/>
      </c>
      <c r="EP63" s="277" t="str">
        <f t="shared" si="62"/>
        <v/>
      </c>
      <c r="EQ63" s="277" t="str">
        <f>ZahlenInBereich(Tabelle1[[Empfehlung]:[Werkzeug]],ROW()-5)</f>
        <v/>
      </c>
      <c r="ER63" s="277" t="str">
        <f t="shared" si="63"/>
        <v/>
      </c>
      <c r="ES63" s="277" t="str">
        <f t="shared" si="64"/>
        <v/>
      </c>
      <c r="ET63" s="277" t="str">
        <f t="shared" si="65"/>
        <v/>
      </c>
      <c r="EU63" s="277" t="str">
        <f>ZahlenInBereich(Tabelle1[[Empfehlung2]:[Werkzeug4]],ROW()-5)</f>
        <v/>
      </c>
      <c r="EV63" s="277" t="str">
        <f t="shared" si="66"/>
        <v/>
      </c>
      <c r="EW63" s="277" t="str">
        <f t="shared" si="67"/>
        <v/>
      </c>
      <c r="EX63" s="277" t="str">
        <f t="shared" si="68"/>
        <v/>
      </c>
      <c r="EY63" s="277" t="str">
        <f>ZahlenInBereich(Tabelle1[[Empfehlung6]:[Werkzeug8]],ROW()-5)</f>
        <v/>
      </c>
      <c r="EZ63" s="277" t="str">
        <f t="shared" si="69"/>
        <v/>
      </c>
      <c r="FA63" s="277" t="str">
        <f t="shared" si="70"/>
        <v/>
      </c>
      <c r="FB63" s="277" t="str">
        <f t="shared" si="71"/>
        <v/>
      </c>
      <c r="FC63" s="277" t="str">
        <f>ZahlenInBereich(Tabelle1[[Empfehlung10]:[Werkzeug12]],ROW()-5)</f>
        <v/>
      </c>
      <c r="FD63" s="277" t="str">
        <f t="shared" si="72"/>
        <v/>
      </c>
      <c r="FE63" s="277" t="str">
        <f t="shared" si="73"/>
        <v/>
      </c>
      <c r="FF63" s="277" t="str">
        <f t="shared" si="74"/>
        <v/>
      </c>
      <c r="FG63" s="277" t="str">
        <f>ZahlenInBereich(Tabelle1[[Empfehlung14]:[Werkzeug16]],ROW()-5)</f>
        <v/>
      </c>
      <c r="FH63" s="277" t="str">
        <f t="shared" si="75"/>
        <v/>
      </c>
      <c r="FI63" s="277" t="str">
        <f t="shared" si="76"/>
        <v/>
      </c>
      <c r="FJ63" s="277" t="str">
        <f t="shared" si="77"/>
        <v/>
      </c>
      <c r="FK63" s="277" t="str">
        <f>ZahlenInBereich(Tabelle1[[Empfehlung18]:[Werkzeug20]],ROW()-5)</f>
        <v/>
      </c>
      <c r="FL63" s="277" t="str">
        <f t="shared" si="78"/>
        <v/>
      </c>
      <c r="FM63" s="277" t="str">
        <f t="shared" si="79"/>
        <v/>
      </c>
      <c r="FN63" s="277" t="str">
        <f t="shared" si="80"/>
        <v/>
      </c>
      <c r="FO63" s="277" t="str">
        <f>ZahlenInBereich(Tabelle1[[Empfehlung22]:[Werkzeug24]],ROW()-5)</f>
        <v/>
      </c>
      <c r="FP63" s="277" t="str">
        <f t="shared" si="81"/>
        <v/>
      </c>
      <c r="FQ63" s="277" t="str">
        <f t="shared" si="82"/>
        <v/>
      </c>
      <c r="FR63" s="277" t="str">
        <f t="shared" si="83"/>
        <v/>
      </c>
      <c r="FS63" s="277" t="str">
        <f>ZahlenInBereich(Tabelle1[[Empfehlung26]:[Werkzeug28]],ROW()-5)</f>
        <v/>
      </c>
      <c r="FT63" s="277" t="str">
        <f t="shared" si="84"/>
        <v/>
      </c>
      <c r="FU63" s="277" t="str">
        <f t="shared" si="85"/>
        <v/>
      </c>
      <c r="FV63" s="277" t="str">
        <f t="shared" si="86"/>
        <v/>
      </c>
      <c r="FW63" s="277" t="str">
        <f>ZahlenInBereich(Tabelle1[[Empfehlung30]:[Werkzeug32]],ROW()-5)</f>
        <v/>
      </c>
      <c r="FX63" s="277" t="str">
        <f t="shared" si="87"/>
        <v/>
      </c>
      <c r="FY63" s="277" t="str">
        <f t="shared" si="88"/>
        <v/>
      </c>
      <c r="FZ63" s="277" t="str">
        <f t="shared" si="89"/>
        <v/>
      </c>
      <c r="GA63" s="277" t="str">
        <f>ZahlenInBereich(Tabelle1[[Empfehlung34]:[Werkzeug36]],ROW()-5)</f>
        <v/>
      </c>
      <c r="GB63" s="277" t="str">
        <f t="shared" si="90"/>
        <v/>
      </c>
      <c r="GC63" s="277" t="str">
        <f t="shared" si="91"/>
        <v/>
      </c>
      <c r="GD63" s="277" t="str">
        <f t="shared" si="92"/>
        <v/>
      </c>
      <c r="GE63" s="277" t="str">
        <f>ZahlenInBereich(Tabelle1[[Empfehlung38]:[Werkzeug40]],ROW()-5)</f>
        <v/>
      </c>
      <c r="GF63" s="277" t="str">
        <f t="shared" si="93"/>
        <v/>
      </c>
      <c r="GG63" s="277" t="str">
        <f t="shared" si="94"/>
        <v/>
      </c>
      <c r="GH63" s="277" t="str">
        <f t="shared" si="95"/>
        <v/>
      </c>
      <c r="GI63" s="277" t="str">
        <f>ZahlenInBereich(Tabelle1[[Empfehlung42]:[Werkzeug44]],ROW()-5)</f>
        <v/>
      </c>
      <c r="GJ63" s="277" t="str">
        <f t="shared" si="96"/>
        <v/>
      </c>
      <c r="GK63" s="277" t="str">
        <f t="shared" si="97"/>
        <v/>
      </c>
      <c r="GL63" s="277" t="str">
        <f t="shared" si="98"/>
        <v/>
      </c>
      <c r="GM63" s="277" t="str">
        <f>ZahlenInBereich(Tabelle1[[Empfehlung46]:[Werkzeug48]],ROW()-5)</f>
        <v/>
      </c>
      <c r="GN63" s="277" t="str">
        <f t="shared" si="99"/>
        <v/>
      </c>
      <c r="GO63" s="277" t="str">
        <f t="shared" si="100"/>
        <v/>
      </c>
      <c r="GP63" s="277" t="str">
        <f t="shared" si="101"/>
        <v/>
      </c>
      <c r="GQ63" s="277" t="str">
        <f>ZahlenInBereich(Tabelle1[[Empfehlung50]:[Werkzeug52]],ROW()-5)</f>
        <v/>
      </c>
      <c r="GR63" s="277" t="str">
        <f t="shared" si="102"/>
        <v/>
      </c>
      <c r="GS63" s="277" t="str">
        <f t="shared" si="103"/>
        <v/>
      </c>
      <c r="GT63" s="277" t="str">
        <f t="shared" si="104"/>
        <v/>
      </c>
      <c r="GU63" s="277" t="str">
        <f>ZahlenInBereich(Tabelle1[[Empfehlung54]:[Werkzeug56]],ROW()-5)</f>
        <v/>
      </c>
      <c r="GV63" s="277" t="str">
        <f t="shared" si="105"/>
        <v/>
      </c>
      <c r="GW63" s="277" t="str">
        <f t="shared" si="106"/>
        <v/>
      </c>
      <c r="GX63" s="277" t="str">
        <f t="shared" si="107"/>
        <v/>
      </c>
      <c r="GY63" s="277" t="str">
        <f>ZahlenInBereich(Tabelle1[[Empfehlung58]:[Werkzeug60]],ROW()-5)</f>
        <v/>
      </c>
      <c r="GZ63" s="277" t="str">
        <f t="shared" si="108"/>
        <v/>
      </c>
      <c r="HA63" s="277" t="str">
        <f t="shared" si="109"/>
        <v/>
      </c>
      <c r="HB63" s="277" t="str">
        <f t="shared" si="110"/>
        <v/>
      </c>
      <c r="HC63" s="277" t="str">
        <f>ZahlenInBereich(Tabelle1[[Empfehlung62]:[Werkzeug64]],ROW()-5)</f>
        <v/>
      </c>
      <c r="HD63" s="277" t="str">
        <f t="shared" si="111"/>
        <v/>
      </c>
      <c r="HE63" s="277" t="str">
        <f t="shared" si="112"/>
        <v/>
      </c>
      <c r="HF63" s="277" t="str">
        <f t="shared" si="113"/>
        <v/>
      </c>
      <c r="HG63" s="277" t="str">
        <f>ZahlenInBereich(Tabelle1[[Empfehlung66]:[Werkzeug68]],ROW()-5)</f>
        <v/>
      </c>
      <c r="HH63" s="277" t="str">
        <f t="shared" si="114"/>
        <v/>
      </c>
      <c r="HI63" s="277" t="str">
        <f t="shared" si="115"/>
        <v/>
      </c>
      <c r="HJ63" s="277" t="str">
        <f t="shared" si="116"/>
        <v/>
      </c>
      <c r="HK63" s="277" t="str">
        <f>ZahlenInBereich(Tabelle1[[Empfehlung70]:[Werkzeug72]],ROW()-5)</f>
        <v/>
      </c>
      <c r="HL63" s="277" t="str">
        <f t="shared" si="117"/>
        <v/>
      </c>
      <c r="HM63" s="277" t="str">
        <f t="shared" si="118"/>
        <v/>
      </c>
      <c r="HN63" s="277" t="str">
        <f t="shared" si="119"/>
        <v/>
      </c>
      <c r="HO63" s="277" t="str">
        <f>ZahlenInBereich(Tabelle1[[Empfehlung74]:[Werkzeug76]],ROW()-5)</f>
        <v/>
      </c>
    </row>
    <row r="64" spans="2:223" x14ac:dyDescent="0.2">
      <c r="B64" s="135">
        <f>'1.4 Analyse &amp; Synthese'!B65</f>
        <v>0</v>
      </c>
      <c r="C64" s="277" t="str">
        <f>IF(AND('1.4 Analyse &amp; Synthese'!Q65=1,'1.4 Analyse &amp; Synthese'!F65="Empfehlung"),'1.4 Analyse &amp; Synthese'!I65&amp;CHAR(13)&amp;"("&amp;'(Codierung)'!$C$2&amp;" - "&amp;'1.4 Analyse &amp; Synthese'!C65&amp;")","")</f>
        <v/>
      </c>
      <c r="D64" s="222" t="str">
        <f t="array" ref="D64">_xlfn.IFNA(INDEX($C$6:$C$66,MATCH(0,COUNTIF($D$4:D63,$C$6:$C$66),0),1),"")</f>
        <v/>
      </c>
      <c r="E64" s="277" t="str">
        <f>IF(AND('1.4 Analyse &amp; Synthese'!Q65=1,'1.4 Analyse &amp; Synthese'!F65="Methode"),'1.4 Analyse &amp; Synthese'!I65&amp;CHAR(13)&amp;"("&amp;'(Codierung)'!$C$3&amp;" - "&amp;'1.4 Analyse &amp; Synthese'!C65&amp;")","")</f>
        <v/>
      </c>
      <c r="F64" s="387" t="str">
        <f t="array" ref="F64">_xlfn.IFNA(INDEX($E$6:$E$66,MATCH(0,COUNTIF($F$4:F63,$E$6:$E$66),0),1),"")</f>
        <v/>
      </c>
      <c r="G64" s="277" t="str">
        <f>IF(AND('1.4 Analyse &amp; Synthese'!Q65=1,'1.4 Analyse &amp; Synthese'!F65="Werkzeug"),'1.4 Analyse &amp; Synthese'!I65&amp;CHAR(13)&amp;"("&amp;'(Codierung)'!$C$4&amp;" - "&amp;'1.4 Analyse &amp; Synthese'!C65&amp;")","")</f>
        <v/>
      </c>
      <c r="H64" s="387" t="str">
        <f t="array" ref="H64">_xlfn.IFNA(INDEX($G$6:$G$66,MATCH(0,COUNTIF($H$4:H63,$G$6:$G$66),0),1),"")</f>
        <v/>
      </c>
      <c r="J64" s="277" t="str">
        <f>IF(AND('1.4 Analyse &amp; Synthese'!R65=1,'1.4 Analyse &amp; Synthese'!F65="Empfehlung"),'1.4 Analyse &amp; Synthese'!I65&amp;CHAR(13)&amp;"("&amp;'(Codierung)'!$C$2&amp;" - "&amp;'1.4 Analyse &amp; Synthese'!C65&amp;")","")</f>
        <v/>
      </c>
      <c r="K64" s="387" t="str">
        <f t="array" ref="K64">_xlfn.IFNA(INDEX($J$6:$J$66,MATCH(0,COUNTIF($K$4:K63,$J$6:$J$66),0),1),"")</f>
        <v/>
      </c>
      <c r="L64" s="277" t="str">
        <f>IF(AND('1.4 Analyse &amp; Synthese'!R65=1,'1.4 Analyse &amp; Synthese'!F65="Methode"),'1.4 Analyse &amp; Synthese'!I65&amp;CHAR(13)&amp;"("&amp;'(Codierung)'!$C$3&amp;" - "&amp;'1.4 Analyse &amp; Synthese'!C65&amp;")","")</f>
        <v/>
      </c>
      <c r="M64" s="387" t="str">
        <f t="array" ref="M64">_xlfn.IFNA(INDEX($L$6:$L$66,MATCH(0,COUNTIF($M$4:M63,$L$6:$L$66),0),1),"")</f>
        <v/>
      </c>
      <c r="N64" s="277" t="str">
        <f>IF(AND('1.4 Analyse &amp; Synthese'!R65=1,'1.4 Analyse &amp; Synthese'!F65="Werkzeug"),'1.4 Analyse &amp; Synthese'!I65&amp;CHAR(13)&amp;"("&amp;'(Codierung)'!$C$4&amp;" - "&amp;'1.4 Analyse &amp; Synthese'!C65&amp;")","")</f>
        <v/>
      </c>
      <c r="O64" s="387" t="str">
        <f t="array" ref="O64">_xlfn.IFNA(INDEX($N$6:$N$66,MATCH(0,COUNTIF($O$4:O63,$N$6:$N$66),0),1),"")</f>
        <v/>
      </c>
      <c r="Q64" s="277" t="str">
        <f>IF(AND('1.4 Analyse &amp; Synthese'!S65=1,'1.4 Analyse &amp; Synthese'!F65="Empfehlung"),'1.4 Analyse &amp; Synthese'!I65&amp;CHAR(13)&amp;"("&amp;'(Codierung)'!$C$2&amp;" - "&amp;'1.4 Analyse &amp; Synthese'!C65&amp;")","")</f>
        <v/>
      </c>
      <c r="R64" s="387" t="str">
        <f t="array" ref="R64">_xlfn.IFNA(INDEX($Q$6:$Q$66,MATCH(0,COUNTIF($R$4:R63,$Q$6:$Q$66),0),1),"")</f>
        <v/>
      </c>
      <c r="S64" s="277" t="str">
        <f>IF(AND('1.4 Analyse &amp; Synthese'!S65=1,'1.4 Analyse &amp; Synthese'!F65="Methode"),'1.4 Analyse &amp; Synthese'!I65&amp;CHAR(13)&amp;"("&amp;'(Codierung)'!$C$3&amp;" - "&amp;'1.4 Analyse &amp; Synthese'!C65&amp;")","")</f>
        <v/>
      </c>
      <c r="T64" s="387" t="str">
        <f t="array" ref="T64">_xlfn.IFNA(INDEX($S$6:$S$66,MATCH(0,COUNTIF($T$4:T63,$S$6:$S$66),0),1),"")</f>
        <v/>
      </c>
      <c r="U64" s="277" t="str">
        <f>IF(AND('1.4 Analyse &amp; Synthese'!S65=1,'1.4 Analyse &amp; Synthese'!F65="Werkzeug"),'1.4 Analyse &amp; Synthese'!I65&amp;CHAR(13)&amp;"("&amp;'(Codierung)'!$C$4&amp;" - "&amp;'1.4 Analyse &amp; Synthese'!C65&amp;")","")</f>
        <v/>
      </c>
      <c r="V64" s="387" t="str">
        <f t="array" ref="V64">_xlfn.IFNA(INDEX($U$6:$U$66,MATCH(0,COUNTIF($V$4:V63,$U$6:$U$66),0),1),"")</f>
        <v/>
      </c>
      <c r="X64" s="277" t="str">
        <f>IF(AND('1.4 Analyse &amp; Synthese'!T65=1,'1.4 Analyse &amp; Synthese'!F65="Empfehlung"),'1.4 Analyse &amp; Synthese'!I65&amp;CHAR(13)&amp;"("&amp;'(Codierung)'!$C$2&amp;" - "&amp;'1.4 Analyse &amp; Synthese'!C65&amp;")","")</f>
        <v/>
      </c>
      <c r="Y64" s="387" t="str">
        <f t="array" ref="Y64">_xlfn.IFNA(INDEX($X$6:$X$66,MATCH(0,COUNTIF($Y$4:Y63,$X$6:$X$66),0),1),"")</f>
        <v/>
      </c>
      <c r="Z64" s="277" t="str">
        <f>IF(AND('1.4 Analyse &amp; Synthese'!T65=1,'1.4 Analyse &amp; Synthese'!F65="Methode"),'1.4 Analyse &amp; Synthese'!I65&amp;CHAR(13)&amp;"("&amp;'(Codierung)'!$C$3&amp;" - "&amp;'1.4 Analyse &amp; Synthese'!C65&amp;")","")</f>
        <v/>
      </c>
      <c r="AA64" s="387" t="str">
        <f t="array" ref="AA64">_xlfn.IFNA(INDEX($Z$6:$Z$66,MATCH(0,COUNTIF($AA$4:AA63,$Z$6:$Z$66),0),1),"")</f>
        <v/>
      </c>
      <c r="AB64" s="277" t="str">
        <f>IF(AND('1.4 Analyse &amp; Synthese'!T65=1,'1.4 Analyse &amp; Synthese'!F65="Werkzeug"),'1.4 Analyse &amp; Synthese'!I65&amp;CHAR(13)&amp;"("&amp;'(Codierung)'!$C$4&amp;" - "&amp;'1.4 Analyse &amp; Synthese'!C65&amp;")","")</f>
        <v/>
      </c>
      <c r="AC64" s="387" t="str">
        <f t="array" ref="AC64">_xlfn.IFNA(INDEX($AB$6:$AB$66,MATCH(0,COUNTIF($AC$4:AC63,$AB$6:$AB$66),0),1),"")</f>
        <v/>
      </c>
      <c r="AE64" s="277" t="str">
        <f>IF(AND('1.4 Analyse &amp; Synthese'!U65=1,'1.4 Analyse &amp; Synthese'!F65="Empfehlung"),'1.4 Analyse &amp; Synthese'!I65&amp;CHAR(13)&amp;"("&amp;'(Codierung)'!$C$2&amp;" - "&amp;'1.4 Analyse &amp; Synthese'!C65&amp;")","")</f>
        <v/>
      </c>
      <c r="AF64" s="387" t="str">
        <f t="array" ref="AF64">_xlfn.IFNA(INDEX($AE$6:$AE$66,MATCH(0,COUNTIF($AF$4:AF63,$AE$6:$AE$66),0),1),"")</f>
        <v/>
      </c>
      <c r="AG64" s="277" t="str">
        <f>IF(AND('1.4 Analyse &amp; Synthese'!U65=1,'1.4 Analyse &amp; Synthese'!F65="Methode"),'1.4 Analyse &amp; Synthese'!I65&amp;CHAR(13)&amp;"("&amp;'(Codierung)'!$C$3&amp;" - "&amp;'1.4 Analyse &amp; Synthese'!C65&amp;")","")</f>
        <v/>
      </c>
      <c r="AH64" s="387" t="str">
        <f t="array" ref="AH64">_xlfn.IFNA(INDEX($AG$6:$AG$66,MATCH(0,COUNTIF($AH$4:AH63,$AG$6:$AG$66),0),1),"")</f>
        <v/>
      </c>
      <c r="AI64" s="277" t="str">
        <f>IF(AND('1.4 Analyse &amp; Synthese'!U65=1,'1.4 Analyse &amp; Synthese'!F65="Werkzeug"),'1.4 Analyse &amp; Synthese'!I65&amp;CHAR(13)&amp;"("&amp;'(Codierung)'!$C$4&amp;" - "&amp;'1.4 Analyse &amp; Synthese'!C65&amp;")","")</f>
        <v/>
      </c>
      <c r="AJ64" s="387" t="str">
        <f t="array" ref="AJ64">_xlfn.IFNA(INDEX($AI$6:$AI$66,MATCH(0,COUNTIF($AJ$4:AJ63,$AI$6:$AI$66),0),1),"")</f>
        <v/>
      </c>
      <c r="AL64" s="277" t="str">
        <f>IF(AND('1.4 Analyse &amp; Synthese'!V65=1,'1.4 Analyse &amp; Synthese'!F65="Empfehlung"),'1.4 Analyse &amp; Synthese'!I65&amp;CHAR(13)&amp;"("&amp;'(Codierung)'!$C$2&amp;" - "&amp;'1.4 Analyse &amp; Synthese'!C65&amp;")","")</f>
        <v/>
      </c>
      <c r="AM64" s="387" t="str">
        <f t="array" ref="AM64">_xlfn.IFNA(INDEX($AL$6:$AL$66,MATCH(0,COUNTIF($AM$4:AM63,$AL$6:$AL$66),0),1),"")</f>
        <v/>
      </c>
      <c r="AN64" s="277" t="str">
        <f>IF(AND('1.4 Analyse &amp; Synthese'!V65=1,'1.4 Analyse &amp; Synthese'!F65="Methode"),'1.4 Analyse &amp; Synthese'!I65&amp;CHAR(13)&amp;"("&amp;'(Codierung)'!$C$3&amp;" - "&amp;'1.4 Analyse &amp; Synthese'!C65&amp;")","")</f>
        <v/>
      </c>
      <c r="AO64" s="387" t="str">
        <f t="array" ref="AO64">_xlfn.IFNA(INDEX($AN$6:$AN$66,MATCH(0,COUNTIF($AO$4:AO63,$AN$6:$AN$66),0),1),"")</f>
        <v/>
      </c>
      <c r="AP64" s="277" t="str">
        <f>IF(AND('1.4 Analyse &amp; Synthese'!V65=1,'1.4 Analyse &amp; Synthese'!F65="Werkzeug"),'1.4 Analyse &amp; Synthese'!I65&amp;CHAR(13)&amp;"("&amp;'(Codierung)'!$C$4&amp;" - "&amp;'1.4 Analyse &amp; Synthese'!C65&amp;")","")</f>
        <v/>
      </c>
      <c r="AQ64" s="387" t="str">
        <f t="array" ref="AQ64">_xlfn.IFNA(INDEX($AP$6:$AP$66,MATCH(0,COUNTIF($AQ$4:AQ63,$AP$6:$AP$66),0),1),"")</f>
        <v/>
      </c>
      <c r="AS64" s="277" t="str">
        <f>IF(AND('1.4 Analyse &amp; Synthese'!W65=1,'1.4 Analyse &amp; Synthese'!F65="Empfehlung"),'1.4 Analyse &amp; Synthese'!I65&amp;CHAR(13)&amp;"("&amp;'(Codierung)'!$C$2&amp;" - "&amp;'1.4 Analyse &amp; Synthese'!C65&amp;")","")</f>
        <v/>
      </c>
      <c r="AT64" s="387" t="str">
        <f t="array" ref="AT64">_xlfn.IFNA(INDEX($AS$6:$AS$66,MATCH(0,COUNTIF($AT$4:AT63,$AS$6:$AS$66),0),1),"")</f>
        <v/>
      </c>
      <c r="AU64" s="277" t="str">
        <f>IF(AND('1.4 Analyse &amp; Synthese'!W65=1,'1.4 Analyse &amp; Synthese'!F65="Methode"),'1.4 Analyse &amp; Synthese'!I65&amp;CHAR(13)&amp;"("&amp;'(Codierung)'!$C$3&amp;" - "&amp;'1.4 Analyse &amp; Synthese'!C65&amp;")","")</f>
        <v/>
      </c>
      <c r="AV64" s="387" t="str">
        <f t="array" ref="AV64">_xlfn.IFNA(INDEX($AU$6:$AU$66,MATCH(0,COUNTIF($AV$4:AV63,$AU$6:$AU$66),0),1),"")</f>
        <v/>
      </c>
      <c r="AW64" s="277" t="str">
        <f>IF(AND('1.4 Analyse &amp; Synthese'!W65=1,'1.4 Analyse &amp; Synthese'!F65="Werkzeug"),'1.4 Analyse &amp; Synthese'!I65&amp;CHAR(13)&amp;"("&amp;'(Codierung)'!$C$4&amp;" - "&amp;'1.4 Analyse &amp; Synthese'!C65&amp;")","")</f>
        <v/>
      </c>
      <c r="AX64" s="387" t="str">
        <f t="array" ref="AX64">_xlfn.IFNA(INDEX($AW$6:$AW$66,MATCH(0,COUNTIF($AX$4:AX63,$AW$6:$AW$66),0),1),"")</f>
        <v/>
      </c>
      <c r="AZ64" s="277" t="str">
        <f>IF(AND('1.4 Analyse &amp; Synthese'!X65=1,'1.4 Analyse &amp; Synthese'!F65="Empfehlung"),'1.4 Analyse &amp; Synthese'!I65&amp;CHAR(13)&amp;"("&amp;'(Codierung)'!$C$2&amp;" - "&amp;'1.4 Analyse &amp; Synthese'!C65&amp;")","")</f>
        <v/>
      </c>
      <c r="BA64" s="387" t="str">
        <f t="array" ref="BA64">_xlfn.IFNA(INDEX($AZ$6:$AZ$66,MATCH(0,COUNTIF($BA$4:BA63,$AZ$6:$AZ$66),0),1),"")</f>
        <v/>
      </c>
      <c r="BB64" s="277" t="str">
        <f>IF(AND('1.4 Analyse &amp; Synthese'!X65=1,'1.4 Analyse &amp; Synthese'!F65="Methode"),'1.4 Analyse &amp; Synthese'!I65&amp;CHAR(13)&amp;"("&amp;'(Codierung)'!$C$3&amp;" - "&amp;'1.4 Analyse &amp; Synthese'!C65&amp;")","")</f>
        <v/>
      </c>
      <c r="BC64" s="387" t="str">
        <f t="array" ref="BC64">_xlfn.IFNA(INDEX($BB$6:$BB$66,MATCH(0,COUNTIF($BC$4:BC63,$BB$6:$BB$66),0),1),"")</f>
        <v/>
      </c>
      <c r="BD64" s="277" t="str">
        <f>IF(AND('1.4 Analyse &amp; Synthese'!X65=1,'1.4 Analyse &amp; Synthese'!F65="Werkzeug"),'1.4 Analyse &amp; Synthese'!I65&amp;CHAR(13)&amp;"("&amp;'(Codierung)'!$C$4&amp;" - "&amp;'1.4 Analyse &amp; Synthese'!C65&amp;")","")</f>
        <v/>
      </c>
      <c r="BE64" s="387" t="str">
        <f t="array" ref="BE64">_xlfn.IFNA(INDEX($BD$6:$BD$66,MATCH(0,COUNTIF($BE$4:BE63,$BD$6:$BD$66),0),1),"")</f>
        <v/>
      </c>
      <c r="BG64" s="277" t="str">
        <f>IF(AND('1.4 Analyse &amp; Synthese'!Y65=1,'1.4 Analyse &amp; Synthese'!F65="Empfehlung"),'1.4 Analyse &amp; Synthese'!I65&amp;CHAR(13)&amp;"("&amp;'(Codierung)'!$C$2&amp;" - "&amp;'1.4 Analyse &amp; Synthese'!C65&amp;")","")</f>
        <v/>
      </c>
      <c r="BH64" s="387" t="str">
        <f t="array" ref="BH64">_xlfn.IFNA(INDEX($BG$6:$BG$66,MATCH(0,COUNTIF($BH$4:BH63,$BG$6:$BG$66),0),1),"")</f>
        <v/>
      </c>
      <c r="BI64" s="277" t="str">
        <f>IF(AND('1.4 Analyse &amp; Synthese'!Y65=1,'1.4 Analyse &amp; Synthese'!F65="Methode"),'1.4 Analyse &amp; Synthese'!I65&amp;CHAR(13)&amp;"("&amp;'(Codierung)'!$C$3&amp;" - "&amp;'1.4 Analyse &amp; Synthese'!C65&amp;")","")</f>
        <v/>
      </c>
      <c r="BJ64" s="387" t="str">
        <f t="array" ref="BJ64">_xlfn.IFNA(INDEX($BI$6:$BI$66,MATCH(0,COUNTIF($BJ$4:BJ63,$BI$6:$BI$66),0),1),"")</f>
        <v/>
      </c>
      <c r="BK64" s="277" t="str">
        <f>IF(AND('1.4 Analyse &amp; Synthese'!Y65=1,'1.4 Analyse &amp; Synthese'!F65="Werkzeug"),'1.4 Analyse &amp; Synthese'!I65&amp;CHAR(13)&amp;"("&amp;'(Codierung)'!$C$4&amp;" - "&amp;'1.4 Analyse &amp; Synthese'!C65&amp;")","")</f>
        <v/>
      </c>
      <c r="BL64" s="387" t="str">
        <f t="array" ref="BL64">_xlfn.IFNA(INDEX($BK$6:$BK$66,MATCH(0,COUNTIF($BL$4:BL63,$BK$6:$BK$66),0),1),"")</f>
        <v/>
      </c>
      <c r="BN64" s="277" t="str">
        <f>IF(AND('1.4 Analyse &amp; Synthese'!Z65=1,'1.4 Analyse &amp; Synthese'!F65="Empfehlung"),'1.4 Analyse &amp; Synthese'!I65&amp;CHAR(13)&amp;"("&amp;'(Codierung)'!$C$2&amp;" - "&amp;'1.4 Analyse &amp; Synthese'!C65&amp;")","")</f>
        <v/>
      </c>
      <c r="BO64" s="387" t="str">
        <f t="array" ref="BO64">_xlfn.IFNA(INDEX($BN$6:$BN$66,MATCH(0,COUNTIF($BO$4:BO63,$BN$6:$BN$66),0),1),"")</f>
        <v/>
      </c>
      <c r="BP64" s="277" t="str">
        <f>IF(AND('1.4 Analyse &amp; Synthese'!Z65=1,'1.4 Analyse &amp; Synthese'!F65="Methode"),'1.4 Analyse &amp; Synthese'!I65&amp;CHAR(13)&amp;"("&amp;'(Codierung)'!$C$3&amp;" - "&amp;'1.4 Analyse &amp; Synthese'!C65&amp;")","")</f>
        <v/>
      </c>
      <c r="BQ64" s="387" t="str">
        <f t="array" ref="BQ64">_xlfn.IFNA(INDEX($BP$6:$BP$66,MATCH(0,COUNTIF($BQ$4:BQ63,$BP$6:$BP$66),0),1),"")</f>
        <v/>
      </c>
      <c r="BR64" s="277" t="str">
        <f>IF(AND('1.4 Analyse &amp; Synthese'!Z65=1,'1.4 Analyse &amp; Synthese'!F65="Werkzeug"),'1.4 Analyse &amp; Synthese'!I65&amp;CHAR(13)&amp;"("&amp;'(Codierung)'!$C$4&amp;" - "&amp;'1.4 Analyse &amp; Synthese'!C65&amp;")","")</f>
        <v/>
      </c>
      <c r="BS64" s="387" t="str">
        <f t="array" ref="BS64">_xlfn.IFNA(INDEX($BR$6:$BR$66,MATCH(0,COUNTIF($BS$4:BS63,$BR$6:$BR$66),0),1),"")</f>
        <v/>
      </c>
      <c r="BU64" s="277" t="str">
        <f>IF(AND('1.4 Analyse &amp; Synthese'!AA65=1,'1.4 Analyse &amp; Synthese'!F65="Empfehlung"),'1.4 Analyse &amp; Synthese'!I65&amp;CHAR(13)&amp;"("&amp;'(Codierung)'!$C$2&amp;" - "&amp;'1.4 Analyse &amp; Synthese'!C65&amp;")","")</f>
        <v/>
      </c>
      <c r="BV64" s="387" t="str">
        <f t="array" ref="BV64">_xlfn.IFNA(INDEX($BU$6:$BU$66,MATCH(0,COUNTIF($BV$4:BV63,$BU$6:$BU$66),0),1),"")</f>
        <v/>
      </c>
      <c r="BW64" s="277" t="str">
        <f>IF(AND('1.4 Analyse &amp; Synthese'!AA65=1,'1.4 Analyse &amp; Synthese'!F65="Methode"),'1.4 Analyse &amp; Synthese'!I65&amp;CHAR(13)&amp;"("&amp;'(Codierung)'!$C$3&amp;" - "&amp;'1.4 Analyse &amp; Synthese'!C65&amp;")","")</f>
        <v/>
      </c>
      <c r="BX64" s="387" t="str">
        <f t="array" ref="BX64">_xlfn.IFNA(INDEX($BW$6:$BW$66,MATCH(0,COUNTIF($BX$4:BX63,$BW$6:$BW$66),0),1),"")</f>
        <v/>
      </c>
      <c r="BY64" s="277" t="str">
        <f>IF(AND('1.4 Analyse &amp; Synthese'!AA65=1,'1.4 Analyse &amp; Synthese'!F65="Werkzeug"),'1.4 Analyse &amp; Synthese'!I65&amp;CHAR(13)&amp;"("&amp;'(Codierung)'!$C$4&amp;" - "&amp;'1.4 Analyse &amp; Synthese'!C65&amp;")","")</f>
        <v/>
      </c>
      <c r="BZ64" s="387" t="str">
        <f t="array" ref="BZ64">_xlfn.IFNA(INDEX($BY$6:$BY$66,MATCH(0,COUNTIF($BZ$4:BZ63,$BY$6:$BY$66),0),1),"")</f>
        <v/>
      </c>
      <c r="CB64" s="277" t="str">
        <f>IF(AND('1.4 Analyse &amp; Synthese'!AB65=1,'1.4 Analyse &amp; Synthese'!F65="Empfehlung"),'1.4 Analyse &amp; Synthese'!I65&amp;CHAR(13)&amp;"("&amp;'(Codierung)'!$C$2&amp;" - "&amp;'1.4 Analyse &amp; Synthese'!C65&amp;")","")</f>
        <v/>
      </c>
      <c r="CC64" s="387" t="str">
        <f t="array" ref="CC64">_xlfn.IFNA(INDEX($CB$6:$CB$66,MATCH(0,COUNTIF($CC$4:CC63,$CB$6:$CB$66),0),1),"")</f>
        <v/>
      </c>
      <c r="CD64" s="277" t="str">
        <f>IF(AND('1.4 Analyse &amp; Synthese'!AB65=1,'1.4 Analyse &amp; Synthese'!F65="Methode"),'1.4 Analyse &amp; Synthese'!I65&amp;CHAR(13)&amp;"("&amp;'(Codierung)'!$C$3&amp;" - "&amp;'1.4 Analyse &amp; Synthese'!C65&amp;")","")</f>
        <v/>
      </c>
      <c r="CE64" s="387" t="str">
        <f t="array" ref="CE64">_xlfn.IFNA(INDEX($CD$6:$CD$66,MATCH(0,COUNTIF($CE$4:CE63,$CD$6:$CD$66),0),1),"")</f>
        <v/>
      </c>
      <c r="CF64" s="277" t="str">
        <f>IF(AND('1.4 Analyse &amp; Synthese'!AB65=1,'1.4 Analyse &amp; Synthese'!F65="Werkzeug"),'1.4 Analyse &amp; Synthese'!I65&amp;CHAR(13)&amp;"("&amp;'(Codierung)'!$C$4&amp;" - "&amp;'1.4 Analyse &amp; Synthese'!C65&amp;")","")</f>
        <v/>
      </c>
      <c r="CG64" s="387" t="str">
        <f t="array" ref="CG64">_xlfn.IFNA(INDEX($CF$6:$CF$66,MATCH(0,COUNTIF($CG$4:CG63,$CF$6:$CF$66),0),1),"")</f>
        <v/>
      </c>
      <c r="CI64" s="277" t="str">
        <f>IF(AND('1.4 Analyse &amp; Synthese'!AC65=1,'1.4 Analyse &amp; Synthese'!F65="Empfehlung"),'1.4 Analyse &amp; Synthese'!I65&amp;CHAR(13)&amp;"("&amp;'(Codierung)'!$C$2&amp;" - "&amp;'1.4 Analyse &amp; Synthese'!C65&amp;")","")</f>
        <v/>
      </c>
      <c r="CJ64" s="387" t="str">
        <f t="array" ref="CJ64">_xlfn.IFNA(INDEX($CI$6:$CI$66,MATCH(0,COUNTIF($CJ$4:CJ63,$CI$6:$CI$66),0),1),"")</f>
        <v/>
      </c>
      <c r="CK64" s="277" t="str">
        <f>IF(AND('1.4 Analyse &amp; Synthese'!AC65=1,'1.4 Analyse &amp; Synthese'!F65="Methode"),'1.4 Analyse &amp; Synthese'!I65&amp;CHAR(13)&amp;"("&amp;'(Codierung)'!$C$3&amp;" - "&amp;'1.4 Analyse &amp; Synthese'!C65&amp;")","")</f>
        <v/>
      </c>
      <c r="CL64" s="387" t="str">
        <f t="array" ref="CL64">_xlfn.IFNA(INDEX($CK$6:$CK$66,MATCH(0,COUNTIF($CL$4:CL63,$CK$6:$CK$66),0),1),"")</f>
        <v/>
      </c>
      <c r="CM64" s="277" t="str">
        <f>IF(AND('1.4 Analyse &amp; Synthese'!AC65=1,'1.4 Analyse &amp; Synthese'!F65="Werkzeug"),'1.4 Analyse &amp; Synthese'!I65&amp;CHAR(13)&amp;"("&amp;'(Codierung)'!$C$4&amp;" - "&amp;'1.4 Analyse &amp; Synthese'!C65&amp;")","")</f>
        <v/>
      </c>
      <c r="CN64" s="387" t="str">
        <f t="array" ref="CN64">_xlfn.IFNA(INDEX($CM$6:$CM$66,MATCH(0,COUNTIF($CN$4:CN63,$CM$6:$CM$66),0),1),"")</f>
        <v/>
      </c>
      <c r="CP64" s="277" t="str">
        <f>IF(AND('1.4 Analyse &amp; Synthese'!AD65=1,'1.4 Analyse &amp; Synthese'!F65="Empfehlung"),'1.4 Analyse &amp; Synthese'!I65&amp;CHAR(13)&amp;"("&amp;'(Codierung)'!$C$2&amp;" - "&amp;'1.4 Analyse &amp; Synthese'!C65&amp;")","")</f>
        <v/>
      </c>
      <c r="CQ64" s="387" t="str">
        <f t="array" ref="CQ64">_xlfn.IFNA(INDEX($CP$6:$CP$66,MATCH(0,COUNTIF($CQ$4:CQ63,$CP$6:$CP$66),0),1),"")</f>
        <v/>
      </c>
      <c r="CR64" s="277" t="str">
        <f>IF(AND('1.4 Analyse &amp; Synthese'!AD65=1,'1.4 Analyse &amp; Synthese'!F65="Methode"),'1.4 Analyse &amp; Synthese'!I65&amp;CHAR(13)&amp;"("&amp;'(Codierung)'!$C$3&amp;" - "&amp;'1.4 Analyse &amp; Synthese'!C65&amp;")","")</f>
        <v/>
      </c>
      <c r="CS64" s="387" t="str">
        <f t="array" ref="CS64">_xlfn.IFNA(INDEX($CR$6:$CR$66,MATCH(0,COUNTIF($CS$4:CS63,$CR$6:$CR$66),0),1),"")</f>
        <v/>
      </c>
      <c r="CT64" s="277" t="str">
        <f>IF(AND('1.4 Analyse &amp; Synthese'!AD65=1,'1.4 Analyse &amp; Synthese'!F65="Werkzeug"),'1.4 Analyse &amp; Synthese'!I65&amp;CHAR(13)&amp;"("&amp;'(Codierung)'!$C$4&amp;" - "&amp;'1.4 Analyse &amp; Synthese'!C65&amp;")","")</f>
        <v/>
      </c>
      <c r="CU64" s="387" t="str">
        <f t="array" ref="CU64">_xlfn.IFNA(INDEX($CT$6:$CT$66,MATCH(0,COUNTIF($CU$4:CU63,$CT$6:$CT$66),0),1),"")</f>
        <v/>
      </c>
      <c r="CW64" s="277" t="str">
        <f>IF(AND('1.4 Analyse &amp; Synthese'!AE65=1,'1.4 Analyse &amp; Synthese'!F65="Empfehlung"),'1.4 Analyse &amp; Synthese'!I65&amp;CHAR(13)&amp;"("&amp;'(Codierung)'!$C$2&amp;" - "&amp;'1.4 Analyse &amp; Synthese'!C65&amp;")","")</f>
        <v/>
      </c>
      <c r="CX64" s="387" t="str">
        <f t="array" ref="CX64">_xlfn.IFNA(INDEX($CW$6:$CW$66,MATCH(0,COUNTIF($CX$4:CX63,$CW$6:$CW$66),0),1),"")</f>
        <v/>
      </c>
      <c r="CY64" s="277" t="str">
        <f>IF(AND('1.4 Analyse &amp; Synthese'!AE65=1,'1.4 Analyse &amp; Synthese'!F65="Methode"),'1.4 Analyse &amp; Synthese'!I65&amp;CHAR(13)&amp;"("&amp;'(Codierung)'!$C$3&amp;" - "&amp;'1.4 Analyse &amp; Synthese'!C65&amp;")","")</f>
        <v/>
      </c>
      <c r="CZ64" s="387" t="str">
        <f t="array" ref="CZ64">_xlfn.IFNA(INDEX($CY$6:$CY$66,MATCH(0,COUNTIF($CZ$4:CZ63,$CY$6:$CY$66),0),1),"")</f>
        <v/>
      </c>
      <c r="DA64" s="277" t="str">
        <f>IF(AND('1.4 Analyse &amp; Synthese'!AE65=1,'1.4 Analyse &amp; Synthese'!F65="Werkzeug"),'1.4 Analyse &amp; Synthese'!I65&amp;CHAR(13)&amp;"("&amp;'(Codierung)'!$C$4&amp;" - "&amp;'1.4 Analyse &amp; Synthese'!C65&amp;")","")</f>
        <v/>
      </c>
      <c r="DB64" s="387" t="str">
        <f t="array" ref="DB64">_xlfn.IFNA(INDEX($DA$6:$DA$66,MATCH(0,COUNTIF($DB$4:DB63,$DA$6:$DA$66),0),1),"")</f>
        <v/>
      </c>
      <c r="DD64" s="277" t="str">
        <f>IF(AND('1.4 Analyse &amp; Synthese'!AF65=1,'1.4 Analyse &amp; Synthese'!F65="Empfehlung"),'1.4 Analyse &amp; Synthese'!I65&amp;CHAR(13)&amp;"("&amp;'(Codierung)'!$C$2&amp;" - "&amp;'1.4 Analyse &amp; Synthese'!C65&amp;")","")</f>
        <v/>
      </c>
      <c r="DE64" s="387" t="str">
        <f t="array" ref="DE64">_xlfn.IFNA(INDEX($DD$6:$DD$66,MATCH(0,COUNTIF($DE$4:DE63,$DD$6:$DD$66),0),1),"")</f>
        <v/>
      </c>
      <c r="DF64" s="277" t="str">
        <f>IF(AND('1.4 Analyse &amp; Synthese'!AF65=1,'1.4 Analyse &amp; Synthese'!F65="Methode"),'1.4 Analyse &amp; Synthese'!I65&amp;CHAR(13)&amp;"("&amp;'(Codierung)'!$C$3&amp;" - "&amp;'1.4 Analyse &amp; Synthese'!C65&amp;")","")</f>
        <v/>
      </c>
      <c r="DG64" s="387" t="str">
        <f t="array" ref="DG64">_xlfn.IFNA(INDEX($DF$6:$DF$66,MATCH(0,COUNTIF($DG$4:DG63,$DF$6:$DF$66),0),1),"")</f>
        <v/>
      </c>
      <c r="DH64" s="277" t="str">
        <f>IF(AND('1.4 Analyse &amp; Synthese'!AF65=1,'1.4 Analyse &amp; Synthese'!F65="Werkzeug"),'1.4 Analyse &amp; Synthese'!I65&amp;CHAR(13)&amp;"("&amp;'(Codierung)'!$C$4&amp;" - "&amp;'1.4 Analyse &amp; Synthese'!C65&amp;")","")</f>
        <v/>
      </c>
      <c r="DI64" s="387" t="str">
        <f t="array" ref="DI64">_xlfn.IFNA(INDEX($DH$6:$DH$66,MATCH(0,COUNTIF($DI$4:DI63,$DH$6:$DH$66),0),1),"")</f>
        <v/>
      </c>
      <c r="DK64" s="277" t="str">
        <f>IF(AND('1.4 Analyse &amp; Synthese'!AG65=1,'1.4 Analyse &amp; Synthese'!F65="Empfehlung"),'1.4 Analyse &amp; Synthese'!I65&amp;CHAR(13)&amp;"("&amp;'(Codierung)'!$C$2&amp;" - "&amp;'1.4 Analyse &amp; Synthese'!C65&amp;")","")</f>
        <v/>
      </c>
      <c r="DL64" s="387" t="str">
        <f t="array" ref="DL64">_xlfn.IFNA(INDEX($DK$6:$DK$66,MATCH(0,COUNTIF($DL$4:DL63,$DK$6:$DK$66),0),1),"")</f>
        <v/>
      </c>
      <c r="DM64" s="277" t="str">
        <f>IF(AND('1.4 Analyse &amp; Synthese'!AG65=1,'1.4 Analyse &amp; Synthese'!F65="Methode"),'1.4 Analyse &amp; Synthese'!I65&amp;CHAR(13)&amp;"("&amp;'(Codierung)'!$C$3&amp;" - "&amp;'1.4 Analyse &amp; Synthese'!C65&amp;")","")</f>
        <v/>
      </c>
      <c r="DN64" s="387" t="str">
        <f t="array" ref="DN64">_xlfn.IFNA(INDEX($DM$6:$DM$66,MATCH(0,COUNTIF($DN$4:DN63,$DM$6:$DM$66),0),1),"")</f>
        <v/>
      </c>
      <c r="DO64" s="277" t="str">
        <f>IF(AND('1.4 Analyse &amp; Synthese'!AG65=1,'1.4 Analyse &amp; Synthese'!F65="Werkzeug"),'1.4 Analyse &amp; Synthese'!I65&amp;CHAR(13)&amp;"("&amp;'(Codierung)'!$C$4&amp;" - "&amp;'1.4 Analyse &amp; Synthese'!C65&amp;")","")</f>
        <v/>
      </c>
      <c r="DP64" s="387" t="str">
        <f t="array" ref="DP64">_xlfn.IFNA(INDEX($DO$6:$DO$66,MATCH(0,COUNTIF($DP$4:DP63,$DO$6:$DO$66),0),1),"")</f>
        <v/>
      </c>
      <c r="DR64" s="277" t="str">
        <f>IF(AND('1.4 Analyse &amp; Synthese'!AH65=1,'1.4 Analyse &amp; Synthese'!F65="Empfehlung"),'1.4 Analyse &amp; Synthese'!I65&amp;CHAR(13)&amp;"("&amp;'(Codierung)'!$C$2&amp;" - "&amp;'1.4 Analyse &amp; Synthese'!C65&amp;")","")</f>
        <v/>
      </c>
      <c r="DS64" s="387" t="str">
        <f t="array" ref="DS64">_xlfn.IFNA(INDEX($DR$6:$DR$66,MATCH(0,COUNTIF($DS$4:DS63,$DR$6:$DR$66),0),1),"")</f>
        <v/>
      </c>
      <c r="DT64" s="277" t="str">
        <f>IF(AND('1.4 Analyse &amp; Synthese'!AH65=1,'1.4 Analyse &amp; Synthese'!F65="Methode"),'1.4 Analyse &amp; Synthese'!I65&amp;CHAR(13)&amp;"("&amp;'(Codierung)'!$C$3&amp;" - "&amp;'1.4 Analyse &amp; Synthese'!C65&amp;")","")</f>
        <v/>
      </c>
      <c r="DU64" s="387" t="str">
        <f t="array" ref="DU64">_xlfn.IFNA(INDEX($DT$6:$DT$66,MATCH(0,COUNTIF($DU$4:DU63,$DT$6:$DT$66),0),1),"")</f>
        <v/>
      </c>
      <c r="DV64" s="277" t="str">
        <f>IF(AND('1.4 Analyse &amp; Synthese'!AH65=1,'1.4 Analyse &amp; Synthese'!F65="Werkzeug"),'1.4 Analyse &amp; Synthese'!I65&amp;CHAR(13)&amp;"("&amp;'(Codierung)'!$C$4&amp;" - "&amp;'1.4 Analyse &amp; Synthese'!C65&amp;")","")</f>
        <v/>
      </c>
      <c r="DW64" s="387" t="str">
        <f t="array" ref="DW64">_xlfn.IFNA(INDEX($DV$6:$DV$66,MATCH(0,COUNTIF($DW$4:DW63,$DV$6:$DV$66),0),1),"")</f>
        <v/>
      </c>
      <c r="DY64" s="277" t="str">
        <f>IF(AND('1.4 Analyse &amp; Synthese'!AI65=1,'1.4 Analyse &amp; Synthese'!F65="Empfehlung"),'1.4 Analyse &amp; Synthese'!I65&amp;CHAR(13)&amp;"("&amp;'(Codierung)'!$C$2&amp;" - "&amp;'1.4 Analyse &amp; Synthese'!C65&amp;")","")</f>
        <v/>
      </c>
      <c r="DZ64" s="387" t="str">
        <f t="array" ref="DZ64">_xlfn.IFNA(INDEX($DY$6:$DY$66,MATCH(0,COUNTIF($DZ$4:DZ63,$DY$6:$DY$66),0),1),"")</f>
        <v/>
      </c>
      <c r="EA64" s="277" t="str">
        <f>IF(AND('1.4 Analyse &amp; Synthese'!AI65=1,'1.4 Analyse &amp; Synthese'!F65="Methode"),'1.4 Analyse &amp; Synthese'!I65&amp;CHAR(13)&amp;"("&amp;'(Codierung)'!$C$3&amp;" - "&amp;'1.4 Analyse &amp; Synthese'!C65&amp;")","")</f>
        <v/>
      </c>
      <c r="EB64" s="387" t="str">
        <f t="array" ref="EB64">_xlfn.IFNA(INDEX($EA$6:$EA$66,MATCH(0,COUNTIF($EB$4:EB63,$EA$6:$EA$66),0),1),"")</f>
        <v/>
      </c>
      <c r="EC64" s="277" t="str">
        <f>IF(AND('1.4 Analyse &amp; Synthese'!AI65=1,'1.4 Analyse &amp; Synthese'!F65="Werkzeug"),'1.4 Analyse &amp; Synthese'!I65&amp;CHAR(13)&amp;"("&amp;'(Codierung)'!$C$4&amp;" - "&amp;'1.4 Analyse &amp; Synthese'!C65&amp;")","")</f>
        <v/>
      </c>
      <c r="ED64" s="277" t="str">
        <f t="array" ref="ED64">_xlfn.IFNA(INDEX($EC$6:$EC$66,MATCH(0,COUNTIF($ED$4:ED63,$EC$6:$EC$66),0),1),"")</f>
        <v/>
      </c>
      <c r="EF64" s="277" t="str">
        <f>IF(AND('1.4 Analyse &amp; Synthese'!AJ65=1,'1.4 Analyse &amp; Synthese'!F65="Empfehlung"),'1.4 Analyse &amp; Synthese'!I65&amp;CHAR(13)&amp;"("&amp;'(Codierung)'!$C$2&amp;" - "&amp;'1.4 Analyse &amp; Synthese'!C65&amp;")","")</f>
        <v/>
      </c>
      <c r="EG64" s="277" t="str">
        <f t="array" ref="EG64">_xlfn.IFNA(INDEX($EF$6:$EF$66,MATCH(0,COUNTIF($EG$4:EG63,$EF$6:$EF$66),0),1),"")</f>
        <v/>
      </c>
      <c r="EH64" s="277" t="str">
        <f>IF(AND('1.4 Analyse &amp; Synthese'!AJ65=1,'1.4 Analyse &amp; Synthese'!F65="Methode"),'1.4 Analyse &amp; Synthese'!I65&amp;CHAR(13)&amp;"("&amp;'(Codierung)'!$C$3&amp;" - "&amp;'1.4 Analyse &amp; Synthese'!C65&amp;")","")</f>
        <v/>
      </c>
      <c r="EI64" s="387" t="str">
        <f t="array" ref="EI64">_xlfn.IFNA(INDEX($EH$6:$EH$66,MATCH(0,COUNTIF($EI$4:EI63,$EH$6:$EH$66),0),1),"")</f>
        <v/>
      </c>
      <c r="EJ64" s="277" t="str">
        <f>IF(AND('1.4 Analyse &amp; Synthese'!AJ65=1,'1.4 Analyse &amp; Synthese'!F65="Werkzeug"),'1.4 Analyse &amp; Synthese'!I65&amp;CHAR(13)&amp;"("&amp;'(Codierung)'!$C$4&amp;" - "&amp;'1.4 Analyse &amp; Synthese'!C65&amp;")","")</f>
        <v/>
      </c>
      <c r="EK64" s="387" t="str">
        <f t="array" ref="EK64">_xlfn.IFNA(INDEX($EJ$6:$EJ$66,MATCH(0,COUNTIF($EK$4:EK63,$EJ$6:$EJ$66),0),1),"")</f>
        <v/>
      </c>
      <c r="EN64" s="222" t="str">
        <f t="shared" si="60"/>
        <v/>
      </c>
      <c r="EO64" s="277" t="str">
        <f t="shared" si="61"/>
        <v/>
      </c>
      <c r="EP64" s="277" t="str">
        <f t="shared" si="62"/>
        <v/>
      </c>
      <c r="EQ64" s="277" t="str">
        <f>ZahlenInBereich(Tabelle1[[Empfehlung]:[Werkzeug]],ROW()-5)</f>
        <v/>
      </c>
      <c r="ER64" s="277" t="str">
        <f t="shared" si="63"/>
        <v/>
      </c>
      <c r="ES64" s="277" t="str">
        <f t="shared" si="64"/>
        <v/>
      </c>
      <c r="ET64" s="277" t="str">
        <f t="shared" si="65"/>
        <v/>
      </c>
      <c r="EU64" s="277" t="str">
        <f>ZahlenInBereich(Tabelle1[[Empfehlung2]:[Werkzeug4]],ROW()-5)</f>
        <v/>
      </c>
      <c r="EV64" s="277" t="str">
        <f t="shared" si="66"/>
        <v/>
      </c>
      <c r="EW64" s="277" t="str">
        <f t="shared" si="67"/>
        <v/>
      </c>
      <c r="EX64" s="277" t="str">
        <f t="shared" si="68"/>
        <v/>
      </c>
      <c r="EY64" s="277" t="str">
        <f>ZahlenInBereich(Tabelle1[[Empfehlung6]:[Werkzeug8]],ROW()-5)</f>
        <v/>
      </c>
      <c r="EZ64" s="277" t="str">
        <f t="shared" si="69"/>
        <v/>
      </c>
      <c r="FA64" s="277" t="str">
        <f t="shared" si="70"/>
        <v/>
      </c>
      <c r="FB64" s="277" t="str">
        <f t="shared" si="71"/>
        <v/>
      </c>
      <c r="FC64" s="277" t="str">
        <f>ZahlenInBereich(Tabelle1[[Empfehlung10]:[Werkzeug12]],ROW()-5)</f>
        <v/>
      </c>
      <c r="FD64" s="277" t="str">
        <f t="shared" si="72"/>
        <v/>
      </c>
      <c r="FE64" s="277" t="str">
        <f t="shared" si="73"/>
        <v/>
      </c>
      <c r="FF64" s="277" t="str">
        <f t="shared" si="74"/>
        <v/>
      </c>
      <c r="FG64" s="277" t="str">
        <f>ZahlenInBereich(Tabelle1[[Empfehlung14]:[Werkzeug16]],ROW()-5)</f>
        <v/>
      </c>
      <c r="FH64" s="277" t="str">
        <f t="shared" si="75"/>
        <v/>
      </c>
      <c r="FI64" s="277" t="str">
        <f t="shared" si="76"/>
        <v/>
      </c>
      <c r="FJ64" s="277" t="str">
        <f t="shared" si="77"/>
        <v/>
      </c>
      <c r="FK64" s="277" t="str">
        <f>ZahlenInBereich(Tabelle1[[Empfehlung18]:[Werkzeug20]],ROW()-5)</f>
        <v/>
      </c>
      <c r="FL64" s="277" t="str">
        <f t="shared" si="78"/>
        <v/>
      </c>
      <c r="FM64" s="277" t="str">
        <f t="shared" si="79"/>
        <v/>
      </c>
      <c r="FN64" s="277" t="str">
        <f t="shared" si="80"/>
        <v/>
      </c>
      <c r="FO64" s="277" t="str">
        <f>ZahlenInBereich(Tabelle1[[Empfehlung22]:[Werkzeug24]],ROW()-5)</f>
        <v/>
      </c>
      <c r="FP64" s="277" t="str">
        <f t="shared" si="81"/>
        <v/>
      </c>
      <c r="FQ64" s="277" t="str">
        <f t="shared" si="82"/>
        <v/>
      </c>
      <c r="FR64" s="277" t="str">
        <f t="shared" si="83"/>
        <v/>
      </c>
      <c r="FS64" s="277" t="str">
        <f>ZahlenInBereich(Tabelle1[[Empfehlung26]:[Werkzeug28]],ROW()-5)</f>
        <v/>
      </c>
      <c r="FT64" s="277" t="str">
        <f t="shared" si="84"/>
        <v/>
      </c>
      <c r="FU64" s="277" t="str">
        <f t="shared" si="85"/>
        <v/>
      </c>
      <c r="FV64" s="277" t="str">
        <f t="shared" si="86"/>
        <v/>
      </c>
      <c r="FW64" s="277" t="str">
        <f>ZahlenInBereich(Tabelle1[[Empfehlung30]:[Werkzeug32]],ROW()-5)</f>
        <v/>
      </c>
      <c r="FX64" s="277" t="str">
        <f t="shared" si="87"/>
        <v/>
      </c>
      <c r="FY64" s="277" t="str">
        <f t="shared" si="88"/>
        <v/>
      </c>
      <c r="FZ64" s="277" t="str">
        <f t="shared" si="89"/>
        <v/>
      </c>
      <c r="GA64" s="277" t="str">
        <f>ZahlenInBereich(Tabelle1[[Empfehlung34]:[Werkzeug36]],ROW()-5)</f>
        <v/>
      </c>
      <c r="GB64" s="277" t="str">
        <f t="shared" si="90"/>
        <v/>
      </c>
      <c r="GC64" s="277" t="str">
        <f t="shared" si="91"/>
        <v/>
      </c>
      <c r="GD64" s="277" t="str">
        <f t="shared" si="92"/>
        <v/>
      </c>
      <c r="GE64" s="277" t="str">
        <f>ZahlenInBereich(Tabelle1[[Empfehlung38]:[Werkzeug40]],ROW()-5)</f>
        <v/>
      </c>
      <c r="GF64" s="277" t="str">
        <f t="shared" si="93"/>
        <v/>
      </c>
      <c r="GG64" s="277" t="str">
        <f t="shared" si="94"/>
        <v/>
      </c>
      <c r="GH64" s="277" t="str">
        <f t="shared" si="95"/>
        <v/>
      </c>
      <c r="GI64" s="277" t="str">
        <f>ZahlenInBereich(Tabelle1[[Empfehlung42]:[Werkzeug44]],ROW()-5)</f>
        <v/>
      </c>
      <c r="GJ64" s="277" t="str">
        <f t="shared" si="96"/>
        <v/>
      </c>
      <c r="GK64" s="277" t="str">
        <f t="shared" si="97"/>
        <v/>
      </c>
      <c r="GL64" s="277" t="str">
        <f t="shared" si="98"/>
        <v/>
      </c>
      <c r="GM64" s="277" t="str">
        <f>ZahlenInBereich(Tabelle1[[Empfehlung46]:[Werkzeug48]],ROW()-5)</f>
        <v/>
      </c>
      <c r="GN64" s="277" t="str">
        <f t="shared" si="99"/>
        <v/>
      </c>
      <c r="GO64" s="277" t="str">
        <f t="shared" si="100"/>
        <v/>
      </c>
      <c r="GP64" s="277" t="str">
        <f t="shared" si="101"/>
        <v/>
      </c>
      <c r="GQ64" s="277" t="str">
        <f>ZahlenInBereich(Tabelle1[[Empfehlung50]:[Werkzeug52]],ROW()-5)</f>
        <v/>
      </c>
      <c r="GR64" s="277" t="str">
        <f t="shared" si="102"/>
        <v/>
      </c>
      <c r="GS64" s="277" t="str">
        <f t="shared" si="103"/>
        <v/>
      </c>
      <c r="GT64" s="277" t="str">
        <f t="shared" si="104"/>
        <v/>
      </c>
      <c r="GU64" s="277" t="str">
        <f>ZahlenInBereich(Tabelle1[[Empfehlung54]:[Werkzeug56]],ROW()-5)</f>
        <v/>
      </c>
      <c r="GV64" s="277" t="str">
        <f t="shared" si="105"/>
        <v/>
      </c>
      <c r="GW64" s="277" t="str">
        <f t="shared" si="106"/>
        <v/>
      </c>
      <c r="GX64" s="277" t="str">
        <f t="shared" si="107"/>
        <v/>
      </c>
      <c r="GY64" s="277" t="str">
        <f>ZahlenInBereich(Tabelle1[[Empfehlung58]:[Werkzeug60]],ROW()-5)</f>
        <v/>
      </c>
      <c r="GZ64" s="277" t="str">
        <f t="shared" si="108"/>
        <v/>
      </c>
      <c r="HA64" s="277" t="str">
        <f t="shared" si="109"/>
        <v/>
      </c>
      <c r="HB64" s="277" t="str">
        <f t="shared" si="110"/>
        <v/>
      </c>
      <c r="HC64" s="277" t="str">
        <f>ZahlenInBereich(Tabelle1[[Empfehlung62]:[Werkzeug64]],ROW()-5)</f>
        <v/>
      </c>
      <c r="HD64" s="277" t="str">
        <f t="shared" si="111"/>
        <v/>
      </c>
      <c r="HE64" s="277" t="str">
        <f t="shared" si="112"/>
        <v/>
      </c>
      <c r="HF64" s="277" t="str">
        <f t="shared" si="113"/>
        <v/>
      </c>
      <c r="HG64" s="277" t="str">
        <f>ZahlenInBereich(Tabelle1[[Empfehlung66]:[Werkzeug68]],ROW()-5)</f>
        <v/>
      </c>
      <c r="HH64" s="277" t="str">
        <f t="shared" si="114"/>
        <v/>
      </c>
      <c r="HI64" s="277" t="str">
        <f t="shared" si="115"/>
        <v/>
      </c>
      <c r="HJ64" s="277" t="str">
        <f t="shared" si="116"/>
        <v/>
      </c>
      <c r="HK64" s="277" t="str">
        <f>ZahlenInBereich(Tabelle1[[Empfehlung70]:[Werkzeug72]],ROW()-5)</f>
        <v/>
      </c>
      <c r="HL64" s="277" t="str">
        <f t="shared" si="117"/>
        <v/>
      </c>
      <c r="HM64" s="277" t="str">
        <f t="shared" si="118"/>
        <v/>
      </c>
      <c r="HN64" s="277" t="str">
        <f t="shared" si="119"/>
        <v/>
      </c>
      <c r="HO64" s="277" t="str">
        <f>ZahlenInBereich(Tabelle1[[Empfehlung74]:[Werkzeug76]],ROW()-5)</f>
        <v/>
      </c>
    </row>
    <row r="65" spans="2:223" x14ac:dyDescent="0.2">
      <c r="B65" s="135">
        <f>'1.4 Analyse &amp; Synthese'!B66</f>
        <v>0</v>
      </c>
      <c r="C65" s="277" t="str">
        <f>IF(AND('1.4 Analyse &amp; Synthese'!Q66=1,'1.4 Analyse &amp; Synthese'!F66="Empfehlung"),'1.4 Analyse &amp; Synthese'!I66&amp;CHAR(13)&amp;"("&amp;'(Codierung)'!$C$2&amp;" - "&amp;'1.4 Analyse &amp; Synthese'!C66&amp;")","")</f>
        <v/>
      </c>
      <c r="D65" s="222" t="str">
        <f t="array" ref="D65">_xlfn.IFNA(INDEX($C$6:$C$66,MATCH(0,COUNTIF($D$4:D64,$C$6:$C$66),0),1),"")</f>
        <v/>
      </c>
      <c r="E65" s="277" t="str">
        <f>IF(AND('1.4 Analyse &amp; Synthese'!Q66=1,'1.4 Analyse &amp; Synthese'!F66="Methode"),'1.4 Analyse &amp; Synthese'!I66&amp;CHAR(13)&amp;"("&amp;'(Codierung)'!$C$3&amp;" - "&amp;'1.4 Analyse &amp; Synthese'!C66&amp;")","")</f>
        <v/>
      </c>
      <c r="F65" s="387" t="str">
        <f t="array" ref="F65">_xlfn.IFNA(INDEX($E$6:$E$66,MATCH(0,COUNTIF($F$4:F64,$E$6:$E$66),0),1),"")</f>
        <v/>
      </c>
      <c r="G65" s="277" t="str">
        <f>IF(AND('1.4 Analyse &amp; Synthese'!Q66=1,'1.4 Analyse &amp; Synthese'!F66="Werkzeug"),'1.4 Analyse &amp; Synthese'!I66&amp;CHAR(13)&amp;"("&amp;'(Codierung)'!$C$4&amp;" - "&amp;'1.4 Analyse &amp; Synthese'!C66&amp;")","")</f>
        <v/>
      </c>
      <c r="H65" s="387" t="str">
        <f t="array" ref="H65">_xlfn.IFNA(INDEX($G$6:$G$66,MATCH(0,COUNTIF($H$4:H64,$G$6:$G$66),0),1),"")</f>
        <v/>
      </c>
      <c r="J65" s="277" t="str">
        <f>IF(AND('1.4 Analyse &amp; Synthese'!R66=1,'1.4 Analyse &amp; Synthese'!F66="Empfehlung"),'1.4 Analyse &amp; Synthese'!I66&amp;CHAR(13)&amp;"("&amp;'(Codierung)'!$C$2&amp;" - "&amp;'1.4 Analyse &amp; Synthese'!C66&amp;")","")</f>
        <v/>
      </c>
      <c r="K65" s="387" t="str">
        <f t="array" ref="K65">_xlfn.IFNA(INDEX($J$6:$J$66,MATCH(0,COUNTIF($K$4:K64,$J$6:$J$66),0),1),"")</f>
        <v/>
      </c>
      <c r="L65" s="277" t="str">
        <f>IF(AND('1.4 Analyse &amp; Synthese'!R66=1,'1.4 Analyse &amp; Synthese'!F66="Methode"),'1.4 Analyse &amp; Synthese'!I66&amp;CHAR(13)&amp;"("&amp;'(Codierung)'!$C$3&amp;" - "&amp;'1.4 Analyse &amp; Synthese'!C66&amp;")","")</f>
        <v/>
      </c>
      <c r="M65" s="387" t="str">
        <f t="array" ref="M65">_xlfn.IFNA(INDEX($L$6:$L$66,MATCH(0,COUNTIF($M$4:M64,$L$6:$L$66),0),1),"")</f>
        <v/>
      </c>
      <c r="N65" s="277" t="str">
        <f>IF(AND('1.4 Analyse &amp; Synthese'!R66=1,'1.4 Analyse &amp; Synthese'!F66="Werkzeug"),'1.4 Analyse &amp; Synthese'!I66&amp;CHAR(13)&amp;"("&amp;'(Codierung)'!$C$4&amp;" - "&amp;'1.4 Analyse &amp; Synthese'!C66&amp;")","")</f>
        <v/>
      </c>
      <c r="O65" s="387" t="str">
        <f t="array" ref="O65">_xlfn.IFNA(INDEX($N$6:$N$66,MATCH(0,COUNTIF($O$4:O64,$N$6:$N$66),0),1),"")</f>
        <v/>
      </c>
      <c r="Q65" s="277" t="str">
        <f>IF(AND('1.4 Analyse &amp; Synthese'!S66=1,'1.4 Analyse &amp; Synthese'!F66="Empfehlung"),'1.4 Analyse &amp; Synthese'!I66&amp;CHAR(13)&amp;"("&amp;'(Codierung)'!$C$2&amp;" - "&amp;'1.4 Analyse &amp; Synthese'!C66&amp;")","")</f>
        <v/>
      </c>
      <c r="R65" s="387" t="str">
        <f t="array" ref="R65">_xlfn.IFNA(INDEX($Q$6:$Q$66,MATCH(0,COUNTIF($R$4:R64,$Q$6:$Q$66),0),1),"")</f>
        <v/>
      </c>
      <c r="S65" s="277" t="str">
        <f>IF(AND('1.4 Analyse &amp; Synthese'!S66=1,'1.4 Analyse &amp; Synthese'!F66="Methode"),'1.4 Analyse &amp; Synthese'!I66&amp;CHAR(13)&amp;"("&amp;'(Codierung)'!$C$3&amp;" - "&amp;'1.4 Analyse &amp; Synthese'!C66&amp;")","")</f>
        <v/>
      </c>
      <c r="T65" s="387" t="str">
        <f t="array" ref="T65">_xlfn.IFNA(INDEX($S$6:$S$66,MATCH(0,COUNTIF($T$4:T64,$S$6:$S$66),0),1),"")</f>
        <v/>
      </c>
      <c r="U65" s="277" t="str">
        <f>IF(AND('1.4 Analyse &amp; Synthese'!S66=1,'1.4 Analyse &amp; Synthese'!F66="Werkzeug"),'1.4 Analyse &amp; Synthese'!I66&amp;CHAR(13)&amp;"("&amp;'(Codierung)'!$C$4&amp;" - "&amp;'1.4 Analyse &amp; Synthese'!C66&amp;")","")</f>
        <v/>
      </c>
      <c r="V65" s="387" t="str">
        <f t="array" ref="V65">_xlfn.IFNA(INDEX($U$6:$U$66,MATCH(0,COUNTIF($V$4:V64,$U$6:$U$66),0),1),"")</f>
        <v/>
      </c>
      <c r="X65" s="277" t="str">
        <f>IF(AND('1.4 Analyse &amp; Synthese'!T66=1,'1.4 Analyse &amp; Synthese'!F66="Empfehlung"),'1.4 Analyse &amp; Synthese'!I66&amp;CHAR(13)&amp;"("&amp;'(Codierung)'!$C$2&amp;" - "&amp;'1.4 Analyse &amp; Synthese'!C66&amp;")","")</f>
        <v/>
      </c>
      <c r="Y65" s="387" t="str">
        <f t="array" ref="Y65">_xlfn.IFNA(INDEX($X$6:$X$66,MATCH(0,COUNTIF($Y$4:Y64,$X$6:$X$66),0),1),"")</f>
        <v/>
      </c>
      <c r="Z65" s="277" t="str">
        <f>IF(AND('1.4 Analyse &amp; Synthese'!T66=1,'1.4 Analyse &amp; Synthese'!F66="Methode"),'1.4 Analyse &amp; Synthese'!I66&amp;CHAR(13)&amp;"("&amp;'(Codierung)'!$C$3&amp;" - "&amp;'1.4 Analyse &amp; Synthese'!C66&amp;")","")</f>
        <v/>
      </c>
      <c r="AA65" s="387" t="str">
        <f t="array" ref="AA65">_xlfn.IFNA(INDEX($Z$6:$Z$66,MATCH(0,COUNTIF($AA$4:AA64,$Z$6:$Z$66),0),1),"")</f>
        <v/>
      </c>
      <c r="AB65" s="277" t="str">
        <f>IF(AND('1.4 Analyse &amp; Synthese'!T66=1,'1.4 Analyse &amp; Synthese'!F66="Werkzeug"),'1.4 Analyse &amp; Synthese'!I66&amp;CHAR(13)&amp;"("&amp;'(Codierung)'!$C$4&amp;" - "&amp;'1.4 Analyse &amp; Synthese'!C66&amp;")","")</f>
        <v/>
      </c>
      <c r="AC65" s="387" t="str">
        <f t="array" ref="AC65">_xlfn.IFNA(INDEX($AB$6:$AB$66,MATCH(0,COUNTIF($AC$4:AC64,$AB$6:$AB$66),0),1),"")</f>
        <v/>
      </c>
      <c r="AE65" s="277" t="str">
        <f>IF(AND('1.4 Analyse &amp; Synthese'!U66=1,'1.4 Analyse &amp; Synthese'!F66="Empfehlung"),'1.4 Analyse &amp; Synthese'!I66&amp;CHAR(13)&amp;"("&amp;'(Codierung)'!$C$2&amp;" - "&amp;'1.4 Analyse &amp; Synthese'!C66&amp;")","")</f>
        <v/>
      </c>
      <c r="AF65" s="387" t="str">
        <f t="array" ref="AF65">_xlfn.IFNA(INDEX($AE$6:$AE$66,MATCH(0,COUNTIF($AF$4:AF64,$AE$6:$AE$66),0),1),"")</f>
        <v/>
      </c>
      <c r="AG65" s="277" t="str">
        <f>IF(AND('1.4 Analyse &amp; Synthese'!U66=1,'1.4 Analyse &amp; Synthese'!F66="Methode"),'1.4 Analyse &amp; Synthese'!I66&amp;CHAR(13)&amp;"("&amp;'(Codierung)'!$C$3&amp;" - "&amp;'1.4 Analyse &amp; Synthese'!C66&amp;")","")</f>
        <v/>
      </c>
      <c r="AH65" s="387" t="str">
        <f t="array" ref="AH65">_xlfn.IFNA(INDEX($AG$6:$AG$66,MATCH(0,COUNTIF($AH$4:AH64,$AG$6:$AG$66),0),1),"")</f>
        <v/>
      </c>
      <c r="AI65" s="277" t="str">
        <f>IF(AND('1.4 Analyse &amp; Synthese'!U66=1,'1.4 Analyse &amp; Synthese'!F66="Werkzeug"),'1.4 Analyse &amp; Synthese'!I66&amp;CHAR(13)&amp;"("&amp;'(Codierung)'!$C$4&amp;" - "&amp;'1.4 Analyse &amp; Synthese'!C66&amp;")","")</f>
        <v/>
      </c>
      <c r="AJ65" s="387" t="str">
        <f t="array" ref="AJ65">_xlfn.IFNA(INDEX($AI$6:$AI$66,MATCH(0,COUNTIF($AJ$4:AJ64,$AI$6:$AI$66),0),1),"")</f>
        <v/>
      </c>
      <c r="AL65" s="277" t="str">
        <f>IF(AND('1.4 Analyse &amp; Synthese'!V66=1,'1.4 Analyse &amp; Synthese'!F66="Empfehlung"),'1.4 Analyse &amp; Synthese'!I66&amp;CHAR(13)&amp;"("&amp;'(Codierung)'!$C$2&amp;" - "&amp;'1.4 Analyse &amp; Synthese'!C66&amp;")","")</f>
        <v/>
      </c>
      <c r="AM65" s="387" t="str">
        <f t="array" ref="AM65">_xlfn.IFNA(INDEX($AL$6:$AL$66,MATCH(0,COUNTIF($AM$4:AM64,$AL$6:$AL$66),0),1),"")</f>
        <v/>
      </c>
      <c r="AN65" s="277" t="str">
        <f>IF(AND('1.4 Analyse &amp; Synthese'!V66=1,'1.4 Analyse &amp; Synthese'!F66="Methode"),'1.4 Analyse &amp; Synthese'!I66&amp;CHAR(13)&amp;"("&amp;'(Codierung)'!$C$3&amp;" - "&amp;'1.4 Analyse &amp; Synthese'!C66&amp;")","")</f>
        <v/>
      </c>
      <c r="AO65" s="387" t="str">
        <f t="array" ref="AO65">_xlfn.IFNA(INDEX($AN$6:$AN$66,MATCH(0,COUNTIF($AO$4:AO64,$AN$6:$AN$66),0),1),"")</f>
        <v/>
      </c>
      <c r="AP65" s="277" t="str">
        <f>IF(AND('1.4 Analyse &amp; Synthese'!V66=1,'1.4 Analyse &amp; Synthese'!F66="Werkzeug"),'1.4 Analyse &amp; Synthese'!I66&amp;CHAR(13)&amp;"("&amp;'(Codierung)'!$C$4&amp;" - "&amp;'1.4 Analyse &amp; Synthese'!C66&amp;")","")</f>
        <v/>
      </c>
      <c r="AQ65" s="387" t="str">
        <f t="array" ref="AQ65">_xlfn.IFNA(INDEX($AP$6:$AP$66,MATCH(0,COUNTIF($AQ$4:AQ64,$AP$6:$AP$66),0),1),"")</f>
        <v/>
      </c>
      <c r="AS65" s="277" t="str">
        <f>IF(AND('1.4 Analyse &amp; Synthese'!W66=1,'1.4 Analyse &amp; Synthese'!F66="Empfehlung"),'1.4 Analyse &amp; Synthese'!I66&amp;CHAR(13)&amp;"("&amp;'(Codierung)'!$C$2&amp;" - "&amp;'1.4 Analyse &amp; Synthese'!C66&amp;")","")</f>
        <v/>
      </c>
      <c r="AT65" s="387" t="str">
        <f t="array" ref="AT65">_xlfn.IFNA(INDEX($AS$6:$AS$66,MATCH(0,COUNTIF($AT$4:AT64,$AS$6:$AS$66),0),1),"")</f>
        <v/>
      </c>
      <c r="AU65" s="277" t="str">
        <f>IF(AND('1.4 Analyse &amp; Synthese'!W66=1,'1.4 Analyse &amp; Synthese'!F66="Methode"),'1.4 Analyse &amp; Synthese'!I66&amp;CHAR(13)&amp;"("&amp;'(Codierung)'!$C$3&amp;" - "&amp;'1.4 Analyse &amp; Synthese'!C66&amp;")","")</f>
        <v/>
      </c>
      <c r="AV65" s="387" t="str">
        <f t="array" ref="AV65">_xlfn.IFNA(INDEX($AU$6:$AU$66,MATCH(0,COUNTIF($AV$4:AV64,$AU$6:$AU$66),0),1),"")</f>
        <v/>
      </c>
      <c r="AW65" s="277" t="str">
        <f>IF(AND('1.4 Analyse &amp; Synthese'!W66=1,'1.4 Analyse &amp; Synthese'!F66="Werkzeug"),'1.4 Analyse &amp; Synthese'!I66&amp;CHAR(13)&amp;"("&amp;'(Codierung)'!$C$4&amp;" - "&amp;'1.4 Analyse &amp; Synthese'!C66&amp;")","")</f>
        <v/>
      </c>
      <c r="AX65" s="387" t="str">
        <f t="array" ref="AX65">_xlfn.IFNA(INDEX($AW$6:$AW$66,MATCH(0,COUNTIF($AX$4:AX64,$AW$6:$AW$66),0),1),"")</f>
        <v/>
      </c>
      <c r="AZ65" s="277" t="str">
        <f>IF(AND('1.4 Analyse &amp; Synthese'!X66=1,'1.4 Analyse &amp; Synthese'!F66="Empfehlung"),'1.4 Analyse &amp; Synthese'!I66&amp;CHAR(13)&amp;"("&amp;'(Codierung)'!$C$2&amp;" - "&amp;'1.4 Analyse &amp; Synthese'!C66&amp;")","")</f>
        <v/>
      </c>
      <c r="BA65" s="387" t="str">
        <f t="array" ref="BA65">_xlfn.IFNA(INDEX($AZ$6:$AZ$66,MATCH(0,COUNTIF($BA$4:BA64,$AZ$6:$AZ$66),0),1),"")</f>
        <v/>
      </c>
      <c r="BB65" s="277" t="str">
        <f>IF(AND('1.4 Analyse &amp; Synthese'!X66=1,'1.4 Analyse &amp; Synthese'!F66="Methode"),'1.4 Analyse &amp; Synthese'!I66&amp;CHAR(13)&amp;"("&amp;'(Codierung)'!$C$3&amp;" - "&amp;'1.4 Analyse &amp; Synthese'!C66&amp;")","")</f>
        <v/>
      </c>
      <c r="BC65" s="387" t="str">
        <f t="array" ref="BC65">_xlfn.IFNA(INDEX($BB$6:$BB$66,MATCH(0,COUNTIF($BC$4:BC64,$BB$6:$BB$66),0),1),"")</f>
        <v/>
      </c>
      <c r="BD65" s="277" t="str">
        <f>IF(AND('1.4 Analyse &amp; Synthese'!X66=1,'1.4 Analyse &amp; Synthese'!F66="Werkzeug"),'1.4 Analyse &amp; Synthese'!I66&amp;CHAR(13)&amp;"("&amp;'(Codierung)'!$C$4&amp;" - "&amp;'1.4 Analyse &amp; Synthese'!C66&amp;")","")</f>
        <v/>
      </c>
      <c r="BE65" s="387" t="str">
        <f t="array" ref="BE65">_xlfn.IFNA(INDEX($BD$6:$BD$66,MATCH(0,COUNTIF($BE$4:BE64,$BD$6:$BD$66),0),1),"")</f>
        <v/>
      </c>
      <c r="BG65" s="277" t="str">
        <f>IF(AND('1.4 Analyse &amp; Synthese'!Y66=1,'1.4 Analyse &amp; Synthese'!F66="Empfehlung"),'1.4 Analyse &amp; Synthese'!I66&amp;CHAR(13)&amp;"("&amp;'(Codierung)'!$C$2&amp;" - "&amp;'1.4 Analyse &amp; Synthese'!C66&amp;")","")</f>
        <v/>
      </c>
      <c r="BH65" s="387" t="str">
        <f t="array" ref="BH65">_xlfn.IFNA(INDEX($BG$6:$BG$66,MATCH(0,COUNTIF($BH$4:BH64,$BG$6:$BG$66),0),1),"")</f>
        <v/>
      </c>
      <c r="BI65" s="277" t="str">
        <f>IF(AND('1.4 Analyse &amp; Synthese'!Y66=1,'1.4 Analyse &amp; Synthese'!F66="Methode"),'1.4 Analyse &amp; Synthese'!I66&amp;CHAR(13)&amp;"("&amp;'(Codierung)'!$C$3&amp;" - "&amp;'1.4 Analyse &amp; Synthese'!C66&amp;")","")</f>
        <v/>
      </c>
      <c r="BJ65" s="387" t="str">
        <f t="array" ref="BJ65">_xlfn.IFNA(INDEX($BI$6:$BI$66,MATCH(0,COUNTIF($BJ$4:BJ64,$BI$6:$BI$66),0),1),"")</f>
        <v/>
      </c>
      <c r="BK65" s="277" t="str">
        <f>IF(AND('1.4 Analyse &amp; Synthese'!Y66=1,'1.4 Analyse &amp; Synthese'!F66="Werkzeug"),'1.4 Analyse &amp; Synthese'!I66&amp;CHAR(13)&amp;"("&amp;'(Codierung)'!$C$4&amp;" - "&amp;'1.4 Analyse &amp; Synthese'!C66&amp;")","")</f>
        <v/>
      </c>
      <c r="BL65" s="387" t="str">
        <f t="array" ref="BL65">_xlfn.IFNA(INDEX($BK$6:$BK$66,MATCH(0,COUNTIF($BL$4:BL64,$BK$6:$BK$66),0),1),"")</f>
        <v/>
      </c>
      <c r="BN65" s="277" t="str">
        <f>IF(AND('1.4 Analyse &amp; Synthese'!Z66=1,'1.4 Analyse &amp; Synthese'!F66="Empfehlung"),'1.4 Analyse &amp; Synthese'!I66&amp;CHAR(13)&amp;"("&amp;'(Codierung)'!$C$2&amp;" - "&amp;'1.4 Analyse &amp; Synthese'!C66&amp;")","")</f>
        <v/>
      </c>
      <c r="BO65" s="387" t="str">
        <f t="array" ref="BO65">_xlfn.IFNA(INDEX($BN$6:$BN$66,MATCH(0,COUNTIF($BO$4:BO64,$BN$6:$BN$66),0),1),"")</f>
        <v/>
      </c>
      <c r="BP65" s="277" t="str">
        <f>IF(AND('1.4 Analyse &amp; Synthese'!Z66=1,'1.4 Analyse &amp; Synthese'!F66="Methode"),'1.4 Analyse &amp; Synthese'!I66&amp;CHAR(13)&amp;"("&amp;'(Codierung)'!$C$3&amp;" - "&amp;'1.4 Analyse &amp; Synthese'!C66&amp;")","")</f>
        <v/>
      </c>
      <c r="BQ65" s="387" t="str">
        <f t="array" ref="BQ65">_xlfn.IFNA(INDEX($BP$6:$BP$66,MATCH(0,COUNTIF($BQ$4:BQ64,$BP$6:$BP$66),0),1),"")</f>
        <v/>
      </c>
      <c r="BR65" s="277" t="str">
        <f>IF(AND('1.4 Analyse &amp; Synthese'!Z66=1,'1.4 Analyse &amp; Synthese'!F66="Werkzeug"),'1.4 Analyse &amp; Synthese'!I66&amp;CHAR(13)&amp;"("&amp;'(Codierung)'!$C$4&amp;" - "&amp;'1.4 Analyse &amp; Synthese'!C66&amp;")","")</f>
        <v/>
      </c>
      <c r="BS65" s="387" t="str">
        <f t="array" ref="BS65">_xlfn.IFNA(INDEX($BR$6:$BR$66,MATCH(0,COUNTIF($BS$4:BS64,$BR$6:$BR$66),0),1),"")</f>
        <v/>
      </c>
      <c r="BU65" s="277" t="str">
        <f>IF(AND('1.4 Analyse &amp; Synthese'!AA66=1,'1.4 Analyse &amp; Synthese'!F66="Empfehlung"),'1.4 Analyse &amp; Synthese'!I66&amp;CHAR(13)&amp;"("&amp;'(Codierung)'!$C$2&amp;" - "&amp;'1.4 Analyse &amp; Synthese'!C66&amp;")","")</f>
        <v/>
      </c>
      <c r="BV65" s="387" t="str">
        <f t="array" ref="BV65">_xlfn.IFNA(INDEX($BU$6:$BU$66,MATCH(0,COUNTIF($BV$4:BV64,$BU$6:$BU$66),0),1),"")</f>
        <v/>
      </c>
      <c r="BW65" s="277" t="str">
        <f>IF(AND('1.4 Analyse &amp; Synthese'!AA66=1,'1.4 Analyse &amp; Synthese'!F66="Methode"),'1.4 Analyse &amp; Synthese'!I66&amp;CHAR(13)&amp;"("&amp;'(Codierung)'!$C$3&amp;" - "&amp;'1.4 Analyse &amp; Synthese'!C66&amp;")","")</f>
        <v/>
      </c>
      <c r="BX65" s="387" t="str">
        <f t="array" ref="BX65">_xlfn.IFNA(INDEX($BW$6:$BW$66,MATCH(0,COUNTIF($BX$4:BX64,$BW$6:$BW$66),0),1),"")</f>
        <v/>
      </c>
      <c r="BY65" s="277" t="str">
        <f>IF(AND('1.4 Analyse &amp; Synthese'!AA66=1,'1.4 Analyse &amp; Synthese'!F66="Werkzeug"),'1.4 Analyse &amp; Synthese'!I66&amp;CHAR(13)&amp;"("&amp;'(Codierung)'!$C$4&amp;" - "&amp;'1.4 Analyse &amp; Synthese'!C66&amp;")","")</f>
        <v/>
      </c>
      <c r="BZ65" s="387" t="str">
        <f t="array" ref="BZ65">_xlfn.IFNA(INDEX($BY$6:$BY$66,MATCH(0,COUNTIF($BZ$4:BZ64,$BY$6:$BY$66),0),1),"")</f>
        <v/>
      </c>
      <c r="CB65" s="277" t="str">
        <f>IF(AND('1.4 Analyse &amp; Synthese'!AB66=1,'1.4 Analyse &amp; Synthese'!F66="Empfehlung"),'1.4 Analyse &amp; Synthese'!I66&amp;CHAR(13)&amp;"("&amp;'(Codierung)'!$C$2&amp;" - "&amp;'1.4 Analyse &amp; Synthese'!C66&amp;")","")</f>
        <v/>
      </c>
      <c r="CC65" s="387" t="str">
        <f t="array" ref="CC65">_xlfn.IFNA(INDEX($CB$6:$CB$66,MATCH(0,COUNTIF($CC$4:CC64,$CB$6:$CB$66),0),1),"")</f>
        <v/>
      </c>
      <c r="CD65" s="277" t="str">
        <f>IF(AND('1.4 Analyse &amp; Synthese'!AB66=1,'1.4 Analyse &amp; Synthese'!F66="Methode"),'1.4 Analyse &amp; Synthese'!I66&amp;CHAR(13)&amp;"("&amp;'(Codierung)'!$C$3&amp;" - "&amp;'1.4 Analyse &amp; Synthese'!C66&amp;")","")</f>
        <v/>
      </c>
      <c r="CE65" s="387" t="str">
        <f t="array" ref="CE65">_xlfn.IFNA(INDEX($CD$6:$CD$66,MATCH(0,COUNTIF($CE$4:CE64,$CD$6:$CD$66),0),1),"")</f>
        <v/>
      </c>
      <c r="CF65" s="277" t="str">
        <f>IF(AND('1.4 Analyse &amp; Synthese'!AB66=1,'1.4 Analyse &amp; Synthese'!F66="Werkzeug"),'1.4 Analyse &amp; Synthese'!I66&amp;CHAR(13)&amp;"("&amp;'(Codierung)'!$C$4&amp;" - "&amp;'1.4 Analyse &amp; Synthese'!C66&amp;")","")</f>
        <v/>
      </c>
      <c r="CG65" s="387" t="str">
        <f t="array" ref="CG65">_xlfn.IFNA(INDEX($CF$6:$CF$66,MATCH(0,COUNTIF($CG$4:CG64,$CF$6:$CF$66),0),1),"")</f>
        <v/>
      </c>
      <c r="CI65" s="277" t="str">
        <f>IF(AND('1.4 Analyse &amp; Synthese'!AC66=1,'1.4 Analyse &amp; Synthese'!F66="Empfehlung"),'1.4 Analyse &amp; Synthese'!I66&amp;CHAR(13)&amp;"("&amp;'(Codierung)'!$C$2&amp;" - "&amp;'1.4 Analyse &amp; Synthese'!C66&amp;")","")</f>
        <v/>
      </c>
      <c r="CJ65" s="387" t="str">
        <f t="array" ref="CJ65">_xlfn.IFNA(INDEX($CI$6:$CI$66,MATCH(0,COUNTIF($CJ$4:CJ64,$CI$6:$CI$66),0),1),"")</f>
        <v/>
      </c>
      <c r="CK65" s="277" t="str">
        <f>IF(AND('1.4 Analyse &amp; Synthese'!AC66=1,'1.4 Analyse &amp; Synthese'!F66="Methode"),'1.4 Analyse &amp; Synthese'!I66&amp;CHAR(13)&amp;"("&amp;'(Codierung)'!$C$3&amp;" - "&amp;'1.4 Analyse &amp; Synthese'!C66&amp;")","")</f>
        <v/>
      </c>
      <c r="CL65" s="387" t="str">
        <f t="array" ref="CL65">_xlfn.IFNA(INDEX($CK$6:$CK$66,MATCH(0,COUNTIF($CL$4:CL64,$CK$6:$CK$66),0),1),"")</f>
        <v/>
      </c>
      <c r="CM65" s="277" t="str">
        <f>IF(AND('1.4 Analyse &amp; Synthese'!AC66=1,'1.4 Analyse &amp; Synthese'!F66="Werkzeug"),'1.4 Analyse &amp; Synthese'!I66&amp;CHAR(13)&amp;"("&amp;'(Codierung)'!$C$4&amp;" - "&amp;'1.4 Analyse &amp; Synthese'!C66&amp;")","")</f>
        <v/>
      </c>
      <c r="CN65" s="387" t="str">
        <f t="array" ref="CN65">_xlfn.IFNA(INDEX($CM$6:$CM$66,MATCH(0,COUNTIF($CN$4:CN64,$CM$6:$CM$66),0),1),"")</f>
        <v/>
      </c>
      <c r="CP65" s="277" t="str">
        <f>IF(AND('1.4 Analyse &amp; Synthese'!AD66=1,'1.4 Analyse &amp; Synthese'!F66="Empfehlung"),'1.4 Analyse &amp; Synthese'!I66&amp;CHAR(13)&amp;"("&amp;'(Codierung)'!$C$2&amp;" - "&amp;'1.4 Analyse &amp; Synthese'!C66&amp;")","")</f>
        <v/>
      </c>
      <c r="CQ65" s="387" t="str">
        <f t="array" ref="CQ65">_xlfn.IFNA(INDEX($CP$6:$CP$66,MATCH(0,COUNTIF($CQ$4:CQ64,$CP$6:$CP$66),0),1),"")</f>
        <v/>
      </c>
      <c r="CR65" s="277" t="str">
        <f>IF(AND('1.4 Analyse &amp; Synthese'!AD66=1,'1.4 Analyse &amp; Synthese'!F66="Methode"),'1.4 Analyse &amp; Synthese'!I66&amp;CHAR(13)&amp;"("&amp;'(Codierung)'!$C$3&amp;" - "&amp;'1.4 Analyse &amp; Synthese'!C66&amp;")","")</f>
        <v/>
      </c>
      <c r="CS65" s="387" t="str">
        <f t="array" ref="CS65">_xlfn.IFNA(INDEX($CR$6:$CR$66,MATCH(0,COUNTIF($CS$4:CS64,$CR$6:$CR$66),0),1),"")</f>
        <v/>
      </c>
      <c r="CT65" s="277" t="str">
        <f>IF(AND('1.4 Analyse &amp; Synthese'!AD66=1,'1.4 Analyse &amp; Synthese'!F66="Werkzeug"),'1.4 Analyse &amp; Synthese'!I66&amp;CHAR(13)&amp;"("&amp;'(Codierung)'!$C$4&amp;" - "&amp;'1.4 Analyse &amp; Synthese'!C66&amp;")","")</f>
        <v/>
      </c>
      <c r="CU65" s="387" t="str">
        <f t="array" ref="CU65">_xlfn.IFNA(INDEX($CT$6:$CT$66,MATCH(0,COUNTIF($CU$4:CU64,$CT$6:$CT$66),0),1),"")</f>
        <v/>
      </c>
      <c r="CW65" s="277" t="str">
        <f>IF(AND('1.4 Analyse &amp; Synthese'!AE66=1,'1.4 Analyse &amp; Synthese'!F66="Empfehlung"),'1.4 Analyse &amp; Synthese'!I66&amp;CHAR(13)&amp;"("&amp;'(Codierung)'!$C$2&amp;" - "&amp;'1.4 Analyse &amp; Synthese'!C66&amp;")","")</f>
        <v/>
      </c>
      <c r="CX65" s="387" t="str">
        <f t="array" ref="CX65">_xlfn.IFNA(INDEX($CW$6:$CW$66,MATCH(0,COUNTIF($CX$4:CX64,$CW$6:$CW$66),0),1),"")</f>
        <v/>
      </c>
      <c r="CY65" s="277" t="str">
        <f>IF(AND('1.4 Analyse &amp; Synthese'!AE66=1,'1.4 Analyse &amp; Synthese'!F66="Methode"),'1.4 Analyse &amp; Synthese'!I66&amp;CHAR(13)&amp;"("&amp;'(Codierung)'!$C$3&amp;" - "&amp;'1.4 Analyse &amp; Synthese'!C66&amp;")","")</f>
        <v/>
      </c>
      <c r="CZ65" s="387" t="str">
        <f t="array" ref="CZ65">_xlfn.IFNA(INDEX($CY$6:$CY$66,MATCH(0,COUNTIF($CZ$4:CZ64,$CY$6:$CY$66),0),1),"")</f>
        <v/>
      </c>
      <c r="DA65" s="277" t="str">
        <f>IF(AND('1.4 Analyse &amp; Synthese'!AE66=1,'1.4 Analyse &amp; Synthese'!F66="Werkzeug"),'1.4 Analyse &amp; Synthese'!I66&amp;CHAR(13)&amp;"("&amp;'(Codierung)'!$C$4&amp;" - "&amp;'1.4 Analyse &amp; Synthese'!C66&amp;")","")</f>
        <v/>
      </c>
      <c r="DB65" s="387" t="str">
        <f t="array" ref="DB65">_xlfn.IFNA(INDEX($DA$6:$DA$66,MATCH(0,COUNTIF($DB$4:DB64,$DA$6:$DA$66),0),1),"")</f>
        <v/>
      </c>
      <c r="DD65" s="277" t="str">
        <f>IF(AND('1.4 Analyse &amp; Synthese'!AF66=1,'1.4 Analyse &amp; Synthese'!F66="Empfehlung"),'1.4 Analyse &amp; Synthese'!I66&amp;CHAR(13)&amp;"("&amp;'(Codierung)'!$C$2&amp;" - "&amp;'1.4 Analyse &amp; Synthese'!C66&amp;")","")</f>
        <v/>
      </c>
      <c r="DE65" s="387" t="str">
        <f t="array" ref="DE65">_xlfn.IFNA(INDEX($DD$6:$DD$66,MATCH(0,COUNTIF($DE$4:DE64,$DD$6:$DD$66),0),1),"")</f>
        <v/>
      </c>
      <c r="DF65" s="277" t="str">
        <f>IF(AND('1.4 Analyse &amp; Synthese'!AF66=1,'1.4 Analyse &amp; Synthese'!F66="Methode"),'1.4 Analyse &amp; Synthese'!I66&amp;CHAR(13)&amp;"("&amp;'(Codierung)'!$C$3&amp;" - "&amp;'1.4 Analyse &amp; Synthese'!C66&amp;")","")</f>
        <v/>
      </c>
      <c r="DG65" s="387" t="str">
        <f t="array" ref="DG65">_xlfn.IFNA(INDEX($DF$6:$DF$66,MATCH(0,COUNTIF($DG$4:DG64,$DF$6:$DF$66),0),1),"")</f>
        <v/>
      </c>
      <c r="DH65" s="277" t="str">
        <f>IF(AND('1.4 Analyse &amp; Synthese'!AF66=1,'1.4 Analyse &amp; Synthese'!F66="Werkzeug"),'1.4 Analyse &amp; Synthese'!I66&amp;CHAR(13)&amp;"("&amp;'(Codierung)'!$C$4&amp;" - "&amp;'1.4 Analyse &amp; Synthese'!C66&amp;")","")</f>
        <v/>
      </c>
      <c r="DI65" s="387" t="str">
        <f t="array" ref="DI65">_xlfn.IFNA(INDEX($DH$6:$DH$66,MATCH(0,COUNTIF($DI$4:DI64,$DH$6:$DH$66),0),1),"")</f>
        <v/>
      </c>
      <c r="DK65" s="277" t="str">
        <f>IF(AND('1.4 Analyse &amp; Synthese'!AG66=1,'1.4 Analyse &amp; Synthese'!F66="Empfehlung"),'1.4 Analyse &amp; Synthese'!I66&amp;CHAR(13)&amp;"("&amp;'(Codierung)'!$C$2&amp;" - "&amp;'1.4 Analyse &amp; Synthese'!C66&amp;")","")</f>
        <v/>
      </c>
      <c r="DL65" s="387" t="str">
        <f t="array" ref="DL65">_xlfn.IFNA(INDEX($DK$6:$DK$66,MATCH(0,COUNTIF($DL$4:DL64,$DK$6:$DK$66),0),1),"")</f>
        <v/>
      </c>
      <c r="DM65" s="277" t="str">
        <f>IF(AND('1.4 Analyse &amp; Synthese'!AG66=1,'1.4 Analyse &amp; Synthese'!F66="Methode"),'1.4 Analyse &amp; Synthese'!I66&amp;CHAR(13)&amp;"("&amp;'(Codierung)'!$C$3&amp;" - "&amp;'1.4 Analyse &amp; Synthese'!C66&amp;")","")</f>
        <v/>
      </c>
      <c r="DN65" s="387" t="str">
        <f t="array" ref="DN65">_xlfn.IFNA(INDEX($DM$6:$DM$66,MATCH(0,COUNTIF($DN$4:DN64,$DM$6:$DM$66),0),1),"")</f>
        <v/>
      </c>
      <c r="DO65" s="277" t="str">
        <f>IF(AND('1.4 Analyse &amp; Synthese'!AG66=1,'1.4 Analyse &amp; Synthese'!F66="Werkzeug"),'1.4 Analyse &amp; Synthese'!I66&amp;CHAR(13)&amp;"("&amp;'(Codierung)'!$C$4&amp;" - "&amp;'1.4 Analyse &amp; Synthese'!C66&amp;")","")</f>
        <v/>
      </c>
      <c r="DP65" s="387" t="str">
        <f t="array" ref="DP65">_xlfn.IFNA(INDEX($DO$6:$DO$66,MATCH(0,COUNTIF($DP$4:DP64,$DO$6:$DO$66),0),1),"")</f>
        <v/>
      </c>
      <c r="DR65" s="277" t="str">
        <f>IF(AND('1.4 Analyse &amp; Synthese'!AH66=1,'1.4 Analyse &amp; Synthese'!F66="Empfehlung"),'1.4 Analyse &amp; Synthese'!I66&amp;CHAR(13)&amp;"("&amp;'(Codierung)'!$C$2&amp;" - "&amp;'1.4 Analyse &amp; Synthese'!C66&amp;")","")</f>
        <v/>
      </c>
      <c r="DS65" s="387" t="str">
        <f t="array" ref="DS65">_xlfn.IFNA(INDEX($DR$6:$DR$66,MATCH(0,COUNTIF($DS$4:DS64,$DR$6:$DR$66),0),1),"")</f>
        <v/>
      </c>
      <c r="DT65" s="277" t="str">
        <f>IF(AND('1.4 Analyse &amp; Synthese'!AH66=1,'1.4 Analyse &amp; Synthese'!F66="Methode"),'1.4 Analyse &amp; Synthese'!I66&amp;CHAR(13)&amp;"("&amp;'(Codierung)'!$C$3&amp;" - "&amp;'1.4 Analyse &amp; Synthese'!C66&amp;")","")</f>
        <v/>
      </c>
      <c r="DU65" s="387" t="str">
        <f t="array" ref="DU65">_xlfn.IFNA(INDEX($DT$6:$DT$66,MATCH(0,COUNTIF($DU$4:DU64,$DT$6:$DT$66),0),1),"")</f>
        <v/>
      </c>
      <c r="DV65" s="277" t="str">
        <f>IF(AND('1.4 Analyse &amp; Synthese'!AH66=1,'1.4 Analyse &amp; Synthese'!F66="Werkzeug"),'1.4 Analyse &amp; Synthese'!I66&amp;CHAR(13)&amp;"("&amp;'(Codierung)'!$C$4&amp;" - "&amp;'1.4 Analyse &amp; Synthese'!C66&amp;")","")</f>
        <v/>
      </c>
      <c r="DW65" s="387" t="str">
        <f t="array" ref="DW65">_xlfn.IFNA(INDEX($DV$6:$DV$66,MATCH(0,COUNTIF($DW$4:DW64,$DV$6:$DV$66),0),1),"")</f>
        <v/>
      </c>
      <c r="DY65" s="277" t="str">
        <f>IF(AND('1.4 Analyse &amp; Synthese'!AI66=1,'1.4 Analyse &amp; Synthese'!F66="Empfehlung"),'1.4 Analyse &amp; Synthese'!I66&amp;CHAR(13)&amp;"("&amp;'(Codierung)'!$C$2&amp;" - "&amp;'1.4 Analyse &amp; Synthese'!C66&amp;")","")</f>
        <v/>
      </c>
      <c r="DZ65" s="387" t="str">
        <f t="array" ref="DZ65">_xlfn.IFNA(INDEX($DY$6:$DY$66,MATCH(0,COUNTIF($DZ$4:DZ64,$DY$6:$DY$66),0),1),"")</f>
        <v/>
      </c>
      <c r="EA65" s="277" t="str">
        <f>IF(AND('1.4 Analyse &amp; Synthese'!AI66=1,'1.4 Analyse &amp; Synthese'!F66="Methode"),'1.4 Analyse &amp; Synthese'!I66&amp;CHAR(13)&amp;"("&amp;'(Codierung)'!$C$3&amp;" - "&amp;'1.4 Analyse &amp; Synthese'!C66&amp;")","")</f>
        <v/>
      </c>
      <c r="EB65" s="387" t="str">
        <f t="array" ref="EB65">_xlfn.IFNA(INDEX($EA$6:$EA$66,MATCH(0,COUNTIF($EB$4:EB64,$EA$6:$EA$66),0),1),"")</f>
        <v/>
      </c>
      <c r="EC65" s="277" t="str">
        <f>IF(AND('1.4 Analyse &amp; Synthese'!AI66=1,'1.4 Analyse &amp; Synthese'!F66="Werkzeug"),'1.4 Analyse &amp; Synthese'!I66&amp;CHAR(13)&amp;"("&amp;'(Codierung)'!$C$4&amp;" - "&amp;'1.4 Analyse &amp; Synthese'!C66&amp;")","")</f>
        <v/>
      </c>
      <c r="ED65" s="277" t="str">
        <f t="array" ref="ED65">_xlfn.IFNA(INDEX($EC$6:$EC$66,MATCH(0,COUNTIF($ED$4:ED64,$EC$6:$EC$66),0),1),"")</f>
        <v/>
      </c>
      <c r="EF65" s="277" t="str">
        <f>IF(AND('1.4 Analyse &amp; Synthese'!AJ66=1,'1.4 Analyse &amp; Synthese'!F66="Empfehlung"),'1.4 Analyse &amp; Synthese'!I66&amp;CHAR(13)&amp;"("&amp;'(Codierung)'!$C$2&amp;" - "&amp;'1.4 Analyse &amp; Synthese'!C66&amp;")","")</f>
        <v/>
      </c>
      <c r="EG65" s="277" t="str">
        <f t="array" ref="EG65">_xlfn.IFNA(INDEX($EF$6:$EF$66,MATCH(0,COUNTIF($EG$4:EG64,$EF$6:$EF$66),0),1),"")</f>
        <v/>
      </c>
      <c r="EH65" s="277" t="str">
        <f>IF(AND('1.4 Analyse &amp; Synthese'!AJ66=1,'1.4 Analyse &amp; Synthese'!F66="Methode"),'1.4 Analyse &amp; Synthese'!I66&amp;CHAR(13)&amp;"("&amp;'(Codierung)'!$C$3&amp;" - "&amp;'1.4 Analyse &amp; Synthese'!C66&amp;")","")</f>
        <v/>
      </c>
      <c r="EI65" s="387" t="str">
        <f t="array" ref="EI65">_xlfn.IFNA(INDEX($EH$6:$EH$66,MATCH(0,COUNTIF($EI$4:EI64,$EH$6:$EH$66),0),1),"")</f>
        <v/>
      </c>
      <c r="EJ65" s="277" t="str">
        <f>IF(AND('1.4 Analyse &amp; Synthese'!AJ66=1,'1.4 Analyse &amp; Synthese'!F66="Werkzeug"),'1.4 Analyse &amp; Synthese'!I66&amp;CHAR(13)&amp;"("&amp;'(Codierung)'!$C$4&amp;" - "&amp;'1.4 Analyse &amp; Synthese'!C66&amp;")","")</f>
        <v/>
      </c>
      <c r="EK65" s="387" t="str">
        <f t="array" ref="EK65">_xlfn.IFNA(INDEX($EJ$6:$EJ$66,MATCH(0,COUNTIF($EK$4:EK64,$EJ$6:$EJ$66),0),1),"")</f>
        <v/>
      </c>
      <c r="EN65" s="222" t="str">
        <f t="shared" si="60"/>
        <v/>
      </c>
      <c r="EO65" s="277" t="str">
        <f t="shared" si="61"/>
        <v/>
      </c>
      <c r="EP65" s="277" t="str">
        <f t="shared" si="62"/>
        <v/>
      </c>
      <c r="EQ65" s="277" t="str">
        <f>ZahlenInBereich(Tabelle1[[Empfehlung]:[Werkzeug]],ROW()-5)</f>
        <v/>
      </c>
      <c r="ER65" s="277" t="str">
        <f t="shared" si="63"/>
        <v/>
      </c>
      <c r="ES65" s="277" t="str">
        <f t="shared" si="64"/>
        <v/>
      </c>
      <c r="ET65" s="277" t="str">
        <f t="shared" si="65"/>
        <v/>
      </c>
      <c r="EU65" s="277" t="str">
        <f>ZahlenInBereich(Tabelle1[[Empfehlung2]:[Werkzeug4]],ROW()-5)</f>
        <v/>
      </c>
      <c r="EV65" s="277" t="str">
        <f t="shared" si="66"/>
        <v/>
      </c>
      <c r="EW65" s="277" t="str">
        <f t="shared" si="67"/>
        <v/>
      </c>
      <c r="EX65" s="277" t="str">
        <f t="shared" si="68"/>
        <v/>
      </c>
      <c r="EY65" s="277" t="str">
        <f>ZahlenInBereich(Tabelle1[[Empfehlung6]:[Werkzeug8]],ROW()-5)</f>
        <v/>
      </c>
      <c r="EZ65" s="277" t="str">
        <f t="shared" si="69"/>
        <v/>
      </c>
      <c r="FA65" s="277" t="str">
        <f t="shared" si="70"/>
        <v/>
      </c>
      <c r="FB65" s="277" t="str">
        <f t="shared" si="71"/>
        <v/>
      </c>
      <c r="FC65" s="277" t="str">
        <f>ZahlenInBereich(Tabelle1[[Empfehlung10]:[Werkzeug12]],ROW()-5)</f>
        <v/>
      </c>
      <c r="FD65" s="277" t="str">
        <f t="shared" si="72"/>
        <v/>
      </c>
      <c r="FE65" s="277" t="str">
        <f t="shared" si="73"/>
        <v/>
      </c>
      <c r="FF65" s="277" t="str">
        <f t="shared" si="74"/>
        <v/>
      </c>
      <c r="FG65" s="277" t="str">
        <f>ZahlenInBereich(Tabelle1[[Empfehlung14]:[Werkzeug16]],ROW()-5)</f>
        <v/>
      </c>
      <c r="FH65" s="277" t="str">
        <f t="shared" si="75"/>
        <v/>
      </c>
      <c r="FI65" s="277" t="str">
        <f t="shared" si="76"/>
        <v/>
      </c>
      <c r="FJ65" s="277" t="str">
        <f t="shared" si="77"/>
        <v/>
      </c>
      <c r="FK65" s="277" t="str">
        <f>ZahlenInBereich(Tabelle1[[Empfehlung18]:[Werkzeug20]],ROW()-5)</f>
        <v/>
      </c>
      <c r="FL65" s="277" t="str">
        <f t="shared" si="78"/>
        <v/>
      </c>
      <c r="FM65" s="277" t="str">
        <f t="shared" si="79"/>
        <v/>
      </c>
      <c r="FN65" s="277" t="str">
        <f t="shared" si="80"/>
        <v/>
      </c>
      <c r="FO65" s="277" t="str">
        <f>ZahlenInBereich(Tabelle1[[Empfehlung22]:[Werkzeug24]],ROW()-5)</f>
        <v/>
      </c>
      <c r="FP65" s="277" t="str">
        <f t="shared" si="81"/>
        <v/>
      </c>
      <c r="FQ65" s="277" t="str">
        <f t="shared" si="82"/>
        <v/>
      </c>
      <c r="FR65" s="277" t="str">
        <f t="shared" si="83"/>
        <v/>
      </c>
      <c r="FS65" s="277" t="str">
        <f>ZahlenInBereich(Tabelle1[[Empfehlung26]:[Werkzeug28]],ROW()-5)</f>
        <v/>
      </c>
      <c r="FT65" s="277" t="str">
        <f t="shared" si="84"/>
        <v/>
      </c>
      <c r="FU65" s="277" t="str">
        <f t="shared" si="85"/>
        <v/>
      </c>
      <c r="FV65" s="277" t="str">
        <f t="shared" si="86"/>
        <v/>
      </c>
      <c r="FW65" s="277" t="str">
        <f>ZahlenInBereich(Tabelle1[[Empfehlung30]:[Werkzeug32]],ROW()-5)</f>
        <v/>
      </c>
      <c r="FX65" s="277" t="str">
        <f t="shared" si="87"/>
        <v/>
      </c>
      <c r="FY65" s="277" t="str">
        <f t="shared" si="88"/>
        <v/>
      </c>
      <c r="FZ65" s="277" t="str">
        <f t="shared" si="89"/>
        <v/>
      </c>
      <c r="GA65" s="277" t="str">
        <f>ZahlenInBereich(Tabelle1[[Empfehlung34]:[Werkzeug36]],ROW()-5)</f>
        <v/>
      </c>
      <c r="GB65" s="277" t="str">
        <f t="shared" si="90"/>
        <v/>
      </c>
      <c r="GC65" s="277" t="str">
        <f t="shared" si="91"/>
        <v/>
      </c>
      <c r="GD65" s="277" t="str">
        <f t="shared" si="92"/>
        <v/>
      </c>
      <c r="GE65" s="277" t="str">
        <f>ZahlenInBereich(Tabelle1[[Empfehlung38]:[Werkzeug40]],ROW()-5)</f>
        <v/>
      </c>
      <c r="GF65" s="277" t="str">
        <f t="shared" si="93"/>
        <v/>
      </c>
      <c r="GG65" s="277" t="str">
        <f t="shared" si="94"/>
        <v/>
      </c>
      <c r="GH65" s="277" t="str">
        <f t="shared" si="95"/>
        <v/>
      </c>
      <c r="GI65" s="277" t="str">
        <f>ZahlenInBereich(Tabelle1[[Empfehlung42]:[Werkzeug44]],ROW()-5)</f>
        <v/>
      </c>
      <c r="GJ65" s="277" t="str">
        <f t="shared" si="96"/>
        <v/>
      </c>
      <c r="GK65" s="277" t="str">
        <f t="shared" si="97"/>
        <v/>
      </c>
      <c r="GL65" s="277" t="str">
        <f t="shared" si="98"/>
        <v/>
      </c>
      <c r="GM65" s="277" t="str">
        <f>ZahlenInBereich(Tabelle1[[Empfehlung46]:[Werkzeug48]],ROW()-5)</f>
        <v/>
      </c>
      <c r="GN65" s="277" t="str">
        <f t="shared" si="99"/>
        <v/>
      </c>
      <c r="GO65" s="277" t="str">
        <f t="shared" si="100"/>
        <v/>
      </c>
      <c r="GP65" s="277" t="str">
        <f t="shared" si="101"/>
        <v/>
      </c>
      <c r="GQ65" s="277" t="str">
        <f>ZahlenInBereich(Tabelle1[[Empfehlung50]:[Werkzeug52]],ROW()-5)</f>
        <v/>
      </c>
      <c r="GR65" s="277" t="str">
        <f t="shared" si="102"/>
        <v/>
      </c>
      <c r="GS65" s="277" t="str">
        <f t="shared" si="103"/>
        <v/>
      </c>
      <c r="GT65" s="277" t="str">
        <f t="shared" si="104"/>
        <v/>
      </c>
      <c r="GU65" s="277" t="str">
        <f>ZahlenInBereich(Tabelle1[[Empfehlung54]:[Werkzeug56]],ROW()-5)</f>
        <v/>
      </c>
      <c r="GV65" s="277" t="str">
        <f t="shared" si="105"/>
        <v/>
      </c>
      <c r="GW65" s="277" t="str">
        <f t="shared" si="106"/>
        <v/>
      </c>
      <c r="GX65" s="277" t="str">
        <f t="shared" si="107"/>
        <v/>
      </c>
      <c r="GY65" s="277" t="str">
        <f>ZahlenInBereich(Tabelle1[[Empfehlung58]:[Werkzeug60]],ROW()-5)</f>
        <v/>
      </c>
      <c r="GZ65" s="277" t="str">
        <f t="shared" si="108"/>
        <v/>
      </c>
      <c r="HA65" s="277" t="str">
        <f t="shared" si="109"/>
        <v/>
      </c>
      <c r="HB65" s="277" t="str">
        <f t="shared" si="110"/>
        <v/>
      </c>
      <c r="HC65" s="277" t="str">
        <f>ZahlenInBereich(Tabelle1[[Empfehlung62]:[Werkzeug64]],ROW()-5)</f>
        <v/>
      </c>
      <c r="HD65" s="277" t="str">
        <f t="shared" si="111"/>
        <v/>
      </c>
      <c r="HE65" s="277" t="str">
        <f t="shared" si="112"/>
        <v/>
      </c>
      <c r="HF65" s="277" t="str">
        <f t="shared" si="113"/>
        <v/>
      </c>
      <c r="HG65" s="277" t="str">
        <f>ZahlenInBereich(Tabelle1[[Empfehlung66]:[Werkzeug68]],ROW()-5)</f>
        <v/>
      </c>
      <c r="HH65" s="277" t="str">
        <f t="shared" si="114"/>
        <v/>
      </c>
      <c r="HI65" s="277" t="str">
        <f t="shared" si="115"/>
        <v/>
      </c>
      <c r="HJ65" s="277" t="str">
        <f t="shared" si="116"/>
        <v/>
      </c>
      <c r="HK65" s="277" t="str">
        <f>ZahlenInBereich(Tabelle1[[Empfehlung70]:[Werkzeug72]],ROW()-5)</f>
        <v/>
      </c>
      <c r="HL65" s="277" t="str">
        <f t="shared" si="117"/>
        <v/>
      </c>
      <c r="HM65" s="277" t="str">
        <f t="shared" si="118"/>
        <v/>
      </c>
      <c r="HN65" s="277" t="str">
        <f t="shared" si="119"/>
        <v/>
      </c>
      <c r="HO65" s="277" t="str">
        <f>ZahlenInBereich(Tabelle1[[Empfehlung74]:[Werkzeug76]],ROW()-5)</f>
        <v/>
      </c>
    </row>
    <row r="66" spans="2:223" x14ac:dyDescent="0.2">
      <c r="B66" s="135">
        <f>'1.4 Analyse &amp; Synthese'!B67</f>
        <v>0</v>
      </c>
      <c r="C66" s="277" t="str">
        <f>IF(AND('1.4 Analyse &amp; Synthese'!Q67=1,'1.4 Analyse &amp; Synthese'!F67="Empfehlung"),'1.4 Analyse &amp; Synthese'!I67&amp;CHAR(13)&amp;"("&amp;'(Codierung)'!$C$2&amp;" - "&amp;'1.4 Analyse &amp; Synthese'!C67&amp;")","")</f>
        <v/>
      </c>
      <c r="D66" s="222" t="str">
        <f t="array" ref="D66">_xlfn.IFNA(INDEX($C$6:$C$66,MATCH(0,COUNTIF($D$4:D65,$C$6:$C$66),0),1),"")</f>
        <v/>
      </c>
      <c r="E66" s="277" t="str">
        <f>IF(AND('1.4 Analyse &amp; Synthese'!Q67=1,'1.4 Analyse &amp; Synthese'!F67="Methode"),'1.4 Analyse &amp; Synthese'!I67&amp;CHAR(13)&amp;"("&amp;'(Codierung)'!$C$3&amp;" - "&amp;'1.4 Analyse &amp; Synthese'!C67&amp;")","")</f>
        <v/>
      </c>
      <c r="F66" s="387" t="str">
        <f t="array" ref="F66">_xlfn.IFNA(INDEX($E$6:$E$66,MATCH(0,COUNTIF($F$4:F65,$E$6:$E$66),0),1),"")</f>
        <v/>
      </c>
      <c r="G66" s="277" t="str">
        <f>IF(AND('1.4 Analyse &amp; Synthese'!Q67=1,'1.4 Analyse &amp; Synthese'!F67="Werkzeug"),'1.4 Analyse &amp; Synthese'!I67&amp;CHAR(13)&amp;"("&amp;'(Codierung)'!$C$4&amp;" - "&amp;'1.4 Analyse &amp; Synthese'!C67&amp;")","")</f>
        <v/>
      </c>
      <c r="H66" s="387" t="str">
        <f t="array" ref="H66">_xlfn.IFNA(INDEX($G$6:$G$66,MATCH(0,COUNTIF($H$4:H65,$G$6:$G$66),0),1),"")</f>
        <v/>
      </c>
      <c r="J66" s="277" t="str">
        <f>IF(AND('1.4 Analyse &amp; Synthese'!R67=1,'1.4 Analyse &amp; Synthese'!F67="Empfehlung"),'1.4 Analyse &amp; Synthese'!I67&amp;CHAR(13)&amp;"("&amp;'(Codierung)'!$C$2&amp;" - "&amp;'1.4 Analyse &amp; Synthese'!C67&amp;")","")</f>
        <v/>
      </c>
      <c r="K66" s="387" t="str">
        <f t="array" ref="K66">_xlfn.IFNA(INDEX($J$6:$J$66,MATCH(0,COUNTIF($K$4:K65,$J$6:$J$66),0),1),"")</f>
        <v/>
      </c>
      <c r="L66" s="277" t="str">
        <f>IF(AND('1.4 Analyse &amp; Synthese'!R67=1,'1.4 Analyse &amp; Synthese'!F67="Methode"),'1.4 Analyse &amp; Synthese'!I67&amp;CHAR(13)&amp;"("&amp;'(Codierung)'!$C$3&amp;" - "&amp;'1.4 Analyse &amp; Synthese'!C67&amp;")","")</f>
        <v/>
      </c>
      <c r="M66" s="387" t="str">
        <f t="array" ref="M66">_xlfn.IFNA(INDEX($L$6:$L$66,MATCH(0,COUNTIF($M$4:M65,$L$6:$L$66),0),1),"")</f>
        <v/>
      </c>
      <c r="N66" s="277" t="str">
        <f>IF(AND('1.4 Analyse &amp; Synthese'!R67=1,'1.4 Analyse &amp; Synthese'!F67="Werkzeug"),'1.4 Analyse &amp; Synthese'!I67&amp;CHAR(13)&amp;"("&amp;'(Codierung)'!$C$4&amp;" - "&amp;'1.4 Analyse &amp; Synthese'!C67&amp;")","")</f>
        <v/>
      </c>
      <c r="O66" s="387" t="str">
        <f t="array" ref="O66">_xlfn.IFNA(INDEX($N$6:$N$66,MATCH(0,COUNTIF($O$4:O65,$N$6:$N$66),0),1),"")</f>
        <v/>
      </c>
      <c r="Q66" s="277" t="str">
        <f>IF(AND('1.4 Analyse &amp; Synthese'!S67=1,'1.4 Analyse &amp; Synthese'!F67="Empfehlung"),'1.4 Analyse &amp; Synthese'!I67&amp;CHAR(13)&amp;"("&amp;'(Codierung)'!$C$2&amp;" - "&amp;'1.4 Analyse &amp; Synthese'!C67&amp;")","")</f>
        <v/>
      </c>
      <c r="R66" s="387" t="str">
        <f t="array" ref="R66">_xlfn.IFNA(INDEX($Q$6:$Q$66,MATCH(0,COUNTIF($R$4:R65,$Q$6:$Q$66),0),1),"")</f>
        <v/>
      </c>
      <c r="S66" s="277" t="str">
        <f>IF(AND('1.4 Analyse &amp; Synthese'!S67=1,'1.4 Analyse &amp; Synthese'!F67="Methode"),'1.4 Analyse &amp; Synthese'!I67&amp;CHAR(13)&amp;"("&amp;'(Codierung)'!$C$3&amp;" - "&amp;'1.4 Analyse &amp; Synthese'!C67&amp;")","")</f>
        <v/>
      </c>
      <c r="T66" s="387" t="str">
        <f t="array" ref="T66">_xlfn.IFNA(INDEX($S$6:$S$66,MATCH(0,COUNTIF($T$4:T65,$S$6:$S$66),0),1),"")</f>
        <v/>
      </c>
      <c r="U66" s="277" t="str">
        <f>IF(AND('1.4 Analyse &amp; Synthese'!S67=1,'1.4 Analyse &amp; Synthese'!F67="Werkzeug"),'1.4 Analyse &amp; Synthese'!I67&amp;CHAR(13)&amp;"("&amp;'(Codierung)'!$C$4&amp;" - "&amp;'1.4 Analyse &amp; Synthese'!C67&amp;")","")</f>
        <v/>
      </c>
      <c r="V66" s="387" t="str">
        <f t="array" ref="V66">_xlfn.IFNA(INDEX($U$6:$U$66,MATCH(0,COUNTIF($V$4:V65,$U$6:$U$66),0),1),"")</f>
        <v/>
      </c>
      <c r="X66" s="277" t="str">
        <f>IF(AND('1.4 Analyse &amp; Synthese'!T67=1,'1.4 Analyse &amp; Synthese'!F67="Empfehlung"),'1.4 Analyse &amp; Synthese'!I67&amp;CHAR(13)&amp;"("&amp;'(Codierung)'!$C$2&amp;" - "&amp;'1.4 Analyse &amp; Synthese'!C67&amp;")","")</f>
        <v/>
      </c>
      <c r="Y66" s="387" t="str">
        <f t="array" ref="Y66">_xlfn.IFNA(INDEX($X$6:$X$66,MATCH(0,COUNTIF($Y$4:Y65,$X$6:$X$66),0),1),"")</f>
        <v/>
      </c>
      <c r="Z66" s="277" t="str">
        <f>IF(AND('1.4 Analyse &amp; Synthese'!T67=1,'1.4 Analyse &amp; Synthese'!F67="Methode"),'1.4 Analyse &amp; Synthese'!I67&amp;CHAR(13)&amp;"("&amp;'(Codierung)'!$C$3&amp;" - "&amp;'1.4 Analyse &amp; Synthese'!C67&amp;")","")</f>
        <v/>
      </c>
      <c r="AA66" s="387" t="str">
        <f t="array" ref="AA66">_xlfn.IFNA(INDEX($Z$6:$Z$66,MATCH(0,COUNTIF($AA$4:AA65,$Z$6:$Z$66),0),1),"")</f>
        <v/>
      </c>
      <c r="AB66" s="277" t="str">
        <f>IF(AND('1.4 Analyse &amp; Synthese'!T67=1,'1.4 Analyse &amp; Synthese'!F67="Werkzeug"),'1.4 Analyse &amp; Synthese'!I67&amp;CHAR(13)&amp;"("&amp;'(Codierung)'!$C$4&amp;" - "&amp;'1.4 Analyse &amp; Synthese'!C67&amp;")","")</f>
        <v/>
      </c>
      <c r="AC66" s="387" t="str">
        <f t="array" ref="AC66">_xlfn.IFNA(INDEX($AB$6:$AB$66,MATCH(0,COUNTIF($AC$4:AC65,$AB$6:$AB$66),0),1),"")</f>
        <v/>
      </c>
      <c r="AE66" s="277" t="str">
        <f>IF(AND('1.4 Analyse &amp; Synthese'!U67=1,'1.4 Analyse &amp; Synthese'!F67="Empfehlung"),'1.4 Analyse &amp; Synthese'!I67&amp;CHAR(13)&amp;"("&amp;'(Codierung)'!$C$2&amp;" - "&amp;'1.4 Analyse &amp; Synthese'!C67&amp;")","")</f>
        <v/>
      </c>
      <c r="AF66" s="387" t="str">
        <f t="array" ref="AF66">_xlfn.IFNA(INDEX($AE$6:$AE$66,MATCH(0,COUNTIF($AF$4:AF65,$AE$6:$AE$66),0),1),"")</f>
        <v/>
      </c>
      <c r="AG66" s="277" t="str">
        <f>IF(AND('1.4 Analyse &amp; Synthese'!U67=1,'1.4 Analyse &amp; Synthese'!F67="Methode"),'1.4 Analyse &amp; Synthese'!I67&amp;CHAR(13)&amp;"("&amp;'(Codierung)'!$C$3&amp;" - "&amp;'1.4 Analyse &amp; Synthese'!C67&amp;")","")</f>
        <v/>
      </c>
      <c r="AH66" s="387" t="str">
        <f t="array" ref="AH66">_xlfn.IFNA(INDEX($AG$6:$AG$66,MATCH(0,COUNTIF($AH$4:AH65,$AG$6:$AG$66),0),1),"")</f>
        <v/>
      </c>
      <c r="AI66" s="277" t="str">
        <f>IF(AND('1.4 Analyse &amp; Synthese'!U67=1,'1.4 Analyse &amp; Synthese'!F67="Werkzeug"),'1.4 Analyse &amp; Synthese'!I67&amp;CHAR(13)&amp;"("&amp;'(Codierung)'!$C$4&amp;" - "&amp;'1.4 Analyse &amp; Synthese'!C67&amp;")","")</f>
        <v/>
      </c>
      <c r="AJ66" s="387" t="str">
        <f t="array" ref="AJ66">_xlfn.IFNA(INDEX($AI$6:$AI$66,MATCH(0,COUNTIF($AJ$4:AJ65,$AI$6:$AI$66),0),1),"")</f>
        <v/>
      </c>
      <c r="AL66" s="277" t="str">
        <f>IF(AND('1.4 Analyse &amp; Synthese'!V67=1,'1.4 Analyse &amp; Synthese'!F67="Empfehlung"),'1.4 Analyse &amp; Synthese'!I67&amp;CHAR(13)&amp;"("&amp;'(Codierung)'!$C$2&amp;" - "&amp;'1.4 Analyse &amp; Synthese'!C67&amp;")","")</f>
        <v/>
      </c>
      <c r="AM66" s="387" t="str">
        <f t="array" ref="AM66">_xlfn.IFNA(INDEX($AL$6:$AL$66,MATCH(0,COUNTIF($AM$4:AM65,$AL$6:$AL$66),0),1),"")</f>
        <v/>
      </c>
      <c r="AN66" s="277" t="str">
        <f>IF(AND('1.4 Analyse &amp; Synthese'!V67=1,'1.4 Analyse &amp; Synthese'!F67="Methode"),'1.4 Analyse &amp; Synthese'!I67&amp;CHAR(13)&amp;"("&amp;'(Codierung)'!$C$3&amp;" - "&amp;'1.4 Analyse &amp; Synthese'!C67&amp;")","")</f>
        <v/>
      </c>
      <c r="AO66" s="387" t="str">
        <f t="array" ref="AO66">_xlfn.IFNA(INDEX($AN$6:$AN$66,MATCH(0,COUNTIF($AO$4:AO65,$AN$6:$AN$66),0),1),"")</f>
        <v/>
      </c>
      <c r="AP66" s="277" t="str">
        <f>IF(AND('1.4 Analyse &amp; Synthese'!V67=1,'1.4 Analyse &amp; Synthese'!F67="Werkzeug"),'1.4 Analyse &amp; Synthese'!I67&amp;CHAR(13)&amp;"("&amp;'(Codierung)'!$C$4&amp;" - "&amp;'1.4 Analyse &amp; Synthese'!C67&amp;")","")</f>
        <v/>
      </c>
      <c r="AQ66" s="387" t="str">
        <f t="array" ref="AQ66">_xlfn.IFNA(INDEX($AP$6:$AP$66,MATCH(0,COUNTIF($AQ$4:AQ65,$AP$6:$AP$66),0),1),"")</f>
        <v/>
      </c>
      <c r="AS66" s="277" t="str">
        <f>IF(AND('1.4 Analyse &amp; Synthese'!W67=1,'1.4 Analyse &amp; Synthese'!F67="Empfehlung"),'1.4 Analyse &amp; Synthese'!I67&amp;CHAR(13)&amp;"("&amp;'(Codierung)'!$C$2&amp;" - "&amp;'1.4 Analyse &amp; Synthese'!C67&amp;")","")</f>
        <v/>
      </c>
      <c r="AT66" s="387" t="str">
        <f t="array" ref="AT66">_xlfn.IFNA(INDEX($AS$6:$AS$66,MATCH(0,COUNTIF($AT$4:AT65,$AS$6:$AS$66),0),1),"")</f>
        <v/>
      </c>
      <c r="AU66" s="277" t="str">
        <f>IF(AND('1.4 Analyse &amp; Synthese'!W67=1,'1.4 Analyse &amp; Synthese'!F67="Methode"),'1.4 Analyse &amp; Synthese'!I67&amp;CHAR(13)&amp;"("&amp;'(Codierung)'!$C$3&amp;" - "&amp;'1.4 Analyse &amp; Synthese'!C67&amp;")","")</f>
        <v/>
      </c>
      <c r="AV66" s="387" t="str">
        <f t="array" ref="AV66">_xlfn.IFNA(INDEX($AU$6:$AU$66,MATCH(0,COUNTIF($AV$4:AV65,$AU$6:$AU$66),0),1),"")</f>
        <v/>
      </c>
      <c r="AW66" s="277" t="str">
        <f>IF(AND('1.4 Analyse &amp; Synthese'!W67=1,'1.4 Analyse &amp; Synthese'!F67="Werkzeug"),'1.4 Analyse &amp; Synthese'!I67&amp;CHAR(13)&amp;"("&amp;'(Codierung)'!$C$4&amp;" - "&amp;'1.4 Analyse &amp; Synthese'!C67&amp;")","")</f>
        <v/>
      </c>
      <c r="AX66" s="387" t="str">
        <f t="array" ref="AX66">_xlfn.IFNA(INDEX($AW$6:$AW$66,MATCH(0,COUNTIF($AX$4:AX65,$AW$6:$AW$66),0),1),"")</f>
        <v/>
      </c>
      <c r="AZ66" s="277" t="str">
        <f>IF(AND('1.4 Analyse &amp; Synthese'!X67=1,'1.4 Analyse &amp; Synthese'!F67="Empfehlung"),'1.4 Analyse &amp; Synthese'!I67&amp;CHAR(13)&amp;"("&amp;'(Codierung)'!$C$2&amp;" - "&amp;'1.4 Analyse &amp; Synthese'!C67&amp;")","")</f>
        <v/>
      </c>
      <c r="BA66" s="387" t="str">
        <f t="array" ref="BA66">_xlfn.IFNA(INDEX($AZ$6:$AZ$66,MATCH(0,COUNTIF($BA$4:BA65,$AZ$6:$AZ$66),0),1),"")</f>
        <v/>
      </c>
      <c r="BB66" s="277" t="str">
        <f>IF(AND('1.4 Analyse &amp; Synthese'!X67=1,'1.4 Analyse &amp; Synthese'!F67="Methode"),'1.4 Analyse &amp; Synthese'!I67&amp;CHAR(13)&amp;"("&amp;'(Codierung)'!$C$3&amp;" - "&amp;'1.4 Analyse &amp; Synthese'!C67&amp;")","")</f>
        <v/>
      </c>
      <c r="BC66" s="387" t="str">
        <f t="array" ref="BC66">_xlfn.IFNA(INDEX($BB$6:$BB$66,MATCH(0,COUNTIF($BC$4:BC65,$BB$6:$BB$66),0),1),"")</f>
        <v/>
      </c>
      <c r="BD66" s="277" t="str">
        <f>IF(AND('1.4 Analyse &amp; Synthese'!X67=1,'1.4 Analyse &amp; Synthese'!F67="Werkzeug"),'1.4 Analyse &amp; Synthese'!I67&amp;CHAR(13)&amp;"("&amp;'(Codierung)'!$C$4&amp;" - "&amp;'1.4 Analyse &amp; Synthese'!C67&amp;")","")</f>
        <v/>
      </c>
      <c r="BE66" s="387" t="str">
        <f t="array" ref="BE66">_xlfn.IFNA(INDEX($BD$6:$BD$66,MATCH(0,COUNTIF($BE$4:BE65,$BD$6:$BD$66),0),1),"")</f>
        <v/>
      </c>
      <c r="BG66" s="277" t="str">
        <f>IF(AND('1.4 Analyse &amp; Synthese'!Y67=1,'1.4 Analyse &amp; Synthese'!F67="Empfehlung"),'1.4 Analyse &amp; Synthese'!I67&amp;CHAR(13)&amp;"("&amp;'(Codierung)'!$C$2&amp;" - "&amp;'1.4 Analyse &amp; Synthese'!C67&amp;")","")</f>
        <v/>
      </c>
      <c r="BH66" s="387" t="str">
        <f t="array" ref="BH66">_xlfn.IFNA(INDEX($BG$6:$BG$66,MATCH(0,COUNTIF($BH$4:BH65,$BG$6:$BG$66),0),1),"")</f>
        <v/>
      </c>
      <c r="BI66" s="277" t="str">
        <f>IF(AND('1.4 Analyse &amp; Synthese'!Y67=1,'1.4 Analyse &amp; Synthese'!F67="Methode"),'1.4 Analyse &amp; Synthese'!I67&amp;CHAR(13)&amp;"("&amp;'(Codierung)'!$C$3&amp;" - "&amp;'1.4 Analyse &amp; Synthese'!C67&amp;")","")</f>
        <v/>
      </c>
      <c r="BJ66" s="387" t="str">
        <f t="array" ref="BJ66">_xlfn.IFNA(INDEX($BI$6:$BI$66,MATCH(0,COUNTIF($BJ$4:BJ65,$BI$6:$BI$66),0),1),"")</f>
        <v/>
      </c>
      <c r="BK66" s="277" t="str">
        <f>IF(AND('1.4 Analyse &amp; Synthese'!Y67=1,'1.4 Analyse &amp; Synthese'!F67="Werkzeug"),'1.4 Analyse &amp; Synthese'!I67&amp;CHAR(13)&amp;"("&amp;'(Codierung)'!$C$4&amp;" - "&amp;'1.4 Analyse &amp; Synthese'!C67&amp;")","")</f>
        <v/>
      </c>
      <c r="BL66" s="387" t="str">
        <f t="array" ref="BL66">_xlfn.IFNA(INDEX($BK$6:$BK$66,MATCH(0,COUNTIF($BL$4:BL65,$BK$6:$BK$66),0),1),"")</f>
        <v/>
      </c>
      <c r="BN66" s="277" t="str">
        <f>IF(AND('1.4 Analyse &amp; Synthese'!Z67=1,'1.4 Analyse &amp; Synthese'!F67="Empfehlung"),'1.4 Analyse &amp; Synthese'!I67&amp;CHAR(13)&amp;"("&amp;'(Codierung)'!$C$2&amp;" - "&amp;'1.4 Analyse &amp; Synthese'!C67&amp;")","")</f>
        <v/>
      </c>
      <c r="BO66" s="387" t="str">
        <f t="array" ref="BO66">_xlfn.IFNA(INDEX($BN$6:$BN$66,MATCH(0,COUNTIF($BO$4:BO65,$BN$6:$BN$66),0),1),"")</f>
        <v/>
      </c>
      <c r="BP66" s="277" t="str">
        <f>IF(AND('1.4 Analyse &amp; Synthese'!Z67=1,'1.4 Analyse &amp; Synthese'!F67="Methode"),'1.4 Analyse &amp; Synthese'!I67&amp;CHAR(13)&amp;"("&amp;'(Codierung)'!$C$3&amp;" - "&amp;'1.4 Analyse &amp; Synthese'!C67&amp;")","")</f>
        <v/>
      </c>
      <c r="BQ66" s="387" t="str">
        <f t="array" ref="BQ66">_xlfn.IFNA(INDEX($BP$6:$BP$66,MATCH(0,COUNTIF($BQ$4:BQ65,$BP$6:$BP$66),0),1),"")</f>
        <v/>
      </c>
      <c r="BR66" s="277" t="str">
        <f>IF(AND('1.4 Analyse &amp; Synthese'!Z67=1,'1.4 Analyse &amp; Synthese'!F67="Werkzeug"),'1.4 Analyse &amp; Synthese'!I67&amp;CHAR(13)&amp;"("&amp;'(Codierung)'!$C$4&amp;" - "&amp;'1.4 Analyse &amp; Synthese'!C67&amp;")","")</f>
        <v/>
      </c>
      <c r="BS66" s="387" t="str">
        <f t="array" ref="BS66">_xlfn.IFNA(INDEX($BR$6:$BR$66,MATCH(0,COUNTIF($BS$4:BS65,$BR$6:$BR$66),0),1),"")</f>
        <v/>
      </c>
      <c r="BU66" s="277" t="str">
        <f>IF(AND('1.4 Analyse &amp; Synthese'!AA67=1,'1.4 Analyse &amp; Synthese'!F67="Empfehlung"),'1.4 Analyse &amp; Synthese'!I67&amp;CHAR(13)&amp;"("&amp;'(Codierung)'!$C$2&amp;" - "&amp;'1.4 Analyse &amp; Synthese'!C67&amp;")","")</f>
        <v/>
      </c>
      <c r="BV66" s="387" t="str">
        <f t="array" ref="BV66">_xlfn.IFNA(INDEX($BU$6:$BU$66,MATCH(0,COUNTIF($BV$4:BV65,$BU$6:$BU$66),0),1),"")</f>
        <v/>
      </c>
      <c r="BW66" s="277" t="str">
        <f>IF(AND('1.4 Analyse &amp; Synthese'!AA67=1,'1.4 Analyse &amp; Synthese'!F67="Methode"),'1.4 Analyse &amp; Synthese'!I67&amp;CHAR(13)&amp;"("&amp;'(Codierung)'!$C$3&amp;" - "&amp;'1.4 Analyse &amp; Synthese'!C67&amp;")","")</f>
        <v/>
      </c>
      <c r="BX66" s="387" t="str">
        <f t="array" ref="BX66">_xlfn.IFNA(INDEX($BW$6:$BW$66,MATCH(0,COUNTIF($BX$4:BX65,$BW$6:$BW$66),0),1),"")</f>
        <v/>
      </c>
      <c r="BY66" s="277" t="str">
        <f>IF(AND('1.4 Analyse &amp; Synthese'!AA67=1,'1.4 Analyse &amp; Synthese'!F67="Werkzeug"),'1.4 Analyse &amp; Synthese'!I67&amp;CHAR(13)&amp;"("&amp;'(Codierung)'!$C$4&amp;" - "&amp;'1.4 Analyse &amp; Synthese'!C67&amp;")","")</f>
        <v/>
      </c>
      <c r="BZ66" s="387" t="str">
        <f t="array" ref="BZ66">_xlfn.IFNA(INDEX($BY$6:$BY$66,MATCH(0,COUNTIF($BZ$4:BZ65,$BY$6:$BY$66),0),1),"")</f>
        <v/>
      </c>
      <c r="CB66" s="277" t="str">
        <f>IF(AND('1.4 Analyse &amp; Synthese'!AB67=1,'1.4 Analyse &amp; Synthese'!F67="Empfehlung"),'1.4 Analyse &amp; Synthese'!I67&amp;CHAR(13)&amp;"("&amp;'(Codierung)'!$C$2&amp;" - "&amp;'1.4 Analyse &amp; Synthese'!C67&amp;")","")</f>
        <v/>
      </c>
      <c r="CC66" s="387" t="str">
        <f t="array" ref="CC66">_xlfn.IFNA(INDEX($CB$6:$CB$66,MATCH(0,COUNTIF($CC$4:CC65,$CB$6:$CB$66),0),1),"")</f>
        <v/>
      </c>
      <c r="CD66" s="277" t="str">
        <f>IF(AND('1.4 Analyse &amp; Synthese'!AB67=1,'1.4 Analyse &amp; Synthese'!F67="Methode"),'1.4 Analyse &amp; Synthese'!I67&amp;CHAR(13)&amp;"("&amp;'(Codierung)'!$C$3&amp;" - "&amp;'1.4 Analyse &amp; Synthese'!C67&amp;")","")</f>
        <v/>
      </c>
      <c r="CE66" s="387" t="str">
        <f t="array" ref="CE66">_xlfn.IFNA(INDEX($CD$6:$CD$66,MATCH(0,COUNTIF($CE$4:CE65,$CD$6:$CD$66),0),1),"")</f>
        <v/>
      </c>
      <c r="CF66" s="277" t="str">
        <f>IF(AND('1.4 Analyse &amp; Synthese'!AB67=1,'1.4 Analyse &amp; Synthese'!F67="Werkzeug"),'1.4 Analyse &amp; Synthese'!I67&amp;CHAR(13)&amp;"("&amp;'(Codierung)'!$C$4&amp;" - "&amp;'1.4 Analyse &amp; Synthese'!C67&amp;")","")</f>
        <v/>
      </c>
      <c r="CG66" s="387" t="str">
        <f t="array" ref="CG66">_xlfn.IFNA(INDEX($CF$6:$CF$66,MATCH(0,COUNTIF($CG$4:CG65,$CF$6:$CF$66),0),1),"")</f>
        <v/>
      </c>
      <c r="CI66" s="277" t="str">
        <f>IF(AND('1.4 Analyse &amp; Synthese'!AC67=1,'1.4 Analyse &amp; Synthese'!F67="Empfehlung"),'1.4 Analyse &amp; Synthese'!I67&amp;CHAR(13)&amp;"("&amp;'(Codierung)'!$C$2&amp;" - "&amp;'1.4 Analyse &amp; Synthese'!C67&amp;")","")</f>
        <v/>
      </c>
      <c r="CJ66" s="387" t="str">
        <f t="array" ref="CJ66">_xlfn.IFNA(INDEX($CI$6:$CI$66,MATCH(0,COUNTIF($CJ$4:CJ65,$CI$6:$CI$66),0),1),"")</f>
        <v/>
      </c>
      <c r="CK66" s="277" t="str">
        <f>IF(AND('1.4 Analyse &amp; Synthese'!AC67=1,'1.4 Analyse &amp; Synthese'!F67="Methode"),'1.4 Analyse &amp; Synthese'!I67&amp;CHAR(13)&amp;"("&amp;'(Codierung)'!$C$3&amp;" - "&amp;'1.4 Analyse &amp; Synthese'!C67&amp;")","")</f>
        <v/>
      </c>
      <c r="CL66" s="387" t="str">
        <f t="array" ref="CL66">_xlfn.IFNA(INDEX($CK$6:$CK$66,MATCH(0,COUNTIF($CL$4:CL65,$CK$6:$CK$66),0),1),"")</f>
        <v/>
      </c>
      <c r="CM66" s="277" t="str">
        <f>IF(AND('1.4 Analyse &amp; Synthese'!AC67=1,'1.4 Analyse &amp; Synthese'!F67="Werkzeug"),'1.4 Analyse &amp; Synthese'!I67&amp;CHAR(13)&amp;"("&amp;'(Codierung)'!$C$4&amp;" - "&amp;'1.4 Analyse &amp; Synthese'!C67&amp;")","")</f>
        <v/>
      </c>
      <c r="CN66" s="387" t="str">
        <f t="array" ref="CN66">_xlfn.IFNA(INDEX($CM$6:$CM$66,MATCH(0,COUNTIF($CN$4:CN65,$CM$6:$CM$66),0),1),"")</f>
        <v/>
      </c>
      <c r="CP66" s="277" t="str">
        <f>IF(AND('1.4 Analyse &amp; Synthese'!AD67=1,'1.4 Analyse &amp; Synthese'!F67="Empfehlung"),'1.4 Analyse &amp; Synthese'!I67&amp;CHAR(13)&amp;"("&amp;'(Codierung)'!$C$2&amp;" - "&amp;'1.4 Analyse &amp; Synthese'!C67&amp;")","")</f>
        <v/>
      </c>
      <c r="CQ66" s="387" t="str">
        <f t="array" ref="CQ66">_xlfn.IFNA(INDEX($CP$6:$CP$66,MATCH(0,COUNTIF($CQ$4:CQ65,$CP$6:$CP$66),0),1),"")</f>
        <v/>
      </c>
      <c r="CR66" s="277" t="str">
        <f>IF(AND('1.4 Analyse &amp; Synthese'!AD67=1,'1.4 Analyse &amp; Synthese'!F67="Methode"),'1.4 Analyse &amp; Synthese'!I67&amp;CHAR(13)&amp;"("&amp;'(Codierung)'!$C$3&amp;" - "&amp;'1.4 Analyse &amp; Synthese'!C67&amp;")","")</f>
        <v/>
      </c>
      <c r="CS66" s="387" t="str">
        <f t="array" ref="CS66">_xlfn.IFNA(INDEX($CR$6:$CR$66,MATCH(0,COUNTIF($CS$4:CS65,$CR$6:$CR$66),0),1),"")</f>
        <v/>
      </c>
      <c r="CT66" s="277" t="str">
        <f>IF(AND('1.4 Analyse &amp; Synthese'!AD67=1,'1.4 Analyse &amp; Synthese'!F67="Werkzeug"),'1.4 Analyse &amp; Synthese'!I67&amp;CHAR(13)&amp;"("&amp;'(Codierung)'!$C$4&amp;" - "&amp;'1.4 Analyse &amp; Synthese'!C67&amp;")","")</f>
        <v/>
      </c>
      <c r="CU66" s="387" t="str">
        <f t="array" ref="CU66">_xlfn.IFNA(INDEX($CT$6:$CT$66,MATCH(0,COUNTIF($CU$4:CU65,$CT$6:$CT$66),0),1),"")</f>
        <v/>
      </c>
      <c r="CW66" s="277" t="str">
        <f>IF(AND('1.4 Analyse &amp; Synthese'!AE67=1,'1.4 Analyse &amp; Synthese'!F67="Empfehlung"),'1.4 Analyse &amp; Synthese'!I67&amp;CHAR(13)&amp;"("&amp;'(Codierung)'!$C$2&amp;" - "&amp;'1.4 Analyse &amp; Synthese'!C67&amp;")","")</f>
        <v/>
      </c>
      <c r="CX66" s="387" t="str">
        <f t="array" ref="CX66">_xlfn.IFNA(INDEX($CW$6:$CW$66,MATCH(0,COUNTIF($CX$4:CX65,$CW$6:$CW$66),0),1),"")</f>
        <v/>
      </c>
      <c r="CY66" s="277" t="str">
        <f>IF(AND('1.4 Analyse &amp; Synthese'!AE67=1,'1.4 Analyse &amp; Synthese'!F67="Methode"),'1.4 Analyse &amp; Synthese'!I67&amp;CHAR(13)&amp;"("&amp;'(Codierung)'!$C$3&amp;" - "&amp;'1.4 Analyse &amp; Synthese'!C67&amp;")","")</f>
        <v/>
      </c>
      <c r="CZ66" s="387" t="str">
        <f t="array" ref="CZ66">_xlfn.IFNA(INDEX($CY$6:$CY$66,MATCH(0,COUNTIF($CZ$4:CZ65,$CY$6:$CY$66),0),1),"")</f>
        <v/>
      </c>
      <c r="DA66" s="277" t="str">
        <f>IF(AND('1.4 Analyse &amp; Synthese'!AE67=1,'1.4 Analyse &amp; Synthese'!F67="Werkzeug"),'1.4 Analyse &amp; Synthese'!I67&amp;CHAR(13)&amp;"("&amp;'(Codierung)'!$C$4&amp;" - "&amp;'1.4 Analyse &amp; Synthese'!C67&amp;")","")</f>
        <v/>
      </c>
      <c r="DB66" s="387" t="str">
        <f t="array" ref="DB66">_xlfn.IFNA(INDEX($DA$6:$DA$66,MATCH(0,COUNTIF($DB$4:DB65,$DA$6:$DA$66),0),1),"")</f>
        <v/>
      </c>
      <c r="DD66" s="277" t="str">
        <f>IF(AND('1.4 Analyse &amp; Synthese'!AF67=1,'1.4 Analyse &amp; Synthese'!F67="Empfehlung"),'1.4 Analyse &amp; Synthese'!I67&amp;CHAR(13)&amp;"("&amp;'(Codierung)'!$C$2&amp;" - "&amp;'1.4 Analyse &amp; Synthese'!C67&amp;")","")</f>
        <v/>
      </c>
      <c r="DE66" s="387" t="str">
        <f t="array" ref="DE66">_xlfn.IFNA(INDEX($DD$6:$DD$66,MATCH(0,COUNTIF($DE$4:DE65,$DD$6:$DD$66),0),1),"")</f>
        <v/>
      </c>
      <c r="DF66" s="277" t="str">
        <f>IF(AND('1.4 Analyse &amp; Synthese'!AF67=1,'1.4 Analyse &amp; Synthese'!F67="Methode"),'1.4 Analyse &amp; Synthese'!I67&amp;CHAR(13)&amp;"("&amp;'(Codierung)'!$C$3&amp;" - "&amp;'1.4 Analyse &amp; Synthese'!C67&amp;")","")</f>
        <v/>
      </c>
      <c r="DG66" s="387" t="str">
        <f t="array" ref="DG66">_xlfn.IFNA(INDEX($DF$6:$DF$66,MATCH(0,COUNTIF($DG$4:DG65,$DF$6:$DF$66),0),1),"")</f>
        <v/>
      </c>
      <c r="DH66" s="277" t="str">
        <f>IF(AND('1.4 Analyse &amp; Synthese'!AF67=1,'1.4 Analyse &amp; Synthese'!F67="Werkzeug"),'1.4 Analyse &amp; Synthese'!I67&amp;CHAR(13)&amp;"("&amp;'(Codierung)'!$C$4&amp;" - "&amp;'1.4 Analyse &amp; Synthese'!C67&amp;")","")</f>
        <v/>
      </c>
      <c r="DI66" s="387" t="str">
        <f t="array" ref="DI66">_xlfn.IFNA(INDEX($DH$6:$DH$66,MATCH(0,COUNTIF($DI$4:DI65,$DH$6:$DH$66),0),1),"")</f>
        <v/>
      </c>
      <c r="DK66" s="277" t="str">
        <f>IF(AND('1.4 Analyse &amp; Synthese'!AG67=1,'1.4 Analyse &amp; Synthese'!F67="Empfehlung"),'1.4 Analyse &amp; Synthese'!I67&amp;CHAR(13)&amp;"("&amp;'(Codierung)'!$C$2&amp;" - "&amp;'1.4 Analyse &amp; Synthese'!C67&amp;")","")</f>
        <v/>
      </c>
      <c r="DL66" s="387" t="str">
        <f t="array" ref="DL66">_xlfn.IFNA(INDEX($DK$6:$DK$66,MATCH(0,COUNTIF($DL$4:DL65,$DK$6:$DK$66),0),1),"")</f>
        <v/>
      </c>
      <c r="DM66" s="277" t="str">
        <f>IF(AND('1.4 Analyse &amp; Synthese'!AG67=1,'1.4 Analyse &amp; Synthese'!F67="Methode"),'1.4 Analyse &amp; Synthese'!I67&amp;CHAR(13)&amp;"("&amp;'(Codierung)'!$C$3&amp;" - "&amp;'1.4 Analyse &amp; Synthese'!C67&amp;")","")</f>
        <v/>
      </c>
      <c r="DN66" s="387" t="str">
        <f t="array" ref="DN66">_xlfn.IFNA(INDEX($DM$6:$DM$66,MATCH(0,COUNTIF($DN$4:DN65,$DM$6:$DM$66),0),1),"")</f>
        <v/>
      </c>
      <c r="DO66" s="277" t="str">
        <f>IF(AND('1.4 Analyse &amp; Synthese'!AG67=1,'1.4 Analyse &amp; Synthese'!F67="Werkzeug"),'1.4 Analyse &amp; Synthese'!I67&amp;CHAR(13)&amp;"("&amp;'(Codierung)'!$C$4&amp;" - "&amp;'1.4 Analyse &amp; Synthese'!C67&amp;")","")</f>
        <v/>
      </c>
      <c r="DP66" s="387" t="str">
        <f t="array" ref="DP66">_xlfn.IFNA(INDEX($DO$6:$DO$66,MATCH(0,COUNTIF($DP$4:DP65,$DO$6:$DO$66),0),1),"")</f>
        <v/>
      </c>
      <c r="DR66" s="277" t="str">
        <f>IF(AND('1.4 Analyse &amp; Synthese'!AH67=1,'1.4 Analyse &amp; Synthese'!F67="Empfehlung"),'1.4 Analyse &amp; Synthese'!I67&amp;CHAR(13)&amp;"("&amp;'(Codierung)'!$C$2&amp;" - "&amp;'1.4 Analyse &amp; Synthese'!C67&amp;")","")</f>
        <v/>
      </c>
      <c r="DS66" s="387" t="str">
        <f t="array" ref="DS66">_xlfn.IFNA(INDEX($DR$6:$DR$66,MATCH(0,COUNTIF($DS$4:DS65,$DR$6:$DR$66),0),1),"")</f>
        <v/>
      </c>
      <c r="DT66" s="277" t="str">
        <f>IF(AND('1.4 Analyse &amp; Synthese'!AH67=1,'1.4 Analyse &amp; Synthese'!F67="Methode"),'1.4 Analyse &amp; Synthese'!I67&amp;CHAR(13)&amp;"("&amp;'(Codierung)'!$C$3&amp;" - "&amp;'1.4 Analyse &amp; Synthese'!C67&amp;")","")</f>
        <v/>
      </c>
      <c r="DU66" s="387" t="str">
        <f t="array" ref="DU66">_xlfn.IFNA(INDEX($DT$6:$DT$66,MATCH(0,COUNTIF($DU$4:DU65,$DT$6:$DT$66),0),1),"")</f>
        <v/>
      </c>
      <c r="DV66" s="277" t="str">
        <f>IF(AND('1.4 Analyse &amp; Synthese'!AH67=1,'1.4 Analyse &amp; Synthese'!F67="Werkzeug"),'1.4 Analyse &amp; Synthese'!I67&amp;CHAR(13)&amp;"("&amp;'(Codierung)'!$C$4&amp;" - "&amp;'1.4 Analyse &amp; Synthese'!C67&amp;")","")</f>
        <v/>
      </c>
      <c r="DW66" s="387" t="str">
        <f t="array" ref="DW66">_xlfn.IFNA(INDEX($DV$6:$DV$66,MATCH(0,COUNTIF($DW$4:DW65,$DV$6:$DV$66),0),1),"")</f>
        <v/>
      </c>
      <c r="DY66" s="277" t="str">
        <f>IF(AND('1.4 Analyse &amp; Synthese'!AI67=1,'1.4 Analyse &amp; Synthese'!F67="Empfehlung"),'1.4 Analyse &amp; Synthese'!I67&amp;CHAR(13)&amp;"("&amp;'(Codierung)'!$C$2&amp;" - "&amp;'1.4 Analyse &amp; Synthese'!C67&amp;")","")</f>
        <v/>
      </c>
      <c r="DZ66" s="387" t="str">
        <f t="array" ref="DZ66">_xlfn.IFNA(INDEX($DY$6:$DY$66,MATCH(0,COUNTIF($DZ$4:DZ65,$DY$6:$DY$66),0),1),"")</f>
        <v/>
      </c>
      <c r="EA66" s="277" t="str">
        <f>IF(AND('1.4 Analyse &amp; Synthese'!AI67=1,'1.4 Analyse &amp; Synthese'!F67="Methode"),'1.4 Analyse &amp; Synthese'!I67&amp;CHAR(13)&amp;"("&amp;'(Codierung)'!$C$3&amp;" - "&amp;'1.4 Analyse &amp; Synthese'!C67&amp;")","")</f>
        <v/>
      </c>
      <c r="EB66" s="387" t="str">
        <f t="array" ref="EB66">_xlfn.IFNA(INDEX($EA$6:$EA$66,MATCH(0,COUNTIF($EB$4:EB65,$EA$6:$EA$66),0),1),"")</f>
        <v/>
      </c>
      <c r="EC66" s="277" t="str">
        <f>IF(AND('1.4 Analyse &amp; Synthese'!AI67=1,'1.4 Analyse &amp; Synthese'!F67="Werkzeug"),'1.4 Analyse &amp; Synthese'!I67&amp;CHAR(13)&amp;"("&amp;'(Codierung)'!$C$4&amp;" - "&amp;'1.4 Analyse &amp; Synthese'!C67&amp;")","")</f>
        <v/>
      </c>
      <c r="ED66" s="277" t="str">
        <f t="array" ref="ED66">_xlfn.IFNA(INDEX($EC$6:$EC$66,MATCH(0,COUNTIF($ED$4:ED65,$EC$6:$EC$66),0),1),"")</f>
        <v/>
      </c>
      <c r="EF66" s="277" t="str">
        <f>IF(AND('1.4 Analyse &amp; Synthese'!AJ67=1,'1.4 Analyse &amp; Synthese'!F67="Empfehlung"),'1.4 Analyse &amp; Synthese'!I67&amp;CHAR(13)&amp;"("&amp;'(Codierung)'!$C$2&amp;" - "&amp;'1.4 Analyse &amp; Synthese'!C67&amp;")","")</f>
        <v/>
      </c>
      <c r="EG66" s="277" t="str">
        <f t="array" ref="EG66">_xlfn.IFNA(INDEX($EF$6:$EF$66,MATCH(0,COUNTIF($EG$4:EG65,$EF$6:$EF$66),0),1),"")</f>
        <v/>
      </c>
      <c r="EH66" s="277" t="str">
        <f>IF(AND('1.4 Analyse &amp; Synthese'!AJ67=1,'1.4 Analyse &amp; Synthese'!F67="Methode"),'1.4 Analyse &amp; Synthese'!I67&amp;CHAR(13)&amp;"("&amp;'(Codierung)'!$C$3&amp;" - "&amp;'1.4 Analyse &amp; Synthese'!C67&amp;")","")</f>
        <v/>
      </c>
      <c r="EI66" s="387" t="str">
        <f t="array" ref="EI66">_xlfn.IFNA(INDEX($EH$6:$EH$66,MATCH(0,COUNTIF($EI$4:EI65,$EH$6:$EH$66),0),1),"")</f>
        <v/>
      </c>
      <c r="EJ66" s="277" t="str">
        <f>IF(AND('1.4 Analyse &amp; Synthese'!AJ67=1,'1.4 Analyse &amp; Synthese'!F67="Werkzeug"),'1.4 Analyse &amp; Synthese'!I67&amp;CHAR(13)&amp;"("&amp;'(Codierung)'!$C$4&amp;" - "&amp;'1.4 Analyse &amp; Synthese'!C67&amp;")","")</f>
        <v/>
      </c>
      <c r="EK66" s="387" t="str">
        <f t="array" ref="EK66">_xlfn.IFNA(INDEX($EJ$6:$EJ$66,MATCH(0,COUNTIF($EK$4:EK65,$EJ$6:$EJ$66),0),1),"")</f>
        <v/>
      </c>
      <c r="EN66" s="222" t="str">
        <f t="shared" si="60"/>
        <v/>
      </c>
      <c r="EO66" s="277" t="str">
        <f t="shared" si="61"/>
        <v/>
      </c>
      <c r="EP66" s="277" t="str">
        <f t="shared" si="62"/>
        <v/>
      </c>
      <c r="EQ66" s="277" t="str">
        <f>ZahlenInBereich(Tabelle1[[Empfehlung]:[Werkzeug]],ROW()-5)</f>
        <v/>
      </c>
      <c r="ER66" s="277" t="str">
        <f t="shared" si="63"/>
        <v/>
      </c>
      <c r="ES66" s="277" t="str">
        <f t="shared" si="64"/>
        <v/>
      </c>
      <c r="ET66" s="277" t="str">
        <f t="shared" si="65"/>
        <v/>
      </c>
      <c r="EU66" s="277" t="str">
        <f>ZahlenInBereich(Tabelle1[[Empfehlung2]:[Werkzeug4]],ROW()-5)</f>
        <v/>
      </c>
      <c r="EV66" s="277" t="str">
        <f t="shared" si="66"/>
        <v/>
      </c>
      <c r="EW66" s="277" t="str">
        <f t="shared" si="67"/>
        <v/>
      </c>
      <c r="EX66" s="277" t="str">
        <f t="shared" si="68"/>
        <v/>
      </c>
      <c r="EY66" s="277" t="str">
        <f>ZahlenInBereich(Tabelle1[[Empfehlung6]:[Werkzeug8]],ROW()-5)</f>
        <v/>
      </c>
      <c r="EZ66" s="277" t="str">
        <f t="shared" si="69"/>
        <v/>
      </c>
      <c r="FA66" s="277" t="str">
        <f t="shared" si="70"/>
        <v/>
      </c>
      <c r="FB66" s="277" t="str">
        <f t="shared" si="71"/>
        <v/>
      </c>
      <c r="FC66" s="277" t="str">
        <f>ZahlenInBereich(Tabelle1[[Empfehlung10]:[Werkzeug12]],ROW()-5)</f>
        <v/>
      </c>
      <c r="FD66" s="277" t="str">
        <f t="shared" si="72"/>
        <v/>
      </c>
      <c r="FE66" s="277" t="str">
        <f t="shared" si="73"/>
        <v/>
      </c>
      <c r="FF66" s="277" t="str">
        <f t="shared" si="74"/>
        <v/>
      </c>
      <c r="FG66" s="277" t="str">
        <f>ZahlenInBereich(Tabelle1[[Empfehlung14]:[Werkzeug16]],ROW()-5)</f>
        <v/>
      </c>
      <c r="FH66" s="277" t="str">
        <f t="shared" si="75"/>
        <v/>
      </c>
      <c r="FI66" s="277" t="str">
        <f t="shared" si="76"/>
        <v/>
      </c>
      <c r="FJ66" s="277" t="str">
        <f t="shared" si="77"/>
        <v/>
      </c>
      <c r="FK66" s="277" t="str">
        <f>ZahlenInBereich(Tabelle1[[Empfehlung18]:[Werkzeug20]],ROW()-5)</f>
        <v/>
      </c>
      <c r="FL66" s="277" t="str">
        <f t="shared" si="78"/>
        <v/>
      </c>
      <c r="FM66" s="277" t="str">
        <f t="shared" si="79"/>
        <v/>
      </c>
      <c r="FN66" s="277" t="str">
        <f t="shared" si="80"/>
        <v/>
      </c>
      <c r="FO66" s="277" t="str">
        <f>ZahlenInBereich(Tabelle1[[Empfehlung22]:[Werkzeug24]],ROW()-5)</f>
        <v/>
      </c>
      <c r="FP66" s="277" t="str">
        <f t="shared" si="81"/>
        <v/>
      </c>
      <c r="FQ66" s="277" t="str">
        <f t="shared" si="82"/>
        <v/>
      </c>
      <c r="FR66" s="277" t="str">
        <f t="shared" si="83"/>
        <v/>
      </c>
      <c r="FS66" s="277" t="str">
        <f>ZahlenInBereich(Tabelle1[[Empfehlung26]:[Werkzeug28]],ROW()-5)</f>
        <v/>
      </c>
      <c r="FT66" s="277" t="str">
        <f t="shared" si="84"/>
        <v/>
      </c>
      <c r="FU66" s="277" t="str">
        <f t="shared" si="85"/>
        <v/>
      </c>
      <c r="FV66" s="277" t="str">
        <f t="shared" si="86"/>
        <v/>
      </c>
      <c r="FW66" s="277" t="str">
        <f>ZahlenInBereich(Tabelle1[[Empfehlung30]:[Werkzeug32]],ROW()-5)</f>
        <v/>
      </c>
      <c r="FX66" s="277" t="str">
        <f t="shared" si="87"/>
        <v/>
      </c>
      <c r="FY66" s="277" t="str">
        <f t="shared" si="88"/>
        <v/>
      </c>
      <c r="FZ66" s="277" t="str">
        <f t="shared" si="89"/>
        <v/>
      </c>
      <c r="GA66" s="277" t="str">
        <f>ZahlenInBereich(Tabelle1[[Empfehlung34]:[Werkzeug36]],ROW()-5)</f>
        <v/>
      </c>
      <c r="GB66" s="277" t="str">
        <f t="shared" si="90"/>
        <v/>
      </c>
      <c r="GC66" s="277" t="str">
        <f t="shared" si="91"/>
        <v/>
      </c>
      <c r="GD66" s="277" t="str">
        <f t="shared" si="92"/>
        <v/>
      </c>
      <c r="GE66" s="277" t="str">
        <f>ZahlenInBereich(Tabelle1[[Empfehlung38]:[Werkzeug40]],ROW()-5)</f>
        <v/>
      </c>
      <c r="GF66" s="277" t="str">
        <f t="shared" si="93"/>
        <v/>
      </c>
      <c r="GG66" s="277" t="str">
        <f t="shared" si="94"/>
        <v/>
      </c>
      <c r="GH66" s="277" t="str">
        <f t="shared" si="95"/>
        <v/>
      </c>
      <c r="GI66" s="277" t="str">
        <f>ZahlenInBereich(Tabelle1[[Empfehlung42]:[Werkzeug44]],ROW()-5)</f>
        <v/>
      </c>
      <c r="GJ66" s="277" t="str">
        <f t="shared" si="96"/>
        <v/>
      </c>
      <c r="GK66" s="277" t="str">
        <f t="shared" si="97"/>
        <v/>
      </c>
      <c r="GL66" s="277" t="str">
        <f t="shared" si="98"/>
        <v/>
      </c>
      <c r="GM66" s="277" t="str">
        <f>ZahlenInBereich(Tabelle1[[Empfehlung46]:[Werkzeug48]],ROW()-5)</f>
        <v/>
      </c>
      <c r="GN66" s="277" t="str">
        <f t="shared" si="99"/>
        <v/>
      </c>
      <c r="GO66" s="277" t="str">
        <f t="shared" si="100"/>
        <v/>
      </c>
      <c r="GP66" s="277" t="str">
        <f t="shared" si="101"/>
        <v/>
      </c>
      <c r="GQ66" s="277" t="str">
        <f>ZahlenInBereich(Tabelle1[[Empfehlung50]:[Werkzeug52]],ROW()-5)</f>
        <v/>
      </c>
      <c r="GR66" s="277" t="str">
        <f t="shared" si="102"/>
        <v/>
      </c>
      <c r="GS66" s="277" t="str">
        <f t="shared" si="103"/>
        <v/>
      </c>
      <c r="GT66" s="277" t="str">
        <f t="shared" si="104"/>
        <v/>
      </c>
      <c r="GU66" s="277" t="str">
        <f>ZahlenInBereich(Tabelle1[[Empfehlung54]:[Werkzeug56]],ROW()-5)</f>
        <v/>
      </c>
      <c r="GV66" s="277" t="str">
        <f t="shared" si="105"/>
        <v/>
      </c>
      <c r="GW66" s="277" t="str">
        <f t="shared" si="106"/>
        <v/>
      </c>
      <c r="GX66" s="277" t="str">
        <f t="shared" si="107"/>
        <v/>
      </c>
      <c r="GY66" s="277" t="str">
        <f>ZahlenInBereich(Tabelle1[[Empfehlung58]:[Werkzeug60]],ROW()-5)</f>
        <v/>
      </c>
      <c r="GZ66" s="277" t="str">
        <f t="shared" si="108"/>
        <v/>
      </c>
      <c r="HA66" s="277" t="str">
        <f t="shared" si="109"/>
        <v/>
      </c>
      <c r="HB66" s="277" t="str">
        <f t="shared" si="110"/>
        <v/>
      </c>
      <c r="HC66" s="277" t="str">
        <f>ZahlenInBereich(Tabelle1[[Empfehlung62]:[Werkzeug64]],ROW()-5)</f>
        <v/>
      </c>
      <c r="HD66" s="277" t="str">
        <f t="shared" si="111"/>
        <v/>
      </c>
      <c r="HE66" s="277" t="str">
        <f t="shared" si="112"/>
        <v/>
      </c>
      <c r="HF66" s="277" t="str">
        <f t="shared" si="113"/>
        <v/>
      </c>
      <c r="HG66" s="277" t="str">
        <f>ZahlenInBereich(Tabelle1[[Empfehlung66]:[Werkzeug68]],ROW()-5)</f>
        <v/>
      </c>
      <c r="HH66" s="277" t="str">
        <f t="shared" si="114"/>
        <v/>
      </c>
      <c r="HI66" s="277" t="str">
        <f t="shared" si="115"/>
        <v/>
      </c>
      <c r="HJ66" s="277" t="str">
        <f t="shared" si="116"/>
        <v/>
      </c>
      <c r="HK66" s="277" t="str">
        <f>ZahlenInBereich(Tabelle1[[Empfehlung70]:[Werkzeug72]],ROW()-5)</f>
        <v/>
      </c>
      <c r="HL66" s="277" t="str">
        <f t="shared" si="117"/>
        <v/>
      </c>
      <c r="HM66" s="277" t="str">
        <f t="shared" si="118"/>
        <v/>
      </c>
      <c r="HN66" s="277" t="str">
        <f t="shared" si="119"/>
        <v/>
      </c>
      <c r="HO66" s="277" t="str">
        <f>ZahlenInBereich(Tabelle1[[Empfehlung74]:[Werkzeug76]],ROW()-5)</f>
        <v/>
      </c>
    </row>
  </sheetData>
  <mergeCells count="40">
    <mergeCell ref="EF3:EL3"/>
    <mergeCell ref="DY3:EE3"/>
    <mergeCell ref="DR3:DX3"/>
    <mergeCell ref="DK3:DQ3"/>
    <mergeCell ref="DD3:DJ3"/>
    <mergeCell ref="CW3:DC3"/>
    <mergeCell ref="CP3:CV3"/>
    <mergeCell ref="CI3:CO3"/>
    <mergeCell ref="CB3:CH3"/>
    <mergeCell ref="BU3:CA3"/>
    <mergeCell ref="BN3:BT3"/>
    <mergeCell ref="BG3:BM3"/>
    <mergeCell ref="AZ3:BF3"/>
    <mergeCell ref="AS3:AY3"/>
    <mergeCell ref="AL3:AR3"/>
    <mergeCell ref="AE3:AK3"/>
    <mergeCell ref="X3:AD3"/>
    <mergeCell ref="Q3:W3"/>
    <mergeCell ref="J3:P3"/>
    <mergeCell ref="C3:I3"/>
    <mergeCell ref="FD3:FG3"/>
    <mergeCell ref="EZ3:FC3"/>
    <mergeCell ref="EV3:EY3"/>
    <mergeCell ref="ER3:EU3"/>
    <mergeCell ref="EN3:EQ3"/>
    <mergeCell ref="FX3:GA3"/>
    <mergeCell ref="FT3:FW3"/>
    <mergeCell ref="FP3:FS3"/>
    <mergeCell ref="FL3:FO3"/>
    <mergeCell ref="FH3:FK3"/>
    <mergeCell ref="GR3:GU3"/>
    <mergeCell ref="GN3:GQ3"/>
    <mergeCell ref="GJ3:GM3"/>
    <mergeCell ref="GF3:GI3"/>
    <mergeCell ref="GB3:GE3"/>
    <mergeCell ref="HL3:HO3"/>
    <mergeCell ref="HH3:HK3"/>
    <mergeCell ref="HD3:HG3"/>
    <mergeCell ref="GZ3:HC3"/>
    <mergeCell ref="GV3:GY3"/>
  </mergeCells>
  <phoneticPr fontId="13" type="noConversion"/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 enableFormatConditionsCalculation="0"/>
  <dimension ref="A1:J25"/>
  <sheetViews>
    <sheetView tabSelected="1" workbookViewId="0">
      <selection activeCell="D3" sqref="D3"/>
    </sheetView>
  </sheetViews>
  <sheetFormatPr baseColWidth="10" defaultRowHeight="16" x14ac:dyDescent="0.2"/>
  <cols>
    <col min="1" max="1" width="8.5" bestFit="1" customWidth="1"/>
    <col min="2" max="2" width="22.6640625" bestFit="1" customWidth="1"/>
    <col min="3" max="3" width="11.33203125" bestFit="1" customWidth="1"/>
    <col min="4" max="4" width="31.6640625" bestFit="1" customWidth="1"/>
    <col min="5" max="5" width="16.5" bestFit="1" customWidth="1"/>
    <col min="6" max="6" width="34.5" bestFit="1" customWidth="1"/>
    <col min="7" max="7" width="39" bestFit="1" customWidth="1"/>
  </cols>
  <sheetData>
    <row r="1" spans="1:10" x14ac:dyDescent="0.2">
      <c r="A1" s="1" t="s">
        <v>0</v>
      </c>
      <c r="B1" s="3" t="s">
        <v>1</v>
      </c>
      <c r="C1" s="1" t="s">
        <v>26</v>
      </c>
      <c r="D1" s="1" t="s">
        <v>30</v>
      </c>
      <c r="E1" s="1" t="s">
        <v>33</v>
      </c>
      <c r="F1" s="1" t="s">
        <v>39</v>
      </c>
      <c r="G1" s="1" t="s">
        <v>40</v>
      </c>
      <c r="H1" s="1" t="s">
        <v>358</v>
      </c>
      <c r="J1" s="1" t="s">
        <v>419</v>
      </c>
    </row>
    <row r="2" spans="1:10" x14ac:dyDescent="0.2">
      <c r="A2" s="2">
        <v>1</v>
      </c>
      <c r="B2" s="4" t="s">
        <v>2</v>
      </c>
      <c r="C2" s="2" t="s">
        <v>29</v>
      </c>
      <c r="D2" s="6" t="s">
        <v>743</v>
      </c>
      <c r="E2" s="7" t="s">
        <v>34</v>
      </c>
      <c r="F2" s="2" t="s">
        <v>437</v>
      </c>
      <c r="G2" s="6" t="s">
        <v>42</v>
      </c>
      <c r="H2" s="7" t="s">
        <v>357</v>
      </c>
      <c r="J2" s="7" t="s">
        <v>421</v>
      </c>
    </row>
    <row r="3" spans="1:10" x14ac:dyDescent="0.2">
      <c r="A3" s="2">
        <v>2</v>
      </c>
      <c r="B3" s="4" t="s">
        <v>3</v>
      </c>
      <c r="C3" s="2" t="s">
        <v>27</v>
      </c>
      <c r="D3" s="6" t="s">
        <v>31</v>
      </c>
      <c r="E3" s="7" t="s">
        <v>35</v>
      </c>
      <c r="F3" s="2" t="s">
        <v>441</v>
      </c>
      <c r="G3" s="6" t="s">
        <v>43</v>
      </c>
      <c r="H3" s="7" t="s">
        <v>359</v>
      </c>
      <c r="J3" s="7" t="s">
        <v>422</v>
      </c>
    </row>
    <row r="4" spans="1:10" x14ac:dyDescent="0.2">
      <c r="A4" s="2">
        <v>3</v>
      </c>
      <c r="B4" s="4" t="s">
        <v>4</v>
      </c>
      <c r="C4" s="5" t="s">
        <v>28</v>
      </c>
      <c r="D4" s="6" t="s">
        <v>32</v>
      </c>
      <c r="E4" s="7" t="s">
        <v>36</v>
      </c>
      <c r="F4" s="2" t="s">
        <v>440</v>
      </c>
      <c r="G4" t="s">
        <v>401</v>
      </c>
      <c r="H4" s="7" t="s">
        <v>363</v>
      </c>
    </row>
    <row r="5" spans="1:10" x14ac:dyDescent="0.2">
      <c r="A5" s="2">
        <v>4</v>
      </c>
      <c r="B5" s="4" t="s">
        <v>5</v>
      </c>
      <c r="D5" s="7" t="s">
        <v>662</v>
      </c>
      <c r="E5" s="7" t="s">
        <v>37</v>
      </c>
      <c r="F5" s="2" t="s">
        <v>442</v>
      </c>
      <c r="H5" s="7" t="s">
        <v>402</v>
      </c>
    </row>
    <row r="6" spans="1:10" x14ac:dyDescent="0.2">
      <c r="A6" s="2">
        <v>5</v>
      </c>
      <c r="B6" s="4" t="s">
        <v>6</v>
      </c>
      <c r="D6" s="7" t="s">
        <v>412</v>
      </c>
      <c r="E6" s="7" t="s">
        <v>376</v>
      </c>
      <c r="F6" s="2" t="s">
        <v>444</v>
      </c>
      <c r="G6" s="6" t="s">
        <v>41</v>
      </c>
      <c r="H6" s="7" t="s">
        <v>403</v>
      </c>
    </row>
    <row r="7" spans="1:10" x14ac:dyDescent="0.2">
      <c r="B7" s="4" t="s">
        <v>7</v>
      </c>
      <c r="E7" s="7" t="s">
        <v>124</v>
      </c>
      <c r="F7" s="2" t="s">
        <v>443</v>
      </c>
      <c r="G7" s="6" t="s">
        <v>44</v>
      </c>
      <c r="H7" s="7" t="s">
        <v>404</v>
      </c>
    </row>
    <row r="8" spans="1:10" x14ac:dyDescent="0.2">
      <c r="B8" s="4" t="s">
        <v>8</v>
      </c>
      <c r="E8" s="7" t="s">
        <v>123</v>
      </c>
      <c r="F8" s="2" t="s">
        <v>432</v>
      </c>
      <c r="G8" s="6" t="s">
        <v>45</v>
      </c>
    </row>
    <row r="9" spans="1:10" x14ac:dyDescent="0.2">
      <c r="B9" s="4" t="s">
        <v>9</v>
      </c>
      <c r="E9" s="7" t="s">
        <v>122</v>
      </c>
      <c r="F9" s="2" t="s">
        <v>449</v>
      </c>
      <c r="G9" s="6" t="s">
        <v>46</v>
      </c>
    </row>
    <row r="10" spans="1:10" x14ac:dyDescent="0.2">
      <c r="B10" s="4" t="s">
        <v>10</v>
      </c>
      <c r="F10" s="2" t="s">
        <v>373</v>
      </c>
      <c r="G10" s="6" t="s">
        <v>47</v>
      </c>
    </row>
    <row r="11" spans="1:10" x14ac:dyDescent="0.2">
      <c r="B11" s="4" t="s">
        <v>11</v>
      </c>
      <c r="F11" s="2" t="s">
        <v>433</v>
      </c>
      <c r="G11" s="6" t="s">
        <v>48</v>
      </c>
    </row>
    <row r="12" spans="1:10" x14ac:dyDescent="0.2">
      <c r="B12" s="4" t="s">
        <v>12</v>
      </c>
      <c r="F12" s="2" t="s">
        <v>447</v>
      </c>
      <c r="G12" s="6" t="s">
        <v>49</v>
      </c>
    </row>
    <row r="13" spans="1:10" x14ac:dyDescent="0.2">
      <c r="B13" s="4" t="s">
        <v>13</v>
      </c>
      <c r="F13" s="2" t="s">
        <v>435</v>
      </c>
      <c r="G13" s="6" t="s">
        <v>50</v>
      </c>
    </row>
    <row r="14" spans="1:10" x14ac:dyDescent="0.2">
      <c r="B14" s="4" t="s">
        <v>14</v>
      </c>
      <c r="F14" s="2" t="s">
        <v>439</v>
      </c>
      <c r="G14" s="2" t="s">
        <v>51</v>
      </c>
    </row>
    <row r="15" spans="1:10" x14ac:dyDescent="0.2">
      <c r="B15" s="4" t="s">
        <v>15</v>
      </c>
      <c r="F15" s="2" t="s">
        <v>445</v>
      </c>
      <c r="G15" s="2" t="s">
        <v>52</v>
      </c>
    </row>
    <row r="16" spans="1:10" x14ac:dyDescent="0.2">
      <c r="B16" s="4"/>
      <c r="F16" s="2" t="s">
        <v>446</v>
      </c>
      <c r="G16" s="2" t="s">
        <v>53</v>
      </c>
    </row>
    <row r="17" spans="2:7" x14ac:dyDescent="0.2">
      <c r="B17" s="4" t="s">
        <v>16</v>
      </c>
      <c r="F17" s="2" t="s">
        <v>448</v>
      </c>
      <c r="G17" s="2" t="s">
        <v>55</v>
      </c>
    </row>
    <row r="18" spans="2:7" x14ac:dyDescent="0.2">
      <c r="B18" s="4" t="s">
        <v>17</v>
      </c>
      <c r="F18" s="2" t="s">
        <v>450</v>
      </c>
      <c r="G18" s="2" t="s">
        <v>56</v>
      </c>
    </row>
    <row r="19" spans="2:7" x14ac:dyDescent="0.2">
      <c r="B19" s="4" t="s">
        <v>18</v>
      </c>
      <c r="F19" s="2" t="s">
        <v>451</v>
      </c>
      <c r="G19" s="2" t="s">
        <v>57</v>
      </c>
    </row>
    <row r="20" spans="2:7" x14ac:dyDescent="0.2">
      <c r="B20" s="4" t="s">
        <v>19</v>
      </c>
      <c r="F20" s="2" t="s">
        <v>452</v>
      </c>
      <c r="G20" s="2" t="s">
        <v>58</v>
      </c>
    </row>
    <row r="21" spans="2:7" x14ac:dyDescent="0.2">
      <c r="B21" s="4" t="s">
        <v>20</v>
      </c>
      <c r="F21" t="s">
        <v>436</v>
      </c>
      <c r="G21" s="2" t="s">
        <v>59</v>
      </c>
    </row>
    <row r="22" spans="2:7" x14ac:dyDescent="0.2">
      <c r="B22" s="4" t="s">
        <v>21</v>
      </c>
      <c r="F22" s="2" t="s">
        <v>453</v>
      </c>
      <c r="G22" s="2" t="s">
        <v>54</v>
      </c>
    </row>
    <row r="23" spans="2:7" x14ac:dyDescent="0.2">
      <c r="B23" s="96" t="s">
        <v>408</v>
      </c>
      <c r="F23" s="2" t="s">
        <v>454</v>
      </c>
      <c r="G23" s="2" t="s">
        <v>125</v>
      </c>
    </row>
    <row r="24" spans="2:7" x14ac:dyDescent="0.2">
      <c r="B24" s="4" t="s">
        <v>409</v>
      </c>
      <c r="F24" s="2" t="s">
        <v>455</v>
      </c>
      <c r="G24" s="2"/>
    </row>
    <row r="25" spans="2:7" x14ac:dyDescent="0.2">
      <c r="F25" s="2" t="s">
        <v>456</v>
      </c>
    </row>
  </sheetData>
  <phoneticPr fontId="13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1.3.1 Suchstrings</vt:lpstr>
      <vt:lpstr>1.3.2 Ergeb. Literaturanalyse</vt:lpstr>
      <vt:lpstr>1.3.3 Überblick Literatur</vt:lpstr>
      <vt:lpstr>1.4 Analyse &amp; Synthese</vt:lpstr>
      <vt:lpstr>1.4.1 Ergebn. Literaturanalyse</vt:lpstr>
      <vt:lpstr>1.4.2 Qualitat. Analyse</vt:lpstr>
      <vt:lpstr>(Auswertung_1)</vt:lpstr>
      <vt:lpstr>(Auswertung_2)</vt:lpstr>
      <vt:lpstr>(Codierung)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2016-09-04T12:26:12Z</dcterms:created>
  <dcterms:modified xsi:type="dcterms:W3CDTF">2017-01-08T00:17:56Z</dcterms:modified>
</cp:coreProperties>
</file>